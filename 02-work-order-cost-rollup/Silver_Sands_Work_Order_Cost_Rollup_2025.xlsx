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893da704d8080/Resumes etc/Github Projects/"/>
    </mc:Choice>
  </mc:AlternateContent>
  <xr:revisionPtr revIDLastSave="214" documentId="8_{0AA59371-291B-4A98-A798-512723AF744F}" xr6:coauthVersionLast="47" xr6:coauthVersionMax="47" xr10:uidLastSave="{2369EDA9-4212-40F9-A560-4E5F7460E599}"/>
  <bookViews>
    <workbookView xWindow="10860" yWindow="0" windowWidth="17940" windowHeight="15600" firstSheet="6" activeTab="7" xr2:uid="{46F1CC37-1CBD-49E8-9840-E857DD2EA23F}"/>
  </bookViews>
  <sheets>
    <sheet name="Vendor Invoices" sheetId="4" r:id="rId1"/>
    <sheet name="Labor Rates" sheetId="3" r:id="rId2"/>
    <sheet name="Work Orders" sheetId="2" r:id="rId3"/>
    <sheet name="Cost Rollup" sheetId="1" r:id="rId4"/>
    <sheet name="Department Summary" sheetId="6" r:id="rId5"/>
    <sheet name="Work Type Summary" sheetId="7" r:id="rId6"/>
    <sheet name="Vendor Summary" sheetId="8" r:id="rId7"/>
    <sheet name="Dashboard" sheetId="9" r:id="rId8"/>
  </sheets>
  <definedNames>
    <definedName name="ExternalData_1" localSheetId="3" hidden="1">'Cost Rollup'!$A$1:$G$301</definedName>
    <definedName name="ExternalData_1" localSheetId="2" hidden="1">'Work Orders'!$A$1:$G$301</definedName>
    <definedName name="ExternalData_2" localSheetId="1" hidden="1">'Labor Rates'!$A$1:$B$6</definedName>
    <definedName name="ExternalData_3" localSheetId="0" hidden="1">'Vendor Invoices'!$A$1:$B$301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9" l="1"/>
  <c r="C2" i="9"/>
  <c r="B2" i="9"/>
  <c r="A2" i="9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AA8A3-027A-4DEF-B802-0A30E100A0E3}" keepAlive="1" name="Query - Labor_Rates" description="Connection to the 'Labor_Rates' query in the workbook." type="5" refreshedVersion="8" background="1" saveData="1">
    <dbPr connection="Provider=Microsoft.Mashup.OleDb.1;Data Source=$Workbook$;Location=Labor_Rates;Extended Properties=&quot;&quot;" command="SELECT * FROM [Labor_Rates]"/>
  </connection>
  <connection id="2" xr16:uid="{BF659937-86A8-4FC0-9866-15915375DDD2}" keepAlive="1" name="Query - Vendor_Invoices" description="Connection to the 'Vendor_Invoices' query in the workbook." type="5" refreshedVersion="8" background="1" saveData="1">
    <dbPr connection="Provider=Microsoft.Mashup.OleDb.1;Data Source=$Workbook$;Location=Vendor_Invoices;Extended Properties=&quot;&quot;" command="SELECT * FROM [Vendor_Invoices]"/>
  </connection>
  <connection id="3" xr16:uid="{9D228EB4-5D91-4AF0-9F8E-3A2830C2F015}" keepAlive="1" name="Query - Work_Order_Transactions" description="Connection to the 'Work_Order_Transactions' query in the workbook." type="5" refreshedVersion="8" background="1" saveData="1">
    <dbPr connection="Provider=Microsoft.Mashup.OleDb.1;Data Source=$Workbook$;Location=Work_Order_Transactions;Extended Properties=&quot;&quot;" command="SELECT * FROM [Work_Order_Transactions]"/>
  </connection>
  <connection id="4" xr16:uid="{23CA53E4-623D-460C-912C-1693C13F90C4}" keepAlive="1" name="Query - Work_Order_Transactions (2)" description="Connection to the 'Work_Order_Transactions (2)' query in the workbook." type="5" refreshedVersion="8" background="1" saveData="1">
    <dbPr connection="Provider=Microsoft.Mashup.OleDb.1;Data Source=$Workbook$;Location=&quot;Work_Order_Transactions (2)&quot;;Extended Properties=&quot;&quot;" command="SELECT * FROM [Work_Order_Transactions (2)]"/>
  </connection>
</connections>
</file>

<file path=xl/sharedStrings.xml><?xml version="1.0" encoding="utf-8"?>
<sst xmlns="http://schemas.openxmlformats.org/spreadsheetml/2006/main" count="3358" uniqueCount="340">
  <si>
    <t>WO Number</t>
  </si>
  <si>
    <t>Open Date</t>
  </si>
  <si>
    <t>Department</t>
  </si>
  <si>
    <t>Work Type</t>
  </si>
  <si>
    <t>Trade</t>
  </si>
  <si>
    <t>Vendor</t>
  </si>
  <si>
    <t>Labor Hours</t>
  </si>
  <si>
    <t>WO-10001</t>
  </si>
  <si>
    <t>Housekeeping</t>
  </si>
  <si>
    <t>HVAC Repair</t>
  </si>
  <si>
    <t>HVAC Tech</t>
  </si>
  <si>
    <t>Western HVAC</t>
  </si>
  <si>
    <t>WO-10002</t>
  </si>
  <si>
    <t>Facilities</t>
  </si>
  <si>
    <t>Metro Services</t>
  </si>
  <si>
    <t>WO-10003</t>
  </si>
  <si>
    <t>General Maintenance</t>
  </si>
  <si>
    <t>Desert Mechanical</t>
  </si>
  <si>
    <t>WO-10004</t>
  </si>
  <si>
    <t>Carpentry</t>
  </si>
  <si>
    <t>Carpenter</t>
  </si>
  <si>
    <t>Silver State Contractors</t>
  </si>
  <si>
    <t>WO-10005</t>
  </si>
  <si>
    <t>Food &amp; Beverage</t>
  </si>
  <si>
    <t>Ace Maintenance</t>
  </si>
  <si>
    <t>WO-10006</t>
  </si>
  <si>
    <t>WO-10007</t>
  </si>
  <si>
    <t>Gaming Operations</t>
  </si>
  <si>
    <t>Red Rock Repair</t>
  </si>
  <si>
    <t>WO-10008</t>
  </si>
  <si>
    <t>WO-10009</t>
  </si>
  <si>
    <t>Electrical Repair</t>
  </si>
  <si>
    <t>Electrician</t>
  </si>
  <si>
    <t>Vegas Plumbing</t>
  </si>
  <si>
    <t>WO-10010</t>
  </si>
  <si>
    <t>WO-10011</t>
  </si>
  <si>
    <t>Plumbing Repair</t>
  </si>
  <si>
    <t>Plumber</t>
  </si>
  <si>
    <t>WO-10012</t>
  </si>
  <si>
    <t>Nevada Electric</t>
  </si>
  <si>
    <t>WO-10013</t>
  </si>
  <si>
    <t>Entertainment &amp; Events</t>
  </si>
  <si>
    <t>WO-10014</t>
  </si>
  <si>
    <t>WO-10015</t>
  </si>
  <si>
    <t>WO-10016</t>
  </si>
  <si>
    <t>WO-10017</t>
  </si>
  <si>
    <t>WO-10018</t>
  </si>
  <si>
    <t>WO-10019</t>
  </si>
  <si>
    <t>WO-10020</t>
  </si>
  <si>
    <t>WO-10021</t>
  </si>
  <si>
    <t>WO-10022</t>
  </si>
  <si>
    <t>WO-10023</t>
  </si>
  <si>
    <t>WO-10024</t>
  </si>
  <si>
    <t>WO-10025</t>
  </si>
  <si>
    <t>WO-10026</t>
  </si>
  <si>
    <t>WO-10027</t>
  </si>
  <si>
    <t>WO-10028</t>
  </si>
  <si>
    <t>WO-10029</t>
  </si>
  <si>
    <t>WO-10030</t>
  </si>
  <si>
    <t>WO-10031</t>
  </si>
  <si>
    <t>WO-10032</t>
  </si>
  <si>
    <t>WO-10033</t>
  </si>
  <si>
    <t>WO-10034</t>
  </si>
  <si>
    <t>WO-10035</t>
  </si>
  <si>
    <t>WO-10036</t>
  </si>
  <si>
    <t>WO-10037</t>
  </si>
  <si>
    <t>WO-10038</t>
  </si>
  <si>
    <t>WO-10039</t>
  </si>
  <si>
    <t>WO-10040</t>
  </si>
  <si>
    <t>WO-10041</t>
  </si>
  <si>
    <t>WO-10042</t>
  </si>
  <si>
    <t>WO-10043</t>
  </si>
  <si>
    <t>WO-10044</t>
  </si>
  <si>
    <t>WO-10045</t>
  </si>
  <si>
    <t>WO-10046</t>
  </si>
  <si>
    <t>WO-10047</t>
  </si>
  <si>
    <t>WO-10048</t>
  </si>
  <si>
    <t>WO-10049</t>
  </si>
  <si>
    <t>WO-10050</t>
  </si>
  <si>
    <t>WO-10051</t>
  </si>
  <si>
    <t>WO-10052</t>
  </si>
  <si>
    <t>WO-10053</t>
  </si>
  <si>
    <t>WO-10054</t>
  </si>
  <si>
    <t>WO-10055</t>
  </si>
  <si>
    <t>WO-10056</t>
  </si>
  <si>
    <t>WO-10057</t>
  </si>
  <si>
    <t>WO-10058</t>
  </si>
  <si>
    <t>WO-10059</t>
  </si>
  <si>
    <t>WO-10060</t>
  </si>
  <si>
    <t>WO-10061</t>
  </si>
  <si>
    <t>WO-10062</t>
  </si>
  <si>
    <t>WO-10063</t>
  </si>
  <si>
    <t>WO-10064</t>
  </si>
  <si>
    <t>WO-10065</t>
  </si>
  <si>
    <t>WO-10066</t>
  </si>
  <si>
    <t>WO-10067</t>
  </si>
  <si>
    <t>WO-10068</t>
  </si>
  <si>
    <t>WO-10069</t>
  </si>
  <si>
    <t>WO-10070</t>
  </si>
  <si>
    <t>WO-10071</t>
  </si>
  <si>
    <t>WO-10072</t>
  </si>
  <si>
    <t>WO-10073</t>
  </si>
  <si>
    <t>WO-10074</t>
  </si>
  <si>
    <t>WO-10075</t>
  </si>
  <si>
    <t>WO-10076</t>
  </si>
  <si>
    <t>WO-10077</t>
  </si>
  <si>
    <t>WO-10078</t>
  </si>
  <si>
    <t>WO-10079</t>
  </si>
  <si>
    <t>WO-10080</t>
  </si>
  <si>
    <t>WO-10081</t>
  </si>
  <si>
    <t>WO-10082</t>
  </si>
  <si>
    <t>WO-10083</t>
  </si>
  <si>
    <t>WO-10084</t>
  </si>
  <si>
    <t>WO-10085</t>
  </si>
  <si>
    <t>WO-10086</t>
  </si>
  <si>
    <t>WO-10087</t>
  </si>
  <si>
    <t>WO-10088</t>
  </si>
  <si>
    <t>WO-10089</t>
  </si>
  <si>
    <t>WO-10090</t>
  </si>
  <si>
    <t>WO-10091</t>
  </si>
  <si>
    <t>WO-10092</t>
  </si>
  <si>
    <t>WO-10093</t>
  </si>
  <si>
    <t>WO-10094</t>
  </si>
  <si>
    <t>WO-10095</t>
  </si>
  <si>
    <t>WO-10096</t>
  </si>
  <si>
    <t>WO-10097</t>
  </si>
  <si>
    <t>WO-10098</t>
  </si>
  <si>
    <t>WO-10099</t>
  </si>
  <si>
    <t>WO-10100</t>
  </si>
  <si>
    <t>WO-10101</t>
  </si>
  <si>
    <t>WO-10102</t>
  </si>
  <si>
    <t>WO-10103</t>
  </si>
  <si>
    <t>WO-10104</t>
  </si>
  <si>
    <t>WO-10105</t>
  </si>
  <si>
    <t>WO-10106</t>
  </si>
  <si>
    <t>WO-10107</t>
  </si>
  <si>
    <t>WO-10108</t>
  </si>
  <si>
    <t>WO-10109</t>
  </si>
  <si>
    <t>WO-10110</t>
  </si>
  <si>
    <t>WO-10111</t>
  </si>
  <si>
    <t>WO-10112</t>
  </si>
  <si>
    <t>WO-10113</t>
  </si>
  <si>
    <t>WO-10114</t>
  </si>
  <si>
    <t>WO-10115</t>
  </si>
  <si>
    <t>WO-10116</t>
  </si>
  <si>
    <t>WO-10117</t>
  </si>
  <si>
    <t>WO-10118</t>
  </si>
  <si>
    <t>WO-10119</t>
  </si>
  <si>
    <t>WO-10120</t>
  </si>
  <si>
    <t>WO-10121</t>
  </si>
  <si>
    <t>WO-10122</t>
  </si>
  <si>
    <t>WO-10123</t>
  </si>
  <si>
    <t>WO-10124</t>
  </si>
  <si>
    <t>WO-10125</t>
  </si>
  <si>
    <t>WO-10126</t>
  </si>
  <si>
    <t>WO-10127</t>
  </si>
  <si>
    <t>WO-10128</t>
  </si>
  <si>
    <t>WO-10129</t>
  </si>
  <si>
    <t>WO-10130</t>
  </si>
  <si>
    <t>WO-10131</t>
  </si>
  <si>
    <t>WO-10132</t>
  </si>
  <si>
    <t>WO-10133</t>
  </si>
  <si>
    <t>WO-10134</t>
  </si>
  <si>
    <t>WO-10135</t>
  </si>
  <si>
    <t>WO-10136</t>
  </si>
  <si>
    <t>WO-10137</t>
  </si>
  <si>
    <t>WO-10138</t>
  </si>
  <si>
    <t>WO-10139</t>
  </si>
  <si>
    <t>WO-10140</t>
  </si>
  <si>
    <t>WO-10141</t>
  </si>
  <si>
    <t>WO-10142</t>
  </si>
  <si>
    <t>WO-10143</t>
  </si>
  <si>
    <t>WO-10144</t>
  </si>
  <si>
    <t>WO-10145</t>
  </si>
  <si>
    <t>WO-10146</t>
  </si>
  <si>
    <t>WO-10147</t>
  </si>
  <si>
    <t>WO-10148</t>
  </si>
  <si>
    <t>WO-10149</t>
  </si>
  <si>
    <t>WO-10150</t>
  </si>
  <si>
    <t>WO-10151</t>
  </si>
  <si>
    <t>WO-10152</t>
  </si>
  <si>
    <t>WO-10153</t>
  </si>
  <si>
    <t>WO-10154</t>
  </si>
  <si>
    <t>WO-10155</t>
  </si>
  <si>
    <t>WO-10156</t>
  </si>
  <si>
    <t>WO-10157</t>
  </si>
  <si>
    <t>WO-10158</t>
  </si>
  <si>
    <t>WO-10159</t>
  </si>
  <si>
    <t>WO-10160</t>
  </si>
  <si>
    <t>WO-10161</t>
  </si>
  <si>
    <t>WO-10162</t>
  </si>
  <si>
    <t>WO-10163</t>
  </si>
  <si>
    <t>WO-10164</t>
  </si>
  <si>
    <t>WO-10165</t>
  </si>
  <si>
    <t>WO-10166</t>
  </si>
  <si>
    <t>WO-10167</t>
  </si>
  <si>
    <t>WO-10168</t>
  </si>
  <si>
    <t>WO-10169</t>
  </si>
  <si>
    <t>WO-10170</t>
  </si>
  <si>
    <t>WO-10171</t>
  </si>
  <si>
    <t>WO-10172</t>
  </si>
  <si>
    <t>WO-10173</t>
  </si>
  <si>
    <t>WO-10174</t>
  </si>
  <si>
    <t>WO-10175</t>
  </si>
  <si>
    <t>WO-10176</t>
  </si>
  <si>
    <t>WO-10177</t>
  </si>
  <si>
    <t>WO-10178</t>
  </si>
  <si>
    <t>WO-10179</t>
  </si>
  <si>
    <t>WO-10180</t>
  </si>
  <si>
    <t>WO-10181</t>
  </si>
  <si>
    <t>WO-10182</t>
  </si>
  <si>
    <t>WO-10183</t>
  </si>
  <si>
    <t>WO-10184</t>
  </si>
  <si>
    <t>WO-10185</t>
  </si>
  <si>
    <t>WO-10186</t>
  </si>
  <si>
    <t>WO-10187</t>
  </si>
  <si>
    <t>WO-10188</t>
  </si>
  <si>
    <t>WO-10189</t>
  </si>
  <si>
    <t>WO-10190</t>
  </si>
  <si>
    <t>WO-10191</t>
  </si>
  <si>
    <t>WO-10192</t>
  </si>
  <si>
    <t>WO-10193</t>
  </si>
  <si>
    <t>WO-10194</t>
  </si>
  <si>
    <t>WO-10195</t>
  </si>
  <si>
    <t>WO-10196</t>
  </si>
  <si>
    <t>WO-10197</t>
  </si>
  <si>
    <t>WO-10198</t>
  </si>
  <si>
    <t>WO-10199</t>
  </si>
  <si>
    <t>WO-10200</t>
  </si>
  <si>
    <t>WO-10201</t>
  </si>
  <si>
    <t>WO-10202</t>
  </si>
  <si>
    <t>WO-10203</t>
  </si>
  <si>
    <t>WO-10204</t>
  </si>
  <si>
    <t>WO-10205</t>
  </si>
  <si>
    <t>WO-10206</t>
  </si>
  <si>
    <t>WO-10207</t>
  </si>
  <si>
    <t>WO-10208</t>
  </si>
  <si>
    <t>WO-10209</t>
  </si>
  <si>
    <t>WO-10210</t>
  </si>
  <si>
    <t>WO-10211</t>
  </si>
  <si>
    <t>WO-10212</t>
  </si>
  <si>
    <t>WO-10213</t>
  </si>
  <si>
    <t>WO-10214</t>
  </si>
  <si>
    <t>WO-10215</t>
  </si>
  <si>
    <t>WO-10216</t>
  </si>
  <si>
    <t>WO-10217</t>
  </si>
  <si>
    <t>WO-10218</t>
  </si>
  <si>
    <t>WO-10219</t>
  </si>
  <si>
    <t>WO-10220</t>
  </si>
  <si>
    <t>WO-10221</t>
  </si>
  <si>
    <t>WO-10222</t>
  </si>
  <si>
    <t>WO-10223</t>
  </si>
  <si>
    <t>WO-10224</t>
  </si>
  <si>
    <t>WO-10225</t>
  </si>
  <si>
    <t>WO-10226</t>
  </si>
  <si>
    <t>WO-10227</t>
  </si>
  <si>
    <t>WO-10228</t>
  </si>
  <si>
    <t>WO-10229</t>
  </si>
  <si>
    <t>WO-10230</t>
  </si>
  <si>
    <t>WO-10231</t>
  </si>
  <si>
    <t>WO-10232</t>
  </si>
  <si>
    <t>WO-10233</t>
  </si>
  <si>
    <t>WO-10234</t>
  </si>
  <si>
    <t>WO-10235</t>
  </si>
  <si>
    <t>WO-10236</t>
  </si>
  <si>
    <t>WO-10237</t>
  </si>
  <si>
    <t>WO-10238</t>
  </si>
  <si>
    <t>WO-10239</t>
  </si>
  <si>
    <t>WO-10240</t>
  </si>
  <si>
    <t>WO-10241</t>
  </si>
  <si>
    <t>WO-10242</t>
  </si>
  <si>
    <t>WO-10243</t>
  </si>
  <si>
    <t>WO-10244</t>
  </si>
  <si>
    <t>WO-10245</t>
  </si>
  <si>
    <t>WO-10246</t>
  </si>
  <si>
    <t>WO-10247</t>
  </si>
  <si>
    <t>WO-10248</t>
  </si>
  <si>
    <t>WO-10249</t>
  </si>
  <si>
    <t>WO-10250</t>
  </si>
  <si>
    <t>WO-10251</t>
  </si>
  <si>
    <t>WO-10252</t>
  </si>
  <si>
    <t>WO-10253</t>
  </si>
  <si>
    <t>WO-10254</t>
  </si>
  <si>
    <t>WO-10255</t>
  </si>
  <si>
    <t>WO-10256</t>
  </si>
  <si>
    <t>WO-10257</t>
  </si>
  <si>
    <t>WO-10258</t>
  </si>
  <si>
    <t>WO-10259</t>
  </si>
  <si>
    <t>WO-10260</t>
  </si>
  <si>
    <t>WO-10261</t>
  </si>
  <si>
    <t>WO-10262</t>
  </si>
  <si>
    <t>WO-10263</t>
  </si>
  <si>
    <t>WO-10264</t>
  </si>
  <si>
    <t>WO-10265</t>
  </si>
  <si>
    <t>WO-10266</t>
  </si>
  <si>
    <t>WO-10267</t>
  </si>
  <si>
    <t>WO-10268</t>
  </si>
  <si>
    <t>WO-10269</t>
  </si>
  <si>
    <t>WO-10270</t>
  </si>
  <si>
    <t>WO-10271</t>
  </si>
  <si>
    <t>WO-10272</t>
  </si>
  <si>
    <t>WO-10273</t>
  </si>
  <si>
    <t>WO-10274</t>
  </si>
  <si>
    <t>WO-10275</t>
  </si>
  <si>
    <t>WO-10276</t>
  </si>
  <si>
    <t>WO-10277</t>
  </si>
  <si>
    <t>WO-10278</t>
  </si>
  <si>
    <t>WO-10279</t>
  </si>
  <si>
    <t>WO-10280</t>
  </si>
  <si>
    <t>WO-10281</t>
  </si>
  <si>
    <t>WO-10282</t>
  </si>
  <si>
    <t>WO-10283</t>
  </si>
  <si>
    <t>WO-10284</t>
  </si>
  <si>
    <t>WO-10285</t>
  </si>
  <si>
    <t>WO-10286</t>
  </si>
  <si>
    <t>WO-10287</t>
  </si>
  <si>
    <t>WO-10288</t>
  </si>
  <si>
    <t>WO-10289</t>
  </si>
  <si>
    <t>WO-10290</t>
  </si>
  <si>
    <t>WO-10291</t>
  </si>
  <si>
    <t>WO-10292</t>
  </si>
  <si>
    <t>WO-10293</t>
  </si>
  <si>
    <t>WO-10294</t>
  </si>
  <si>
    <t>WO-10295</t>
  </si>
  <si>
    <t>WO-10296</t>
  </si>
  <si>
    <t>WO-10297</t>
  </si>
  <si>
    <t>WO-10298</t>
  </si>
  <si>
    <t>WO-10299</t>
  </si>
  <si>
    <t>WO-10300</t>
  </si>
  <si>
    <t>Hourly Rate</t>
  </si>
  <si>
    <t>Vendor Cost</t>
  </si>
  <si>
    <t>Labor Cost</t>
  </si>
  <si>
    <t>Total Cost</t>
  </si>
  <si>
    <t>Row Labels</t>
  </si>
  <si>
    <t>Grand Total</t>
  </si>
  <si>
    <t>Sum of Total Cost</t>
  </si>
  <si>
    <t>Total Work Orders</t>
  </si>
  <si>
    <t>Total Maintenance Cost</t>
  </si>
  <si>
    <t>Average Work Order Cost</t>
  </si>
  <si>
    <t>Highest Cost 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</si>
</sst>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44" fontId="2" fillId="0" borderId="0" xfId="0" applyNumberFormat="1" applyFont="1"/>
  </cellXfs>
  <cellStyles count="1">
    <cellStyle name="Normal" xfId="0" builtinId="0"/>
  </cellStyles>
  <dxfs count="18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 Sands Work Order Cost Rollup 2025.xlsx]Department 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Maintinace</a:t>
            </a:r>
            <a:r>
              <a:rPr lang="en-US" sz="1400" b="1" baseline="0"/>
              <a:t>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Summary'!$A$4:$A$9</c:f>
              <c:strCache>
                <c:ptCount val="5"/>
                <c:pt idx="0">
                  <c:v>Entertainment &amp; Events</c:v>
                </c:pt>
                <c:pt idx="1">
                  <c:v>Facilities</c:v>
                </c:pt>
                <c:pt idx="2">
                  <c:v>Food &amp; Beverage</c:v>
                </c:pt>
                <c:pt idx="3">
                  <c:v>Gaming Operations</c:v>
                </c:pt>
                <c:pt idx="4">
                  <c:v>Housekeeping</c:v>
                </c:pt>
              </c:strCache>
            </c:strRef>
          </c:cat>
          <c:val>
            <c:numRef>
              <c:f>'Department Summary'!$B$4:$B$9</c:f>
              <c:numCache>
                <c:formatCode>_("$"* #,##0.00_);_("$"* \(#,##0.00\);_("$"* "-"??_);_(@_)</c:formatCode>
                <c:ptCount val="5"/>
                <c:pt idx="0">
                  <c:v>150528.74999999994</c:v>
                </c:pt>
                <c:pt idx="1">
                  <c:v>165420.46000000002</c:v>
                </c:pt>
                <c:pt idx="2">
                  <c:v>140661.38999999998</c:v>
                </c:pt>
                <c:pt idx="3">
                  <c:v>155175.69000000006</c:v>
                </c:pt>
                <c:pt idx="4">
                  <c:v>117390.71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9-4A03-91D3-C0F87B3BF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022640"/>
        <c:axId val="264938816"/>
      </c:barChart>
      <c:catAx>
        <c:axId val="184002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38816"/>
        <c:crosses val="autoZero"/>
        <c:auto val="1"/>
        <c:lblAlgn val="ctr"/>
        <c:lblOffset val="100"/>
        <c:noMultiLvlLbl val="0"/>
      </c:catAx>
      <c:valAx>
        <c:axId val="26493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02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 Sands Work Order Cost Rollup 2025.xlsx]Work Type Summary!PivotTable6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effectLst/>
              </a:rPr>
              <a:t>Maintenance Cost by Work Type</a:t>
            </a:r>
            <a:endParaRPr lang="en-US" sz="16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'Work Type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 Type Summary'!$A$4:$A$9</c:f>
              <c:strCache>
                <c:ptCount val="5"/>
                <c:pt idx="0">
                  <c:v>Carpentry</c:v>
                </c:pt>
                <c:pt idx="1">
                  <c:v>Electrical Repair</c:v>
                </c:pt>
                <c:pt idx="2">
                  <c:v>General Maintenance</c:v>
                </c:pt>
                <c:pt idx="3">
                  <c:v>HVAC Repair</c:v>
                </c:pt>
                <c:pt idx="4">
                  <c:v>Plumbing Repair</c:v>
                </c:pt>
              </c:strCache>
            </c:strRef>
          </c:cat>
          <c:val>
            <c:numRef>
              <c:f>'Work Type Summary'!$B$4:$B$9</c:f>
              <c:numCache>
                <c:formatCode>_("$"* #,##0.00_);_("$"* \(#,##0.00\);_("$"* "-"??_);_(@_)</c:formatCode>
                <c:ptCount val="5"/>
                <c:pt idx="0">
                  <c:v>159830.74000000002</c:v>
                </c:pt>
                <c:pt idx="1">
                  <c:v>144294.01</c:v>
                </c:pt>
                <c:pt idx="2">
                  <c:v>149535.16</c:v>
                </c:pt>
                <c:pt idx="3">
                  <c:v>138377.35</c:v>
                </c:pt>
                <c:pt idx="4">
                  <c:v>137139.74000000002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289-BEEA-03F896D9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0667392"/>
        <c:axId val="1986824448"/>
      </c:barChart>
      <c:catAx>
        <c:axId val="185066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24448"/>
        <c:crosses val="autoZero"/>
        <c:auto val="1"/>
        <c:lblAlgn val="ctr"/>
        <c:lblOffset val="100"/>
        <c:noMultiLvlLbl val="0"/>
      </c:catAx>
      <c:valAx>
        <c:axId val="19868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6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 Sands Work Order Cost Rollup 2025.xlsx]Vendor Summary!PivotTable7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Maitntenance Cost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'Vendor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'Vendor Summary'!$A$4:$A$12</c:f>
              <c:strCache>
                <c:ptCount val="8"/>
                <c:pt idx="0">
                  <c:v>Desert Mechanical</c:v>
                </c:pt>
                <c:pt idx="1">
                  <c:v>Red Rock Repair</c:v>
                </c:pt>
                <c:pt idx="2">
                  <c:v>Vegas Plumbing</c:v>
                </c:pt>
                <c:pt idx="3">
                  <c:v>Nevada Electric</c:v>
                </c:pt>
                <c:pt idx="4">
                  <c:v>Western HVAC</c:v>
                </c:pt>
                <c:pt idx="5">
                  <c:v>Ace Maintenance</c:v>
                </c:pt>
                <c:pt idx="6">
                  <c:v>Metro Services</c:v>
                </c:pt>
                <c:pt idx="7">
                  <c:v>Silver State Contractors</c:v>
                </c:pt>
              </c:strCache>
            </c:strRef>
          </c:cat>
          <c:val>
            <c:numRef>
              <c:f>'Vendor Summary'!$B$4:$B$12</c:f>
              <c:numCache>
                <c:formatCode>_("$"* #,##0.00_);_("$"* \(#,##0.00\);_("$"* "-"??_);_(@_)</c:formatCode>
                <c:ptCount val="8"/>
                <c:pt idx="0">
                  <c:v>107167.41</c:v>
                </c:pt>
                <c:pt idx="1">
                  <c:v>99553.26999999999</c:v>
                </c:pt>
                <c:pt idx="2">
                  <c:v>99229.119999999995</c:v>
                </c:pt>
                <c:pt idx="3">
                  <c:v>99002.260000000009</c:v>
                </c:pt>
                <c:pt idx="4">
                  <c:v>89169.37000000001</c:v>
                </c:pt>
                <c:pt idx="5">
                  <c:v>84828.71</c:v>
                </c:pt>
                <c:pt idx="6">
                  <c:v>76774.929999999993</c:v>
                </c:pt>
                <c:pt idx="7">
                  <c:v>73451.929999999978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C-44A8-B574-B3CD1A2E6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009184"/>
        <c:axId val="264935936"/>
      </c:barChart>
      <c:catAx>
        <c:axId val="198700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35936"/>
        <c:crosses val="autoZero"/>
        <c:auto val="1"/>
        <c:lblAlgn val="ctr"/>
        <c:lblOffset val="100"/>
        <c:noMultiLvlLbl val="0"/>
      </c:catAx>
      <c:valAx>
        <c:axId val="26493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0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 Sands Work Order Cost Rollup 2025.xlsx]Department Summary!PivotTable5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Maintinace</a:t>
            </a:r>
            <a:r>
              <a:rPr lang="en-US" sz="1600" b="1" baseline="0"/>
              <a:t>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Summary'!$A$4:$A$9</c:f>
              <c:strCache>
                <c:ptCount val="5"/>
                <c:pt idx="0">
                  <c:v>Entertainment &amp; Events</c:v>
                </c:pt>
                <c:pt idx="1">
                  <c:v>Facilities</c:v>
                </c:pt>
                <c:pt idx="2">
                  <c:v>Food &amp; Beverage</c:v>
                </c:pt>
                <c:pt idx="3">
                  <c:v>Gaming Operations</c:v>
                </c:pt>
                <c:pt idx="4">
                  <c:v>Housekeeping</c:v>
                </c:pt>
              </c:strCache>
            </c:strRef>
          </c:cat>
          <c:val>
            <c:numRef>
              <c:f>'Department Summary'!$B$4:$B$9</c:f>
              <c:numCache>
                <c:formatCode>_("$"* #,##0.00_);_("$"* \(#,##0.00\);_("$"* "-"??_);_(@_)</c:formatCode>
                <c:ptCount val="5"/>
                <c:pt idx="0">
                  <c:v>150528.74999999994</c:v>
                </c:pt>
                <c:pt idx="1">
                  <c:v>165420.46000000002</c:v>
                </c:pt>
                <c:pt idx="2">
                  <c:v>140661.38999999998</c:v>
                </c:pt>
                <c:pt idx="3">
                  <c:v>155175.69000000006</c:v>
                </c:pt>
                <c:pt idx="4">
                  <c:v>117390.71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B-4849-AB5E-B832BB92D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022640"/>
        <c:axId val="264938816"/>
      </c:barChart>
      <c:catAx>
        <c:axId val="184002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38816"/>
        <c:crosses val="autoZero"/>
        <c:auto val="1"/>
        <c:lblAlgn val="ctr"/>
        <c:lblOffset val="100"/>
        <c:noMultiLvlLbl val="0"/>
      </c:catAx>
      <c:valAx>
        <c:axId val="26493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02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 Sands Work Order Cost Rollup 2025.xlsx]Work Type Summary!PivotTable6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effectLst/>
              </a:rPr>
              <a:t>Maintenance Cost by Work Type</a:t>
            </a:r>
            <a:endParaRPr lang="en-US" sz="16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'Work Type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 Type Summary'!$A$4:$A$9</c:f>
              <c:strCache>
                <c:ptCount val="5"/>
                <c:pt idx="0">
                  <c:v>Carpentry</c:v>
                </c:pt>
                <c:pt idx="1">
                  <c:v>Electrical Repair</c:v>
                </c:pt>
                <c:pt idx="2">
                  <c:v>General Maintenance</c:v>
                </c:pt>
                <c:pt idx="3">
                  <c:v>HVAC Repair</c:v>
                </c:pt>
                <c:pt idx="4">
                  <c:v>Plumbing Repair</c:v>
                </c:pt>
              </c:strCache>
            </c:strRef>
          </c:cat>
          <c:val>
            <c:numRef>
              <c:f>'Work Type Summary'!$B$4:$B$9</c:f>
              <c:numCache>
                <c:formatCode>_("$"* #,##0.00_);_("$"* \(#,##0.00\);_("$"* "-"??_);_(@_)</c:formatCode>
                <c:ptCount val="5"/>
                <c:pt idx="0">
                  <c:v>159830.74000000002</c:v>
                </c:pt>
                <c:pt idx="1">
                  <c:v>144294.01</c:v>
                </c:pt>
                <c:pt idx="2">
                  <c:v>149535.16</c:v>
                </c:pt>
                <c:pt idx="3">
                  <c:v>138377.35</c:v>
                </c:pt>
                <c:pt idx="4">
                  <c:v>137139.74000000002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F-4CB5-B35C-8ED3E0273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0667392"/>
        <c:axId val="1986824448"/>
      </c:barChart>
      <c:catAx>
        <c:axId val="185066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24448"/>
        <c:crosses val="autoZero"/>
        <c:auto val="1"/>
        <c:lblAlgn val="ctr"/>
        <c:lblOffset val="100"/>
        <c:noMultiLvlLbl val="0"/>
      </c:catAx>
      <c:valAx>
        <c:axId val="19868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6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[Silver Sands Work Order Cost Rollup 2025.xlsx]Vendor Summary!PivotTable7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Maitntenance Cost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'Vendor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'Vendor Summary'!$A$4:$A$12</c:f>
              <c:strCache>
                <c:ptCount val="8"/>
                <c:pt idx="0">
                  <c:v>Desert Mechanical</c:v>
                </c:pt>
                <c:pt idx="1">
                  <c:v>Red Rock Repair</c:v>
                </c:pt>
                <c:pt idx="2">
                  <c:v>Vegas Plumbing</c:v>
                </c:pt>
                <c:pt idx="3">
                  <c:v>Nevada Electric</c:v>
                </c:pt>
                <c:pt idx="4">
                  <c:v>Western HVAC</c:v>
                </c:pt>
                <c:pt idx="5">
                  <c:v>Ace Maintenance</c:v>
                </c:pt>
                <c:pt idx="6">
                  <c:v>Metro Services</c:v>
                </c:pt>
                <c:pt idx="7">
                  <c:v>Silver State Contractors</c:v>
                </c:pt>
              </c:strCache>
            </c:strRef>
          </c:cat>
          <c:val>
            <c:numRef>
              <c:f>'Vendor Summary'!$B$4:$B$12</c:f>
              <c:numCache>
                <c:formatCode>_("$"* #,##0.00_);_("$"* \(#,##0.00\);_("$"* "-"??_);_(@_)</c:formatCode>
                <c:ptCount val="8"/>
                <c:pt idx="0">
                  <c:v>107167.41</c:v>
                </c:pt>
                <c:pt idx="1">
                  <c:v>99553.26999999999</c:v>
                </c:pt>
                <c:pt idx="2">
                  <c:v>99229.119999999995</c:v>
                </c:pt>
                <c:pt idx="3">
                  <c:v>99002.260000000009</c:v>
                </c:pt>
                <c:pt idx="4">
                  <c:v>89169.37000000001</c:v>
                </c:pt>
                <c:pt idx="5">
                  <c:v>84828.71</c:v>
                </c:pt>
                <c:pt idx="6">
                  <c:v>76774.929999999993</c:v>
                </c:pt>
                <c:pt idx="7">
                  <c:v>73451.929999999978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B-4951-9E2B-23F76C3DB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009184"/>
        <c:axId val="264935936"/>
      </c:barChart>
      <c:catAx>
        <c:axId val="198700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35936"/>
        <c:crosses val="autoZero"/>
        <c:auto val="1"/>
        <c:lblAlgn val="ctr"/>
        <c:lblOffset val="100"/>
        <c:noMultiLvlLbl val="0"/>
      </c:catAx>
      <c:valAx>
        <c:axId val="26493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0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80962</xdr:rowOff>
    </xdr:from>
    <xdr:to>
      <xdr:col>7</xdr:col>
      <xdr:colOff>466725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A9DDD-1DC7-8173-8947-71FB11220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80962</xdr:rowOff>
    </xdr:from>
    <xdr:to>
      <xdr:col>7</xdr:col>
      <xdr:colOff>371475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69837-1372-A272-14FC-2926CC774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4762</xdr:rowOff>
    </xdr:from>
    <xdr:to>
      <xdr:col>7</xdr:col>
      <xdr:colOff>257175</xdr:colOff>
      <xdr:row>28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CCC62-6A47-3316-FBD0-9ED00DBDD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190499</xdr:rowOff>
    </xdr:from>
    <xdr:to>
      <xdr:col>7</xdr:col>
      <xdr:colOff>609599</xdr:colOff>
      <xdr:row>21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6F4C2-E18D-4840-8B80-42347D968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600075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846B45-B46F-4F45-A100-AE3A7647A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190499</xdr:rowOff>
    </xdr:from>
    <xdr:to>
      <xdr:col>8</xdr:col>
      <xdr:colOff>19050</xdr:colOff>
      <xdr:row>57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B9DFF7-A16B-47B3-B2B8-A186A911C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" refreshedDate="46251.492054513888" createdVersion="8" refreshedVersion="8" minRefreshableVersion="3" recordCount="300" xr:uid="{C43810F3-11D6-4CA4-A987-07FE6F561BCA}">
  <cacheSource type="worksheet">
    <worksheetSource name="tblWorkOrders5"/>
  </cacheSource>
  <cacheFields count="11">
    <cacheField name="WO Number" numFmtId="0">
      <sharedItems/>
    </cacheField>
    <cacheField name="Open Date" numFmtId="14">
      <sharedItems containsSemiMixedTypes="0" containsNonDate="0" containsDate="1" containsString="0" minDate="2025-01-02T00:00:00" maxDate="2025-12-30T00:00:00"/>
    </cacheField>
    <cacheField name="Department" numFmtId="0">
      <sharedItems count="5">
        <s v="Housekeeping"/>
        <s v="Facilities"/>
        <s v="Food &amp; Beverage"/>
        <s v="Gaming Operations"/>
        <s v="Entertainment &amp; Events"/>
      </sharedItems>
    </cacheField>
    <cacheField name="Work Type" numFmtId="0">
      <sharedItems count="5">
        <s v="HVAC Repair"/>
        <s v="General Maintenance"/>
        <s v="Carpentry"/>
        <s v="Electrical Repair"/>
        <s v="Plumbing Repair"/>
      </sharedItems>
    </cacheField>
    <cacheField name="Trade" numFmtId="0">
      <sharedItems/>
    </cacheField>
    <cacheField name="Vendor" numFmtId="0">
      <sharedItems count="8">
        <s v="Western HVAC"/>
        <s v="Metro Services"/>
        <s v="Desert Mechanical"/>
        <s v="Silver State Contractors"/>
        <s v="Ace Maintenance"/>
        <s v="Red Rock Repair"/>
        <s v="Vegas Plumbing"/>
        <s v="Nevada Electric"/>
      </sharedItems>
    </cacheField>
    <cacheField name="Labor Hours" numFmtId="0">
      <sharedItems containsSemiMixedTypes="0" containsString="0" containsNumber="1" minValue="1.7" maxValue="16"/>
    </cacheField>
    <cacheField name="Hourly Rate" numFmtId="44">
      <sharedItems containsSemiMixedTypes="0" containsString="0" containsNumber="1" containsInteger="1" minValue="52" maxValue="82"/>
    </cacheField>
    <cacheField name="Labor Cost" numFmtId="44">
      <sharedItems containsSemiMixedTypes="0" containsString="0" containsNumber="1" minValue="98.8" maxValue="1271"/>
    </cacheField>
    <cacheField name="Vendor Cost" numFmtId="44">
      <sharedItems containsSemiMixedTypes="0" containsString="0" containsNumber="1" minValue="174.09" maxValue="3494.82"/>
    </cacheField>
    <cacheField name="Total Cost" numFmtId="44">
      <sharedItems containsSemiMixedTypes="0" containsString="0" containsNumber="1" minValue="539.23" maxValue="442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WO-10001"/>
    <d v="2025-11-24T00:00:00"/>
    <x v="0"/>
    <x v="0"/>
    <s v="HVAC Tech"/>
    <x v="0"/>
    <n v="5.0999999999999996"/>
    <n v="75"/>
    <n v="382.5"/>
    <n v="617.45000000000005"/>
    <n v="999.95"/>
  </r>
  <r>
    <s v="WO-10002"/>
    <d v="2025-02-22T00:00:00"/>
    <x v="1"/>
    <x v="0"/>
    <s v="HVAC Tech"/>
    <x v="1"/>
    <n v="2"/>
    <n v="75"/>
    <n v="150"/>
    <n v="463.88"/>
    <n v="613.88"/>
  </r>
  <r>
    <s v="WO-10003"/>
    <d v="2025-04-30T00:00:00"/>
    <x v="1"/>
    <x v="1"/>
    <s v="General Maintenance"/>
    <x v="2"/>
    <n v="9.6"/>
    <n v="52"/>
    <n v="499.2"/>
    <n v="2548.67"/>
    <n v="3047.87"/>
  </r>
  <r>
    <s v="WO-10004"/>
    <d v="2025-12-26T00:00:00"/>
    <x v="1"/>
    <x v="2"/>
    <s v="Carpenter"/>
    <x v="3"/>
    <n v="8"/>
    <n v="68"/>
    <n v="544"/>
    <n v="1081.94"/>
    <n v="1625.94"/>
  </r>
  <r>
    <s v="WO-10005"/>
    <d v="2025-01-04T00:00:00"/>
    <x v="2"/>
    <x v="2"/>
    <s v="Carpenter"/>
    <x v="4"/>
    <n v="5.5"/>
    <n v="68"/>
    <n v="374"/>
    <n v="871.3"/>
    <n v="1245.3"/>
  </r>
  <r>
    <s v="WO-10006"/>
    <d v="2025-06-22T00:00:00"/>
    <x v="0"/>
    <x v="0"/>
    <s v="HVAC Tech"/>
    <x v="1"/>
    <n v="2.9"/>
    <n v="75"/>
    <n v="217.5"/>
    <n v="2989.11"/>
    <n v="3206.61"/>
  </r>
  <r>
    <s v="WO-10007"/>
    <d v="2025-11-06T00:00:00"/>
    <x v="3"/>
    <x v="0"/>
    <s v="HVAC Tech"/>
    <x v="5"/>
    <n v="9.3000000000000007"/>
    <n v="75"/>
    <n v="697.5"/>
    <n v="3409.94"/>
    <n v="4107.4400000000005"/>
  </r>
  <r>
    <s v="WO-10008"/>
    <d v="2025-07-13T00:00:00"/>
    <x v="0"/>
    <x v="1"/>
    <s v="General Maintenance"/>
    <x v="0"/>
    <n v="13.5"/>
    <n v="52"/>
    <n v="702"/>
    <n v="2222.04"/>
    <n v="2924.04"/>
  </r>
  <r>
    <s v="WO-10009"/>
    <d v="2025-07-05T00:00:00"/>
    <x v="1"/>
    <x v="3"/>
    <s v="Electrician"/>
    <x v="6"/>
    <n v="2.2000000000000002"/>
    <n v="82"/>
    <n v="180.4"/>
    <n v="913.46"/>
    <n v="1093.8600000000001"/>
  </r>
  <r>
    <s v="WO-10010"/>
    <d v="2025-05-29T00:00:00"/>
    <x v="0"/>
    <x v="3"/>
    <s v="Electrician"/>
    <x v="6"/>
    <n v="7"/>
    <n v="82"/>
    <n v="574"/>
    <n v="1668.92"/>
    <n v="2242.92"/>
  </r>
  <r>
    <s v="WO-10011"/>
    <d v="2025-07-06T00:00:00"/>
    <x v="2"/>
    <x v="4"/>
    <s v="Plumber"/>
    <x v="4"/>
    <n v="4.5"/>
    <n v="79"/>
    <n v="355.5"/>
    <n v="1044.3800000000001"/>
    <n v="1399.88"/>
  </r>
  <r>
    <s v="WO-10012"/>
    <d v="2025-12-16T00:00:00"/>
    <x v="0"/>
    <x v="1"/>
    <s v="General Maintenance"/>
    <x v="7"/>
    <n v="9.1999999999999993"/>
    <n v="52"/>
    <n v="478.4"/>
    <n v="970.12"/>
    <n v="1448.52"/>
  </r>
  <r>
    <s v="WO-10013"/>
    <d v="2025-08-25T00:00:00"/>
    <x v="4"/>
    <x v="4"/>
    <s v="Plumber"/>
    <x v="3"/>
    <n v="11.4"/>
    <n v="79"/>
    <n v="900.6"/>
    <n v="2973.55"/>
    <n v="3874.15"/>
  </r>
  <r>
    <s v="WO-10014"/>
    <d v="2025-01-29T00:00:00"/>
    <x v="2"/>
    <x v="0"/>
    <s v="HVAC Tech"/>
    <x v="4"/>
    <n v="7.3"/>
    <n v="75"/>
    <n v="547.5"/>
    <n v="371.73"/>
    <n v="919.23"/>
  </r>
  <r>
    <s v="WO-10015"/>
    <d v="2025-10-18T00:00:00"/>
    <x v="3"/>
    <x v="3"/>
    <s v="Electrician"/>
    <x v="5"/>
    <n v="7.2"/>
    <n v="82"/>
    <n v="590.4"/>
    <n v="3213.73"/>
    <n v="3804.13"/>
  </r>
  <r>
    <s v="WO-10016"/>
    <d v="2025-08-23T00:00:00"/>
    <x v="2"/>
    <x v="4"/>
    <s v="Plumber"/>
    <x v="7"/>
    <n v="5.0999999999999996"/>
    <n v="79"/>
    <n v="402.9"/>
    <n v="2030.58"/>
    <n v="2433.48"/>
  </r>
  <r>
    <s v="WO-10017"/>
    <d v="2025-05-15T00:00:00"/>
    <x v="1"/>
    <x v="2"/>
    <s v="Carpenter"/>
    <x v="1"/>
    <n v="6.7"/>
    <n v="68"/>
    <n v="455.6"/>
    <n v="3491.04"/>
    <n v="3946.64"/>
  </r>
  <r>
    <s v="WO-10018"/>
    <d v="2025-03-12T00:00:00"/>
    <x v="1"/>
    <x v="2"/>
    <s v="Carpenter"/>
    <x v="6"/>
    <n v="12.5"/>
    <n v="68"/>
    <n v="850"/>
    <n v="3034.69"/>
    <n v="3884.69"/>
  </r>
  <r>
    <s v="WO-10019"/>
    <d v="2025-03-20T00:00:00"/>
    <x v="2"/>
    <x v="2"/>
    <s v="Carpenter"/>
    <x v="6"/>
    <n v="7.1"/>
    <n v="68"/>
    <n v="482.79999999999995"/>
    <n v="2146.23"/>
    <n v="2629.0299999999997"/>
  </r>
  <r>
    <s v="WO-10020"/>
    <d v="2025-08-28T00:00:00"/>
    <x v="1"/>
    <x v="4"/>
    <s v="Plumber"/>
    <x v="2"/>
    <n v="11.4"/>
    <n v="79"/>
    <n v="900.6"/>
    <n v="533.75"/>
    <n v="1434.35"/>
  </r>
  <r>
    <s v="WO-10021"/>
    <d v="2025-10-02T00:00:00"/>
    <x v="3"/>
    <x v="4"/>
    <s v="Plumber"/>
    <x v="6"/>
    <n v="5.8"/>
    <n v="79"/>
    <n v="458.2"/>
    <n v="679.83"/>
    <n v="1138.03"/>
  </r>
  <r>
    <s v="WO-10022"/>
    <d v="2025-01-02T00:00:00"/>
    <x v="3"/>
    <x v="1"/>
    <s v="General Maintenance"/>
    <x v="7"/>
    <n v="8.9"/>
    <n v="52"/>
    <n v="462.8"/>
    <n v="506.48"/>
    <n v="969.28"/>
  </r>
  <r>
    <s v="WO-10023"/>
    <d v="2025-11-17T00:00:00"/>
    <x v="3"/>
    <x v="1"/>
    <s v="General Maintenance"/>
    <x v="3"/>
    <n v="3.7"/>
    <n v="52"/>
    <n v="192.4"/>
    <n v="2704.41"/>
    <n v="2896.81"/>
  </r>
  <r>
    <s v="WO-10024"/>
    <d v="2025-10-04T00:00:00"/>
    <x v="1"/>
    <x v="0"/>
    <s v="HVAC Tech"/>
    <x v="4"/>
    <n v="8.6"/>
    <n v="75"/>
    <n v="645"/>
    <n v="524.76"/>
    <n v="1169.76"/>
  </r>
  <r>
    <s v="WO-10025"/>
    <d v="2025-07-05T00:00:00"/>
    <x v="3"/>
    <x v="3"/>
    <s v="Electrician"/>
    <x v="2"/>
    <n v="5"/>
    <n v="82"/>
    <n v="410"/>
    <n v="2050.65"/>
    <n v="2460.65"/>
  </r>
  <r>
    <s v="WO-10026"/>
    <d v="2025-02-10T00:00:00"/>
    <x v="0"/>
    <x v="2"/>
    <s v="Carpenter"/>
    <x v="6"/>
    <n v="15.7"/>
    <n v="68"/>
    <n v="1067.5999999999999"/>
    <n v="1934.57"/>
    <n v="3002.17"/>
  </r>
  <r>
    <s v="WO-10027"/>
    <d v="2025-03-06T00:00:00"/>
    <x v="2"/>
    <x v="2"/>
    <s v="Carpenter"/>
    <x v="7"/>
    <n v="5.3"/>
    <n v="68"/>
    <n v="360.4"/>
    <n v="3072.65"/>
    <n v="3433.05"/>
  </r>
  <r>
    <s v="WO-10028"/>
    <d v="2025-08-05T00:00:00"/>
    <x v="2"/>
    <x v="1"/>
    <s v="General Maintenance"/>
    <x v="3"/>
    <n v="11.8"/>
    <n v="52"/>
    <n v="613.6"/>
    <n v="1486.62"/>
    <n v="2100.2199999999998"/>
  </r>
  <r>
    <s v="WO-10029"/>
    <d v="2025-12-10T00:00:00"/>
    <x v="3"/>
    <x v="2"/>
    <s v="Carpenter"/>
    <x v="5"/>
    <n v="3.3"/>
    <n v="68"/>
    <n v="224.39999999999998"/>
    <n v="902.74"/>
    <n v="1127.1399999999999"/>
  </r>
  <r>
    <s v="WO-10030"/>
    <d v="2025-06-23T00:00:00"/>
    <x v="0"/>
    <x v="1"/>
    <s v="General Maintenance"/>
    <x v="3"/>
    <n v="10"/>
    <n v="52"/>
    <n v="520"/>
    <n v="174.09"/>
    <n v="694.09"/>
  </r>
  <r>
    <s v="WO-10031"/>
    <d v="2025-12-29T00:00:00"/>
    <x v="0"/>
    <x v="3"/>
    <s v="Electrician"/>
    <x v="6"/>
    <n v="14.6"/>
    <n v="82"/>
    <n v="1197.2"/>
    <n v="3029.78"/>
    <n v="4226.9800000000005"/>
  </r>
  <r>
    <s v="WO-10032"/>
    <d v="2025-02-06T00:00:00"/>
    <x v="1"/>
    <x v="3"/>
    <s v="Electrician"/>
    <x v="0"/>
    <n v="11.2"/>
    <n v="82"/>
    <n v="918.4"/>
    <n v="867.69"/>
    <n v="1786.0900000000001"/>
  </r>
  <r>
    <s v="WO-10033"/>
    <d v="2025-03-09T00:00:00"/>
    <x v="1"/>
    <x v="1"/>
    <s v="General Maintenance"/>
    <x v="5"/>
    <n v="5"/>
    <n v="52"/>
    <n v="260"/>
    <n v="1734.46"/>
    <n v="1994.46"/>
  </r>
  <r>
    <s v="WO-10034"/>
    <d v="2025-07-28T00:00:00"/>
    <x v="2"/>
    <x v="0"/>
    <s v="HVAC Tech"/>
    <x v="6"/>
    <n v="11.1"/>
    <n v="75"/>
    <n v="832.5"/>
    <n v="1336.9"/>
    <n v="2169.4"/>
  </r>
  <r>
    <s v="WO-10035"/>
    <d v="2025-07-30T00:00:00"/>
    <x v="4"/>
    <x v="0"/>
    <s v="HVAC Tech"/>
    <x v="6"/>
    <n v="2.4"/>
    <n v="75"/>
    <n v="180"/>
    <n v="2589.52"/>
    <n v="2769.52"/>
  </r>
  <r>
    <s v="WO-10036"/>
    <d v="2025-02-25T00:00:00"/>
    <x v="2"/>
    <x v="3"/>
    <s v="Electrician"/>
    <x v="3"/>
    <n v="9.3000000000000007"/>
    <n v="82"/>
    <n v="762.6"/>
    <n v="619.61"/>
    <n v="1382.21"/>
  </r>
  <r>
    <s v="WO-10037"/>
    <d v="2025-04-04T00:00:00"/>
    <x v="3"/>
    <x v="2"/>
    <s v="Carpenter"/>
    <x v="3"/>
    <n v="14.2"/>
    <n v="68"/>
    <n v="965.59999999999991"/>
    <n v="402.54"/>
    <n v="1368.1399999999999"/>
  </r>
  <r>
    <s v="WO-10038"/>
    <d v="2025-10-09T00:00:00"/>
    <x v="0"/>
    <x v="0"/>
    <s v="HVAC Tech"/>
    <x v="2"/>
    <n v="15.6"/>
    <n v="75"/>
    <n v="1170"/>
    <n v="3253.33"/>
    <n v="4423.33"/>
  </r>
  <r>
    <s v="WO-10039"/>
    <d v="2025-05-02T00:00:00"/>
    <x v="2"/>
    <x v="2"/>
    <s v="Carpenter"/>
    <x v="5"/>
    <n v="8.5"/>
    <n v="68"/>
    <n v="578"/>
    <n v="3046.58"/>
    <n v="3624.58"/>
  </r>
  <r>
    <s v="WO-10040"/>
    <d v="2025-01-31T00:00:00"/>
    <x v="2"/>
    <x v="2"/>
    <s v="Carpenter"/>
    <x v="2"/>
    <n v="15.8"/>
    <n v="68"/>
    <n v="1074.4000000000001"/>
    <n v="1038.43"/>
    <n v="2112.83"/>
  </r>
  <r>
    <s v="WO-10041"/>
    <d v="2025-08-21T00:00:00"/>
    <x v="3"/>
    <x v="2"/>
    <s v="Carpenter"/>
    <x v="5"/>
    <n v="3.7"/>
    <n v="68"/>
    <n v="251.60000000000002"/>
    <n v="1143.97"/>
    <n v="1395.5700000000002"/>
  </r>
  <r>
    <s v="WO-10042"/>
    <d v="2025-01-30T00:00:00"/>
    <x v="1"/>
    <x v="1"/>
    <s v="General Maintenance"/>
    <x v="2"/>
    <n v="12.3"/>
    <n v="52"/>
    <n v="639.6"/>
    <n v="341.5"/>
    <n v="981.1"/>
  </r>
  <r>
    <s v="WO-10043"/>
    <d v="2025-10-27T00:00:00"/>
    <x v="4"/>
    <x v="1"/>
    <s v="General Maintenance"/>
    <x v="7"/>
    <n v="2.2999999999999998"/>
    <n v="52"/>
    <n v="119.6"/>
    <n v="1851.23"/>
    <n v="1970.83"/>
  </r>
  <r>
    <s v="WO-10044"/>
    <d v="2025-04-06T00:00:00"/>
    <x v="0"/>
    <x v="1"/>
    <s v="General Maintenance"/>
    <x v="6"/>
    <n v="11.3"/>
    <n v="52"/>
    <n v="587.6"/>
    <n v="937.93"/>
    <n v="1525.53"/>
  </r>
  <r>
    <s v="WO-10045"/>
    <d v="2025-03-03T00:00:00"/>
    <x v="1"/>
    <x v="3"/>
    <s v="Electrician"/>
    <x v="2"/>
    <n v="10.5"/>
    <n v="82"/>
    <n v="861"/>
    <n v="1554.4"/>
    <n v="2415.4"/>
  </r>
  <r>
    <s v="WO-10046"/>
    <d v="2025-10-26T00:00:00"/>
    <x v="1"/>
    <x v="1"/>
    <s v="General Maintenance"/>
    <x v="4"/>
    <n v="15.1"/>
    <n v="52"/>
    <n v="785.19999999999993"/>
    <n v="834.27"/>
    <n v="1619.4699999999998"/>
  </r>
  <r>
    <s v="WO-10047"/>
    <d v="2025-06-10T00:00:00"/>
    <x v="2"/>
    <x v="4"/>
    <s v="Plumber"/>
    <x v="1"/>
    <n v="3.4"/>
    <n v="79"/>
    <n v="268.59999999999997"/>
    <n v="2312.4299999999998"/>
    <n v="2581.0299999999997"/>
  </r>
  <r>
    <s v="WO-10048"/>
    <d v="2025-08-23T00:00:00"/>
    <x v="3"/>
    <x v="0"/>
    <s v="HVAC Tech"/>
    <x v="2"/>
    <n v="8.1"/>
    <n v="75"/>
    <n v="607.5"/>
    <n v="3494.82"/>
    <n v="4102.32"/>
  </r>
  <r>
    <s v="WO-10049"/>
    <d v="2025-02-21T00:00:00"/>
    <x v="0"/>
    <x v="1"/>
    <s v="General Maintenance"/>
    <x v="3"/>
    <n v="8.8000000000000007"/>
    <n v="52"/>
    <n v="457.6"/>
    <n v="593.73"/>
    <n v="1051.33"/>
  </r>
  <r>
    <s v="WO-10050"/>
    <d v="2025-06-28T00:00:00"/>
    <x v="0"/>
    <x v="3"/>
    <s v="Electrician"/>
    <x v="4"/>
    <n v="5.6"/>
    <n v="82"/>
    <n v="459.2"/>
    <n v="1617.92"/>
    <n v="2077.12"/>
  </r>
  <r>
    <s v="WO-10051"/>
    <d v="2025-10-06T00:00:00"/>
    <x v="3"/>
    <x v="1"/>
    <s v="General Maintenance"/>
    <x v="2"/>
    <n v="11.2"/>
    <n v="52"/>
    <n v="582.4"/>
    <n v="2007.92"/>
    <n v="2590.3200000000002"/>
  </r>
  <r>
    <s v="WO-10052"/>
    <d v="2025-12-06T00:00:00"/>
    <x v="0"/>
    <x v="3"/>
    <s v="Electrician"/>
    <x v="0"/>
    <n v="3.2"/>
    <n v="82"/>
    <n v="262.40000000000003"/>
    <n v="508.57"/>
    <n v="770.97"/>
  </r>
  <r>
    <s v="WO-10053"/>
    <d v="2025-10-11T00:00:00"/>
    <x v="2"/>
    <x v="4"/>
    <s v="Plumber"/>
    <x v="0"/>
    <n v="10.3"/>
    <n v="79"/>
    <n v="813.7"/>
    <n v="2554"/>
    <n v="3367.7"/>
  </r>
  <r>
    <s v="WO-10054"/>
    <d v="2025-04-15T00:00:00"/>
    <x v="3"/>
    <x v="1"/>
    <s v="General Maintenance"/>
    <x v="5"/>
    <n v="5.0999999999999996"/>
    <n v="52"/>
    <n v="265.2"/>
    <n v="3192.33"/>
    <n v="3457.5299999999997"/>
  </r>
  <r>
    <s v="WO-10055"/>
    <d v="2025-01-27T00:00:00"/>
    <x v="0"/>
    <x v="2"/>
    <s v="Carpenter"/>
    <x v="0"/>
    <n v="2.1"/>
    <n v="68"/>
    <n v="142.80000000000001"/>
    <n v="1267.4100000000001"/>
    <n v="1410.21"/>
  </r>
  <r>
    <s v="WO-10056"/>
    <d v="2025-03-08T00:00:00"/>
    <x v="3"/>
    <x v="3"/>
    <s v="Electrician"/>
    <x v="5"/>
    <n v="9.5"/>
    <n v="82"/>
    <n v="779"/>
    <n v="1582.75"/>
    <n v="2361.75"/>
  </r>
  <r>
    <s v="WO-10057"/>
    <d v="2025-01-05T00:00:00"/>
    <x v="0"/>
    <x v="0"/>
    <s v="HVAC Tech"/>
    <x v="7"/>
    <n v="9.4"/>
    <n v="75"/>
    <n v="705"/>
    <n v="2945.89"/>
    <n v="3650.89"/>
  </r>
  <r>
    <s v="WO-10058"/>
    <d v="2025-10-26T00:00:00"/>
    <x v="1"/>
    <x v="3"/>
    <s v="Electrician"/>
    <x v="1"/>
    <n v="3.3"/>
    <n v="82"/>
    <n v="270.59999999999997"/>
    <n v="1182.67"/>
    <n v="1453.27"/>
  </r>
  <r>
    <s v="WO-10059"/>
    <d v="2025-01-21T00:00:00"/>
    <x v="3"/>
    <x v="3"/>
    <s v="Electrician"/>
    <x v="3"/>
    <n v="11.2"/>
    <n v="82"/>
    <n v="918.4"/>
    <n v="1334.82"/>
    <n v="2253.2199999999998"/>
  </r>
  <r>
    <s v="WO-10060"/>
    <d v="2025-10-14T00:00:00"/>
    <x v="4"/>
    <x v="1"/>
    <s v="General Maintenance"/>
    <x v="7"/>
    <n v="14.9"/>
    <n v="52"/>
    <n v="774.80000000000007"/>
    <n v="943.07"/>
    <n v="1717.8700000000001"/>
  </r>
  <r>
    <s v="WO-10061"/>
    <d v="2025-03-25T00:00:00"/>
    <x v="2"/>
    <x v="2"/>
    <s v="Carpenter"/>
    <x v="2"/>
    <n v="4.0999999999999996"/>
    <n v="68"/>
    <n v="278.79999999999995"/>
    <n v="3247.03"/>
    <n v="3525.83"/>
  </r>
  <r>
    <s v="WO-10062"/>
    <d v="2025-07-30T00:00:00"/>
    <x v="2"/>
    <x v="4"/>
    <s v="Plumber"/>
    <x v="7"/>
    <n v="12.9"/>
    <n v="79"/>
    <n v="1019.1"/>
    <n v="512.12"/>
    <n v="1531.22"/>
  </r>
  <r>
    <s v="WO-10063"/>
    <d v="2025-01-20T00:00:00"/>
    <x v="4"/>
    <x v="3"/>
    <s v="Electrician"/>
    <x v="3"/>
    <n v="13.3"/>
    <n v="82"/>
    <n v="1090.6000000000001"/>
    <n v="1692.02"/>
    <n v="2782.62"/>
  </r>
  <r>
    <s v="WO-10064"/>
    <d v="2025-06-06T00:00:00"/>
    <x v="2"/>
    <x v="3"/>
    <s v="Electrician"/>
    <x v="2"/>
    <n v="11.1"/>
    <n v="82"/>
    <n v="910.19999999999993"/>
    <n v="1484.86"/>
    <n v="2395.06"/>
  </r>
  <r>
    <s v="WO-10065"/>
    <d v="2025-05-23T00:00:00"/>
    <x v="0"/>
    <x v="4"/>
    <s v="Plumber"/>
    <x v="4"/>
    <n v="10.8"/>
    <n v="79"/>
    <n v="853.2"/>
    <n v="1488.92"/>
    <n v="2342.12"/>
  </r>
  <r>
    <s v="WO-10066"/>
    <d v="2025-10-02T00:00:00"/>
    <x v="3"/>
    <x v="0"/>
    <s v="HVAC Tech"/>
    <x v="6"/>
    <n v="14.2"/>
    <n v="75"/>
    <n v="1065"/>
    <n v="1025.07"/>
    <n v="2090.0699999999997"/>
  </r>
  <r>
    <s v="WO-10067"/>
    <d v="2025-10-25T00:00:00"/>
    <x v="3"/>
    <x v="0"/>
    <s v="HVAC Tech"/>
    <x v="6"/>
    <n v="10.199999999999999"/>
    <n v="75"/>
    <n v="765"/>
    <n v="1308.05"/>
    <n v="2073.0500000000002"/>
  </r>
  <r>
    <s v="WO-10068"/>
    <d v="2025-06-10T00:00:00"/>
    <x v="4"/>
    <x v="1"/>
    <s v="General Maintenance"/>
    <x v="6"/>
    <n v="7.1"/>
    <n v="52"/>
    <n v="369.2"/>
    <n v="2081.5700000000002"/>
    <n v="2450.77"/>
  </r>
  <r>
    <s v="WO-10069"/>
    <d v="2025-05-11T00:00:00"/>
    <x v="0"/>
    <x v="2"/>
    <s v="Carpenter"/>
    <x v="2"/>
    <n v="9"/>
    <n v="68"/>
    <n v="612"/>
    <n v="2851.81"/>
    <n v="3463.81"/>
  </r>
  <r>
    <s v="WO-10070"/>
    <d v="2025-12-18T00:00:00"/>
    <x v="2"/>
    <x v="4"/>
    <s v="Plumber"/>
    <x v="1"/>
    <n v="2.5"/>
    <n v="79"/>
    <n v="197.5"/>
    <n v="2375.1999999999998"/>
    <n v="2572.6999999999998"/>
  </r>
  <r>
    <s v="WO-10071"/>
    <d v="2025-06-19T00:00:00"/>
    <x v="1"/>
    <x v="4"/>
    <s v="Plumber"/>
    <x v="6"/>
    <n v="11.9"/>
    <n v="79"/>
    <n v="940.1"/>
    <n v="1156.08"/>
    <n v="2096.1799999999998"/>
  </r>
  <r>
    <s v="WO-10072"/>
    <d v="2025-06-08T00:00:00"/>
    <x v="4"/>
    <x v="4"/>
    <s v="Plumber"/>
    <x v="1"/>
    <n v="11.6"/>
    <n v="79"/>
    <n v="916.4"/>
    <n v="2007.28"/>
    <n v="2923.68"/>
  </r>
  <r>
    <s v="WO-10073"/>
    <d v="2025-04-09T00:00:00"/>
    <x v="4"/>
    <x v="2"/>
    <s v="Carpenter"/>
    <x v="7"/>
    <n v="10.4"/>
    <n v="68"/>
    <n v="707.2"/>
    <n v="1158.18"/>
    <n v="1865.38"/>
  </r>
  <r>
    <s v="WO-10074"/>
    <d v="2025-10-08T00:00:00"/>
    <x v="0"/>
    <x v="4"/>
    <s v="Plumber"/>
    <x v="0"/>
    <n v="4.5"/>
    <n v="79"/>
    <n v="355.5"/>
    <n v="2782.29"/>
    <n v="3137.79"/>
  </r>
  <r>
    <s v="WO-10075"/>
    <d v="2025-11-07T00:00:00"/>
    <x v="3"/>
    <x v="2"/>
    <s v="Carpenter"/>
    <x v="5"/>
    <n v="7.9"/>
    <n v="68"/>
    <n v="537.20000000000005"/>
    <n v="865.9"/>
    <n v="1403.1"/>
  </r>
  <r>
    <s v="WO-10076"/>
    <d v="2025-08-31T00:00:00"/>
    <x v="2"/>
    <x v="0"/>
    <s v="HVAC Tech"/>
    <x v="0"/>
    <n v="9"/>
    <n v="75"/>
    <n v="675"/>
    <n v="2270.35"/>
    <n v="2945.35"/>
  </r>
  <r>
    <s v="WO-10077"/>
    <d v="2025-06-21T00:00:00"/>
    <x v="0"/>
    <x v="3"/>
    <s v="Electrician"/>
    <x v="0"/>
    <n v="4.8"/>
    <n v="82"/>
    <n v="393.59999999999997"/>
    <n v="817.09"/>
    <n v="1210.69"/>
  </r>
  <r>
    <s v="WO-10078"/>
    <d v="2025-01-13T00:00:00"/>
    <x v="0"/>
    <x v="3"/>
    <s v="Electrician"/>
    <x v="5"/>
    <n v="10.4"/>
    <n v="82"/>
    <n v="852.80000000000007"/>
    <n v="2724.44"/>
    <n v="3577.2400000000002"/>
  </r>
  <r>
    <s v="WO-10079"/>
    <d v="2025-08-22T00:00:00"/>
    <x v="4"/>
    <x v="1"/>
    <s v="General Maintenance"/>
    <x v="3"/>
    <n v="11.9"/>
    <n v="52"/>
    <n v="618.80000000000007"/>
    <n v="1436.33"/>
    <n v="2055.13"/>
  </r>
  <r>
    <s v="WO-10080"/>
    <d v="2025-07-24T00:00:00"/>
    <x v="2"/>
    <x v="3"/>
    <s v="Electrician"/>
    <x v="2"/>
    <n v="14.4"/>
    <n v="82"/>
    <n v="1180.8"/>
    <n v="3032.48"/>
    <n v="4213.28"/>
  </r>
  <r>
    <s v="WO-10081"/>
    <d v="2025-02-24T00:00:00"/>
    <x v="4"/>
    <x v="3"/>
    <s v="Electrician"/>
    <x v="7"/>
    <n v="13.2"/>
    <n v="82"/>
    <n v="1082.3999999999999"/>
    <n v="2481.3000000000002"/>
    <n v="3563.7"/>
  </r>
  <r>
    <s v="WO-10082"/>
    <d v="2025-08-26T00:00:00"/>
    <x v="0"/>
    <x v="1"/>
    <s v="General Maintenance"/>
    <x v="3"/>
    <n v="14.8"/>
    <n v="52"/>
    <n v="769.6"/>
    <n v="556.54999999999995"/>
    <n v="1326.15"/>
  </r>
  <r>
    <s v="WO-10083"/>
    <d v="2025-03-10T00:00:00"/>
    <x v="4"/>
    <x v="1"/>
    <s v="General Maintenance"/>
    <x v="4"/>
    <n v="15.3"/>
    <n v="52"/>
    <n v="795.6"/>
    <n v="3136.28"/>
    <n v="3931.88"/>
  </r>
  <r>
    <s v="WO-10084"/>
    <d v="2025-11-10T00:00:00"/>
    <x v="1"/>
    <x v="2"/>
    <s v="Carpenter"/>
    <x v="5"/>
    <n v="14.5"/>
    <n v="68"/>
    <n v="986"/>
    <n v="2641.25"/>
    <n v="3627.25"/>
  </r>
  <r>
    <s v="WO-10085"/>
    <d v="2025-09-01T00:00:00"/>
    <x v="4"/>
    <x v="4"/>
    <s v="Plumber"/>
    <x v="3"/>
    <n v="13.7"/>
    <n v="79"/>
    <n v="1082.3"/>
    <n v="1078.99"/>
    <n v="2161.29"/>
  </r>
  <r>
    <s v="WO-10086"/>
    <d v="2025-09-24T00:00:00"/>
    <x v="4"/>
    <x v="3"/>
    <s v="Electrician"/>
    <x v="0"/>
    <n v="7.9"/>
    <n v="82"/>
    <n v="647.80000000000007"/>
    <n v="2540.38"/>
    <n v="3188.1800000000003"/>
  </r>
  <r>
    <s v="WO-10087"/>
    <d v="2025-05-01T00:00:00"/>
    <x v="3"/>
    <x v="4"/>
    <s v="Plumber"/>
    <x v="4"/>
    <n v="14.4"/>
    <n v="79"/>
    <n v="1137.6000000000001"/>
    <n v="419.94"/>
    <n v="1557.5400000000002"/>
  </r>
  <r>
    <s v="WO-10088"/>
    <d v="2025-03-19T00:00:00"/>
    <x v="2"/>
    <x v="2"/>
    <s v="Carpenter"/>
    <x v="7"/>
    <n v="11.7"/>
    <n v="68"/>
    <n v="795.59999999999991"/>
    <n v="365.17"/>
    <n v="1160.77"/>
  </r>
  <r>
    <s v="WO-10089"/>
    <d v="2025-07-28T00:00:00"/>
    <x v="3"/>
    <x v="1"/>
    <s v="General Maintenance"/>
    <x v="5"/>
    <n v="7.5"/>
    <n v="52"/>
    <n v="390"/>
    <n v="842.9"/>
    <n v="1232.9000000000001"/>
  </r>
  <r>
    <s v="WO-10090"/>
    <d v="2025-08-04T00:00:00"/>
    <x v="4"/>
    <x v="1"/>
    <s v="General Maintenance"/>
    <x v="2"/>
    <n v="13.9"/>
    <n v="52"/>
    <n v="722.80000000000007"/>
    <n v="2714.74"/>
    <n v="3437.54"/>
  </r>
  <r>
    <s v="WO-10091"/>
    <d v="2025-07-14T00:00:00"/>
    <x v="4"/>
    <x v="0"/>
    <s v="HVAC Tech"/>
    <x v="4"/>
    <n v="5.8"/>
    <n v="75"/>
    <n v="435"/>
    <n v="1456.46"/>
    <n v="1891.46"/>
  </r>
  <r>
    <s v="WO-10092"/>
    <d v="2025-08-03T00:00:00"/>
    <x v="1"/>
    <x v="1"/>
    <s v="General Maintenance"/>
    <x v="3"/>
    <n v="8.6"/>
    <n v="52"/>
    <n v="447.2"/>
    <n v="1064.33"/>
    <n v="1511.53"/>
  </r>
  <r>
    <s v="WO-10093"/>
    <d v="2025-09-06T00:00:00"/>
    <x v="0"/>
    <x v="2"/>
    <s v="Carpenter"/>
    <x v="4"/>
    <n v="11.2"/>
    <n v="68"/>
    <n v="761.59999999999991"/>
    <n v="2823.78"/>
    <n v="3585.38"/>
  </r>
  <r>
    <s v="WO-10094"/>
    <d v="2025-03-26T00:00:00"/>
    <x v="4"/>
    <x v="3"/>
    <s v="Electrician"/>
    <x v="2"/>
    <n v="14.7"/>
    <n v="82"/>
    <n v="1205.3999999999999"/>
    <n v="2132.84"/>
    <n v="3338.24"/>
  </r>
  <r>
    <s v="WO-10095"/>
    <d v="2025-12-06T00:00:00"/>
    <x v="0"/>
    <x v="0"/>
    <s v="HVAC Tech"/>
    <x v="1"/>
    <n v="3.5"/>
    <n v="75"/>
    <n v="262.5"/>
    <n v="1696.69"/>
    <n v="1959.19"/>
  </r>
  <r>
    <s v="WO-10096"/>
    <d v="2025-01-26T00:00:00"/>
    <x v="3"/>
    <x v="2"/>
    <s v="Carpenter"/>
    <x v="4"/>
    <n v="4.5999999999999996"/>
    <n v="68"/>
    <n v="312.79999999999995"/>
    <n v="1244.93"/>
    <n v="1557.73"/>
  </r>
  <r>
    <s v="WO-10097"/>
    <d v="2025-07-14T00:00:00"/>
    <x v="3"/>
    <x v="2"/>
    <s v="Carpenter"/>
    <x v="0"/>
    <n v="13.6"/>
    <n v="68"/>
    <n v="924.8"/>
    <n v="1725.53"/>
    <n v="2650.33"/>
  </r>
  <r>
    <s v="WO-10098"/>
    <d v="2025-10-04T00:00:00"/>
    <x v="0"/>
    <x v="4"/>
    <s v="Plumber"/>
    <x v="3"/>
    <n v="10.9"/>
    <n v="79"/>
    <n v="861.1"/>
    <n v="2767.13"/>
    <n v="3628.23"/>
  </r>
  <r>
    <s v="WO-10099"/>
    <d v="2025-11-30T00:00:00"/>
    <x v="0"/>
    <x v="0"/>
    <s v="HVAC Tech"/>
    <x v="3"/>
    <n v="4.4000000000000004"/>
    <n v="75"/>
    <n v="330"/>
    <n v="218.27"/>
    <n v="548.27"/>
  </r>
  <r>
    <s v="WO-10100"/>
    <d v="2025-03-20T00:00:00"/>
    <x v="2"/>
    <x v="3"/>
    <s v="Electrician"/>
    <x v="5"/>
    <n v="11.2"/>
    <n v="82"/>
    <n v="918.4"/>
    <n v="2039.3"/>
    <n v="2957.7"/>
  </r>
  <r>
    <s v="WO-10101"/>
    <d v="2025-04-22T00:00:00"/>
    <x v="4"/>
    <x v="4"/>
    <s v="Plumber"/>
    <x v="4"/>
    <n v="3.9"/>
    <n v="79"/>
    <n v="308.09999999999997"/>
    <n v="2184.2800000000002"/>
    <n v="2492.38"/>
  </r>
  <r>
    <s v="WO-10102"/>
    <d v="2025-02-28T00:00:00"/>
    <x v="2"/>
    <x v="4"/>
    <s v="Plumber"/>
    <x v="6"/>
    <n v="9.9"/>
    <n v="79"/>
    <n v="782.1"/>
    <n v="3261.77"/>
    <n v="4043.87"/>
  </r>
  <r>
    <s v="WO-10103"/>
    <d v="2025-10-22T00:00:00"/>
    <x v="4"/>
    <x v="2"/>
    <s v="Carpenter"/>
    <x v="3"/>
    <n v="2.6"/>
    <n v="68"/>
    <n v="176.8"/>
    <n v="2463.56"/>
    <n v="2640.36"/>
  </r>
  <r>
    <s v="WO-10104"/>
    <d v="2025-11-18T00:00:00"/>
    <x v="2"/>
    <x v="0"/>
    <s v="HVAC Tech"/>
    <x v="0"/>
    <n v="13.8"/>
    <n v="75"/>
    <n v="1035"/>
    <n v="2161.38"/>
    <n v="3196.38"/>
  </r>
  <r>
    <s v="WO-10105"/>
    <d v="2025-03-03T00:00:00"/>
    <x v="1"/>
    <x v="0"/>
    <s v="HVAC Tech"/>
    <x v="4"/>
    <n v="9.1999999999999993"/>
    <n v="75"/>
    <n v="690"/>
    <n v="2366.1"/>
    <n v="3056.1"/>
  </r>
  <r>
    <s v="WO-10106"/>
    <d v="2025-02-05T00:00:00"/>
    <x v="1"/>
    <x v="4"/>
    <s v="Plumber"/>
    <x v="2"/>
    <n v="13.8"/>
    <n v="79"/>
    <n v="1090.2"/>
    <n v="2904.81"/>
    <n v="3995.01"/>
  </r>
  <r>
    <s v="WO-10107"/>
    <d v="2025-02-24T00:00:00"/>
    <x v="4"/>
    <x v="4"/>
    <s v="Plumber"/>
    <x v="5"/>
    <n v="11.8"/>
    <n v="79"/>
    <n v="932.2"/>
    <n v="1608.88"/>
    <n v="2541.08"/>
  </r>
  <r>
    <s v="WO-10108"/>
    <d v="2025-09-25T00:00:00"/>
    <x v="3"/>
    <x v="1"/>
    <s v="General Maintenance"/>
    <x v="5"/>
    <n v="8.1999999999999993"/>
    <n v="52"/>
    <n v="426.4"/>
    <n v="2916.21"/>
    <n v="3342.61"/>
  </r>
  <r>
    <s v="WO-10109"/>
    <d v="2025-10-31T00:00:00"/>
    <x v="3"/>
    <x v="4"/>
    <s v="Plumber"/>
    <x v="3"/>
    <n v="13.5"/>
    <n v="79"/>
    <n v="1066.5"/>
    <n v="440.32"/>
    <n v="1506.82"/>
  </r>
  <r>
    <s v="WO-10110"/>
    <d v="2025-08-19T00:00:00"/>
    <x v="2"/>
    <x v="2"/>
    <s v="Carpenter"/>
    <x v="1"/>
    <n v="6.4"/>
    <n v="68"/>
    <n v="435.20000000000005"/>
    <n v="1805.93"/>
    <n v="2241.13"/>
  </r>
  <r>
    <s v="WO-10111"/>
    <d v="2025-06-16T00:00:00"/>
    <x v="2"/>
    <x v="2"/>
    <s v="Carpenter"/>
    <x v="3"/>
    <n v="6.6"/>
    <n v="68"/>
    <n v="448.79999999999995"/>
    <n v="1015.48"/>
    <n v="1464.28"/>
  </r>
  <r>
    <s v="WO-10112"/>
    <d v="2025-05-24T00:00:00"/>
    <x v="1"/>
    <x v="4"/>
    <s v="Plumber"/>
    <x v="2"/>
    <n v="9"/>
    <n v="79"/>
    <n v="711"/>
    <n v="790.04"/>
    <n v="1501.04"/>
  </r>
  <r>
    <s v="WO-10113"/>
    <d v="2025-05-04T00:00:00"/>
    <x v="4"/>
    <x v="2"/>
    <s v="Carpenter"/>
    <x v="3"/>
    <n v="11.5"/>
    <n v="68"/>
    <n v="782"/>
    <n v="2313.77"/>
    <n v="3095.77"/>
  </r>
  <r>
    <s v="WO-10114"/>
    <d v="2025-09-09T00:00:00"/>
    <x v="4"/>
    <x v="0"/>
    <s v="HVAC Tech"/>
    <x v="6"/>
    <n v="5.8"/>
    <n v="75"/>
    <n v="435"/>
    <n v="1504.74"/>
    <n v="1939.74"/>
  </r>
  <r>
    <s v="WO-10115"/>
    <d v="2025-05-05T00:00:00"/>
    <x v="3"/>
    <x v="1"/>
    <s v="General Maintenance"/>
    <x v="4"/>
    <n v="8.4"/>
    <n v="52"/>
    <n v="436.8"/>
    <n v="1928.59"/>
    <n v="2365.39"/>
  </r>
  <r>
    <s v="WO-10116"/>
    <d v="2025-08-06T00:00:00"/>
    <x v="1"/>
    <x v="4"/>
    <s v="Plumber"/>
    <x v="4"/>
    <n v="11.7"/>
    <n v="79"/>
    <n v="924.3"/>
    <n v="1057.57"/>
    <n v="1981.87"/>
  </r>
  <r>
    <s v="WO-10117"/>
    <d v="2025-05-09T00:00:00"/>
    <x v="2"/>
    <x v="0"/>
    <s v="HVAC Tech"/>
    <x v="3"/>
    <n v="6.1"/>
    <n v="75"/>
    <n v="457.5"/>
    <n v="2638.65"/>
    <n v="3096.15"/>
  </r>
  <r>
    <s v="WO-10118"/>
    <d v="2025-12-20T00:00:00"/>
    <x v="2"/>
    <x v="3"/>
    <s v="Electrician"/>
    <x v="3"/>
    <n v="12.2"/>
    <n v="82"/>
    <n v="1000.4"/>
    <n v="1076.27"/>
    <n v="2076.67"/>
  </r>
  <r>
    <s v="WO-10119"/>
    <d v="2025-10-29T00:00:00"/>
    <x v="1"/>
    <x v="1"/>
    <s v="General Maintenance"/>
    <x v="0"/>
    <n v="15.7"/>
    <n v="52"/>
    <n v="816.4"/>
    <n v="2939.31"/>
    <n v="3755.71"/>
  </r>
  <r>
    <s v="WO-10120"/>
    <d v="2025-06-01T00:00:00"/>
    <x v="2"/>
    <x v="4"/>
    <s v="Plumber"/>
    <x v="7"/>
    <n v="5.9"/>
    <n v="79"/>
    <n v="466.1"/>
    <n v="2521.86"/>
    <n v="2987.96"/>
  </r>
  <r>
    <s v="WO-10121"/>
    <d v="2025-03-06T00:00:00"/>
    <x v="3"/>
    <x v="0"/>
    <s v="HVAC Tech"/>
    <x v="2"/>
    <n v="9.5"/>
    <n v="75"/>
    <n v="712.5"/>
    <n v="2486.35"/>
    <n v="3198.85"/>
  </r>
  <r>
    <s v="WO-10122"/>
    <d v="2025-03-06T00:00:00"/>
    <x v="4"/>
    <x v="0"/>
    <s v="HVAC Tech"/>
    <x v="2"/>
    <n v="9.8000000000000007"/>
    <n v="75"/>
    <n v="735"/>
    <n v="1722.48"/>
    <n v="2457.48"/>
  </r>
  <r>
    <s v="WO-10123"/>
    <d v="2025-08-14T00:00:00"/>
    <x v="3"/>
    <x v="3"/>
    <s v="Electrician"/>
    <x v="2"/>
    <n v="5.2"/>
    <n v="82"/>
    <n v="426.40000000000003"/>
    <n v="3036.77"/>
    <n v="3463.17"/>
  </r>
  <r>
    <s v="WO-10124"/>
    <d v="2025-02-28T00:00:00"/>
    <x v="0"/>
    <x v="2"/>
    <s v="Carpenter"/>
    <x v="5"/>
    <n v="2.6"/>
    <n v="68"/>
    <n v="176.8"/>
    <n v="2258.64"/>
    <n v="2435.44"/>
  </r>
  <r>
    <s v="WO-10125"/>
    <d v="2025-01-28T00:00:00"/>
    <x v="2"/>
    <x v="3"/>
    <s v="Electrician"/>
    <x v="0"/>
    <n v="2.7"/>
    <n v="82"/>
    <n v="221.4"/>
    <n v="981.44"/>
    <n v="1202.8400000000001"/>
  </r>
  <r>
    <s v="WO-10126"/>
    <d v="2025-10-13T00:00:00"/>
    <x v="4"/>
    <x v="1"/>
    <s v="General Maintenance"/>
    <x v="3"/>
    <n v="12.7"/>
    <n v="52"/>
    <n v="660.4"/>
    <n v="1424.27"/>
    <n v="2084.67"/>
  </r>
  <r>
    <s v="WO-10127"/>
    <d v="2025-08-15T00:00:00"/>
    <x v="3"/>
    <x v="1"/>
    <s v="General Maintenance"/>
    <x v="1"/>
    <n v="5.9"/>
    <n v="52"/>
    <n v="306.8"/>
    <n v="2230.44"/>
    <n v="2537.2400000000002"/>
  </r>
  <r>
    <s v="WO-10128"/>
    <d v="2025-11-09T00:00:00"/>
    <x v="0"/>
    <x v="3"/>
    <s v="Electrician"/>
    <x v="3"/>
    <n v="5.3"/>
    <n v="82"/>
    <n v="434.59999999999997"/>
    <n v="421.98"/>
    <n v="856.57999999999993"/>
  </r>
  <r>
    <s v="WO-10129"/>
    <d v="2025-05-03T00:00:00"/>
    <x v="2"/>
    <x v="1"/>
    <s v="General Maintenance"/>
    <x v="6"/>
    <n v="3.8"/>
    <n v="52"/>
    <n v="197.6"/>
    <n v="1518.53"/>
    <n v="1716.1299999999999"/>
  </r>
  <r>
    <s v="WO-10130"/>
    <d v="2025-12-19T00:00:00"/>
    <x v="1"/>
    <x v="2"/>
    <s v="Carpenter"/>
    <x v="0"/>
    <n v="2"/>
    <n v="68"/>
    <n v="136"/>
    <n v="1115.1500000000001"/>
    <n v="1251.1500000000001"/>
  </r>
  <r>
    <s v="WO-10131"/>
    <d v="2025-05-25T00:00:00"/>
    <x v="4"/>
    <x v="0"/>
    <s v="HVAC Tech"/>
    <x v="3"/>
    <n v="14.9"/>
    <n v="75"/>
    <n v="1117.5"/>
    <n v="2789.22"/>
    <n v="3906.72"/>
  </r>
  <r>
    <s v="WO-10132"/>
    <d v="2025-11-17T00:00:00"/>
    <x v="1"/>
    <x v="3"/>
    <s v="Electrician"/>
    <x v="1"/>
    <n v="3.2"/>
    <n v="82"/>
    <n v="262.40000000000003"/>
    <n v="903.11"/>
    <n v="1165.51"/>
  </r>
  <r>
    <s v="WO-10133"/>
    <d v="2025-03-18T00:00:00"/>
    <x v="3"/>
    <x v="3"/>
    <s v="Electrician"/>
    <x v="6"/>
    <n v="2.4"/>
    <n v="82"/>
    <n v="196.79999999999998"/>
    <n v="2805.31"/>
    <n v="3002.11"/>
  </r>
  <r>
    <s v="WO-10134"/>
    <d v="2025-11-01T00:00:00"/>
    <x v="1"/>
    <x v="4"/>
    <s v="Plumber"/>
    <x v="5"/>
    <n v="3.3"/>
    <n v="79"/>
    <n v="260.7"/>
    <n v="2457.0700000000002"/>
    <n v="2717.77"/>
  </r>
  <r>
    <s v="WO-10135"/>
    <d v="2025-12-25T00:00:00"/>
    <x v="4"/>
    <x v="4"/>
    <s v="Plumber"/>
    <x v="5"/>
    <n v="7.8"/>
    <n v="79"/>
    <n v="616.19999999999993"/>
    <n v="2153.42"/>
    <n v="2769.62"/>
  </r>
  <r>
    <s v="WO-10136"/>
    <d v="2025-08-10T00:00:00"/>
    <x v="3"/>
    <x v="1"/>
    <s v="General Maintenance"/>
    <x v="0"/>
    <n v="1.9"/>
    <n v="52"/>
    <n v="98.8"/>
    <n v="916.9"/>
    <n v="1015.6999999999999"/>
  </r>
  <r>
    <s v="WO-10137"/>
    <d v="2025-12-12T00:00:00"/>
    <x v="1"/>
    <x v="1"/>
    <s v="General Maintenance"/>
    <x v="2"/>
    <n v="16"/>
    <n v="52"/>
    <n v="832"/>
    <n v="2402.14"/>
    <n v="3234.14"/>
  </r>
  <r>
    <s v="WO-10138"/>
    <d v="2025-05-18T00:00:00"/>
    <x v="1"/>
    <x v="0"/>
    <s v="HVAC Tech"/>
    <x v="7"/>
    <n v="8.3000000000000007"/>
    <n v="75"/>
    <n v="622.5"/>
    <n v="2332.56"/>
    <n v="2955.06"/>
  </r>
  <r>
    <s v="WO-10139"/>
    <d v="2025-05-23T00:00:00"/>
    <x v="2"/>
    <x v="1"/>
    <s v="General Maintenance"/>
    <x v="1"/>
    <n v="10.7"/>
    <n v="52"/>
    <n v="556.4"/>
    <n v="1797.28"/>
    <n v="2353.6799999999998"/>
  </r>
  <r>
    <s v="WO-10140"/>
    <d v="2025-02-16T00:00:00"/>
    <x v="4"/>
    <x v="4"/>
    <s v="Plumber"/>
    <x v="1"/>
    <n v="6.3"/>
    <n v="79"/>
    <n v="497.7"/>
    <n v="2394.9499999999998"/>
    <n v="2892.6499999999996"/>
  </r>
  <r>
    <s v="WO-10141"/>
    <d v="2025-03-24T00:00:00"/>
    <x v="3"/>
    <x v="2"/>
    <s v="Carpenter"/>
    <x v="5"/>
    <n v="5.7"/>
    <n v="68"/>
    <n v="387.6"/>
    <n v="3316.4"/>
    <n v="3704"/>
  </r>
  <r>
    <s v="WO-10142"/>
    <d v="2025-10-09T00:00:00"/>
    <x v="0"/>
    <x v="2"/>
    <s v="Carpenter"/>
    <x v="6"/>
    <n v="6.1"/>
    <n v="68"/>
    <n v="414.79999999999995"/>
    <n v="1232.97"/>
    <n v="1647.77"/>
  </r>
  <r>
    <s v="WO-10143"/>
    <d v="2025-07-26T00:00:00"/>
    <x v="1"/>
    <x v="0"/>
    <s v="HVAC Tech"/>
    <x v="5"/>
    <n v="7.5"/>
    <n v="75"/>
    <n v="562.5"/>
    <n v="778.4"/>
    <n v="1340.9"/>
  </r>
  <r>
    <s v="WO-10144"/>
    <d v="2025-07-05T00:00:00"/>
    <x v="1"/>
    <x v="2"/>
    <s v="Carpenter"/>
    <x v="5"/>
    <n v="12.5"/>
    <n v="68"/>
    <n v="850"/>
    <n v="831.92"/>
    <n v="1681.92"/>
  </r>
  <r>
    <s v="WO-10145"/>
    <d v="2025-10-09T00:00:00"/>
    <x v="2"/>
    <x v="4"/>
    <s v="Plumber"/>
    <x v="5"/>
    <n v="14.3"/>
    <n v="79"/>
    <n v="1129.7"/>
    <n v="1773.78"/>
    <n v="2903.48"/>
  </r>
  <r>
    <s v="WO-10146"/>
    <d v="2025-01-15T00:00:00"/>
    <x v="1"/>
    <x v="3"/>
    <s v="Electrician"/>
    <x v="7"/>
    <n v="6"/>
    <n v="82"/>
    <n v="492"/>
    <n v="195.81"/>
    <n v="687.81"/>
  </r>
  <r>
    <s v="WO-10147"/>
    <d v="2025-07-28T00:00:00"/>
    <x v="0"/>
    <x v="3"/>
    <s v="Electrician"/>
    <x v="6"/>
    <n v="8.1999999999999993"/>
    <n v="82"/>
    <n v="672.4"/>
    <n v="543.51"/>
    <n v="1215.9099999999999"/>
  </r>
  <r>
    <s v="WO-10148"/>
    <d v="2025-03-20T00:00:00"/>
    <x v="4"/>
    <x v="4"/>
    <s v="Plumber"/>
    <x v="0"/>
    <n v="7.5"/>
    <n v="79"/>
    <n v="592.5"/>
    <n v="1766.37"/>
    <n v="2358.87"/>
  </r>
  <r>
    <s v="WO-10149"/>
    <d v="2025-08-30T00:00:00"/>
    <x v="2"/>
    <x v="2"/>
    <s v="Carpenter"/>
    <x v="7"/>
    <n v="7.1"/>
    <n v="68"/>
    <n v="482.79999999999995"/>
    <n v="3238.26"/>
    <n v="3721.0600000000004"/>
  </r>
  <r>
    <s v="WO-10150"/>
    <d v="2025-09-18T00:00:00"/>
    <x v="2"/>
    <x v="0"/>
    <s v="HVAC Tech"/>
    <x v="0"/>
    <n v="12.7"/>
    <n v="75"/>
    <n v="952.5"/>
    <n v="3012.28"/>
    <n v="3964.78"/>
  </r>
  <r>
    <s v="WO-10151"/>
    <d v="2025-06-24T00:00:00"/>
    <x v="1"/>
    <x v="4"/>
    <s v="Plumber"/>
    <x v="2"/>
    <n v="5.6"/>
    <n v="79"/>
    <n v="442.4"/>
    <n v="1150.1600000000001"/>
    <n v="1592.56"/>
  </r>
  <r>
    <s v="WO-10152"/>
    <d v="2025-10-28T00:00:00"/>
    <x v="1"/>
    <x v="2"/>
    <s v="Carpenter"/>
    <x v="7"/>
    <n v="8"/>
    <n v="68"/>
    <n v="544"/>
    <n v="1772.54"/>
    <n v="2316.54"/>
  </r>
  <r>
    <s v="WO-10153"/>
    <d v="2025-06-20T00:00:00"/>
    <x v="1"/>
    <x v="1"/>
    <s v="General Maintenance"/>
    <x v="1"/>
    <n v="8.1"/>
    <n v="52"/>
    <n v="421.2"/>
    <n v="1227.95"/>
    <n v="1649.15"/>
  </r>
  <r>
    <s v="WO-10154"/>
    <d v="2025-04-07T00:00:00"/>
    <x v="2"/>
    <x v="1"/>
    <s v="General Maintenance"/>
    <x v="1"/>
    <n v="4.9000000000000004"/>
    <n v="52"/>
    <n v="254.8"/>
    <n v="2748.07"/>
    <n v="3002.8700000000003"/>
  </r>
  <r>
    <s v="WO-10155"/>
    <d v="2025-01-23T00:00:00"/>
    <x v="3"/>
    <x v="2"/>
    <s v="Carpenter"/>
    <x v="1"/>
    <n v="7.1"/>
    <n v="68"/>
    <n v="482.79999999999995"/>
    <n v="2373.36"/>
    <n v="2856.16"/>
  </r>
  <r>
    <s v="WO-10156"/>
    <d v="2025-11-30T00:00:00"/>
    <x v="2"/>
    <x v="2"/>
    <s v="Carpenter"/>
    <x v="2"/>
    <n v="3.3"/>
    <n v="68"/>
    <n v="224.39999999999998"/>
    <n v="3383.93"/>
    <n v="3608.33"/>
  </r>
  <r>
    <s v="WO-10157"/>
    <d v="2025-06-19T00:00:00"/>
    <x v="0"/>
    <x v="2"/>
    <s v="Carpenter"/>
    <x v="6"/>
    <n v="9.1"/>
    <n v="68"/>
    <n v="618.79999999999995"/>
    <n v="1680.71"/>
    <n v="2299.5100000000002"/>
  </r>
  <r>
    <s v="WO-10158"/>
    <d v="2025-03-15T00:00:00"/>
    <x v="4"/>
    <x v="3"/>
    <s v="Electrician"/>
    <x v="6"/>
    <n v="8.3000000000000007"/>
    <n v="82"/>
    <n v="680.6"/>
    <n v="3396.83"/>
    <n v="4077.43"/>
  </r>
  <r>
    <s v="WO-10159"/>
    <d v="2025-06-23T00:00:00"/>
    <x v="1"/>
    <x v="2"/>
    <s v="Carpenter"/>
    <x v="6"/>
    <n v="13.9"/>
    <n v="68"/>
    <n v="945.2"/>
    <n v="3005.34"/>
    <n v="3950.54"/>
  </r>
  <r>
    <s v="WO-10160"/>
    <d v="2025-10-01T00:00:00"/>
    <x v="4"/>
    <x v="4"/>
    <s v="Plumber"/>
    <x v="5"/>
    <n v="14.1"/>
    <n v="79"/>
    <n v="1113.8999999999999"/>
    <n v="270.26"/>
    <n v="1384.1599999999999"/>
  </r>
  <r>
    <s v="WO-10161"/>
    <d v="2025-02-05T00:00:00"/>
    <x v="2"/>
    <x v="4"/>
    <s v="Plumber"/>
    <x v="3"/>
    <n v="12.3"/>
    <n v="79"/>
    <n v="971.7"/>
    <n v="1603.8"/>
    <n v="2575.5"/>
  </r>
  <r>
    <s v="WO-10162"/>
    <d v="2025-02-20T00:00:00"/>
    <x v="0"/>
    <x v="2"/>
    <s v="Carpenter"/>
    <x v="7"/>
    <n v="11.6"/>
    <n v="68"/>
    <n v="788.8"/>
    <n v="3176.47"/>
    <n v="3965.2699999999995"/>
  </r>
  <r>
    <s v="WO-10163"/>
    <d v="2025-01-24T00:00:00"/>
    <x v="3"/>
    <x v="0"/>
    <s v="HVAC Tech"/>
    <x v="0"/>
    <n v="6.7"/>
    <n v="75"/>
    <n v="502.5"/>
    <n v="1592.8"/>
    <n v="2095.3000000000002"/>
  </r>
  <r>
    <s v="WO-10164"/>
    <d v="2025-05-06T00:00:00"/>
    <x v="1"/>
    <x v="2"/>
    <s v="Carpenter"/>
    <x v="7"/>
    <n v="4"/>
    <n v="68"/>
    <n v="272"/>
    <n v="414.54"/>
    <n v="686.54"/>
  </r>
  <r>
    <s v="WO-10165"/>
    <d v="2025-07-15T00:00:00"/>
    <x v="1"/>
    <x v="3"/>
    <s v="Electrician"/>
    <x v="5"/>
    <n v="14.7"/>
    <n v="82"/>
    <n v="1205.3999999999999"/>
    <n v="629.44000000000005"/>
    <n v="1834.84"/>
  </r>
  <r>
    <s v="WO-10166"/>
    <d v="2025-08-25T00:00:00"/>
    <x v="3"/>
    <x v="2"/>
    <s v="Carpenter"/>
    <x v="0"/>
    <n v="11.2"/>
    <n v="68"/>
    <n v="761.59999999999991"/>
    <n v="3161.34"/>
    <n v="3922.94"/>
  </r>
  <r>
    <s v="WO-10167"/>
    <d v="2025-08-27T00:00:00"/>
    <x v="3"/>
    <x v="1"/>
    <s v="General Maintenance"/>
    <x v="7"/>
    <n v="2.6"/>
    <n v="52"/>
    <n v="135.20000000000002"/>
    <n v="3316.54"/>
    <n v="3451.74"/>
  </r>
  <r>
    <s v="WO-10168"/>
    <d v="2025-10-28T00:00:00"/>
    <x v="3"/>
    <x v="2"/>
    <s v="Carpenter"/>
    <x v="0"/>
    <n v="8.1"/>
    <n v="68"/>
    <n v="550.79999999999995"/>
    <n v="1162.1099999999999"/>
    <n v="1712.9099999999999"/>
  </r>
  <r>
    <s v="WO-10169"/>
    <d v="2025-07-16T00:00:00"/>
    <x v="4"/>
    <x v="0"/>
    <s v="HVAC Tech"/>
    <x v="3"/>
    <n v="7"/>
    <n v="75"/>
    <n v="525"/>
    <n v="1352.51"/>
    <n v="1877.51"/>
  </r>
  <r>
    <s v="WO-10170"/>
    <d v="2025-06-01T00:00:00"/>
    <x v="3"/>
    <x v="0"/>
    <s v="HVAC Tech"/>
    <x v="1"/>
    <n v="5.5"/>
    <n v="75"/>
    <n v="412.5"/>
    <n v="2045.86"/>
    <n v="2458.3599999999997"/>
  </r>
  <r>
    <s v="WO-10171"/>
    <d v="2025-12-18T00:00:00"/>
    <x v="0"/>
    <x v="1"/>
    <s v="General Maintenance"/>
    <x v="5"/>
    <n v="13.6"/>
    <n v="52"/>
    <n v="707.19999999999993"/>
    <n v="3174.83"/>
    <n v="3882.0299999999997"/>
  </r>
  <r>
    <s v="WO-10172"/>
    <d v="2025-04-28T00:00:00"/>
    <x v="1"/>
    <x v="4"/>
    <s v="Plumber"/>
    <x v="3"/>
    <n v="10.7"/>
    <n v="79"/>
    <n v="845.3"/>
    <n v="2229.9899999999998"/>
    <n v="3075.29"/>
  </r>
  <r>
    <s v="WO-10173"/>
    <d v="2025-12-14T00:00:00"/>
    <x v="2"/>
    <x v="0"/>
    <s v="HVAC Tech"/>
    <x v="2"/>
    <n v="6"/>
    <n v="75"/>
    <n v="450"/>
    <n v="1626.76"/>
    <n v="2076.7600000000002"/>
  </r>
  <r>
    <s v="WO-10174"/>
    <d v="2025-10-24T00:00:00"/>
    <x v="3"/>
    <x v="3"/>
    <s v="Electrician"/>
    <x v="6"/>
    <n v="14.7"/>
    <n v="82"/>
    <n v="1205.3999999999999"/>
    <n v="1244.51"/>
    <n v="2449.91"/>
  </r>
  <r>
    <s v="WO-10175"/>
    <d v="2025-08-01T00:00:00"/>
    <x v="2"/>
    <x v="3"/>
    <s v="Electrician"/>
    <x v="7"/>
    <n v="12.9"/>
    <n v="82"/>
    <n v="1057.8"/>
    <n v="3086.14"/>
    <n v="4143.9399999999996"/>
  </r>
  <r>
    <s v="WO-10176"/>
    <d v="2025-07-07T00:00:00"/>
    <x v="1"/>
    <x v="1"/>
    <s v="General Maintenance"/>
    <x v="0"/>
    <n v="13.5"/>
    <n v="52"/>
    <n v="702"/>
    <n v="1010.85"/>
    <n v="1712.85"/>
  </r>
  <r>
    <s v="WO-10177"/>
    <d v="2025-09-04T00:00:00"/>
    <x v="3"/>
    <x v="4"/>
    <s v="Plumber"/>
    <x v="6"/>
    <n v="8.3000000000000007"/>
    <n v="79"/>
    <n v="655.7"/>
    <n v="402.25"/>
    <n v="1057.95"/>
  </r>
  <r>
    <s v="WO-10178"/>
    <d v="2025-04-26T00:00:00"/>
    <x v="4"/>
    <x v="1"/>
    <s v="General Maintenance"/>
    <x v="4"/>
    <n v="2.8"/>
    <n v="52"/>
    <n v="145.6"/>
    <n v="1471.82"/>
    <n v="1617.4199999999998"/>
  </r>
  <r>
    <s v="WO-10179"/>
    <d v="2025-05-16T00:00:00"/>
    <x v="1"/>
    <x v="0"/>
    <s v="HVAC Tech"/>
    <x v="5"/>
    <n v="6.8"/>
    <n v="75"/>
    <n v="510"/>
    <n v="2659.19"/>
    <n v="3169.19"/>
  </r>
  <r>
    <s v="WO-10180"/>
    <d v="2025-05-15T00:00:00"/>
    <x v="1"/>
    <x v="2"/>
    <s v="Carpenter"/>
    <x v="4"/>
    <n v="3.1"/>
    <n v="68"/>
    <n v="210.8"/>
    <n v="933.3"/>
    <n v="1144.0999999999999"/>
  </r>
  <r>
    <s v="WO-10181"/>
    <d v="2025-01-13T00:00:00"/>
    <x v="1"/>
    <x v="1"/>
    <s v="General Maintenance"/>
    <x v="4"/>
    <n v="14.8"/>
    <n v="52"/>
    <n v="769.6"/>
    <n v="891.58"/>
    <n v="1661.18"/>
  </r>
  <r>
    <s v="WO-10182"/>
    <d v="2025-02-02T00:00:00"/>
    <x v="4"/>
    <x v="4"/>
    <s v="Plumber"/>
    <x v="1"/>
    <n v="3.2"/>
    <n v="79"/>
    <n v="252.8"/>
    <n v="301.91000000000003"/>
    <n v="554.71"/>
  </r>
  <r>
    <s v="WO-10183"/>
    <d v="2025-01-20T00:00:00"/>
    <x v="3"/>
    <x v="2"/>
    <s v="Carpenter"/>
    <x v="6"/>
    <n v="2.9"/>
    <n v="68"/>
    <n v="197.2"/>
    <n v="3122.32"/>
    <n v="3319.52"/>
  </r>
  <r>
    <s v="WO-10184"/>
    <d v="2025-03-11T00:00:00"/>
    <x v="4"/>
    <x v="2"/>
    <s v="Carpenter"/>
    <x v="4"/>
    <n v="11.2"/>
    <n v="68"/>
    <n v="761.59999999999991"/>
    <n v="2639.52"/>
    <n v="3401.12"/>
  </r>
  <r>
    <s v="WO-10185"/>
    <d v="2025-10-04T00:00:00"/>
    <x v="4"/>
    <x v="1"/>
    <s v="General Maintenance"/>
    <x v="7"/>
    <n v="14.3"/>
    <n v="52"/>
    <n v="743.6"/>
    <n v="2343.9899999999998"/>
    <n v="3087.5899999999997"/>
  </r>
  <r>
    <s v="WO-10186"/>
    <d v="2025-09-08T00:00:00"/>
    <x v="1"/>
    <x v="2"/>
    <s v="Carpenter"/>
    <x v="0"/>
    <n v="2"/>
    <n v="68"/>
    <n v="136"/>
    <n v="1391.28"/>
    <n v="1527.28"/>
  </r>
  <r>
    <s v="WO-10187"/>
    <d v="2025-08-16T00:00:00"/>
    <x v="4"/>
    <x v="3"/>
    <s v="Electrician"/>
    <x v="4"/>
    <n v="2.9"/>
    <n v="82"/>
    <n v="237.79999999999998"/>
    <n v="2447.0300000000002"/>
    <n v="2684.8300000000004"/>
  </r>
  <r>
    <s v="WO-10188"/>
    <d v="2025-10-06T00:00:00"/>
    <x v="3"/>
    <x v="0"/>
    <s v="HVAC Tech"/>
    <x v="1"/>
    <n v="5.5"/>
    <n v="75"/>
    <n v="412.5"/>
    <n v="3393.49"/>
    <n v="3805.99"/>
  </r>
  <r>
    <s v="WO-10189"/>
    <d v="2025-08-21T00:00:00"/>
    <x v="0"/>
    <x v="3"/>
    <s v="Electrician"/>
    <x v="2"/>
    <n v="2.2000000000000002"/>
    <n v="82"/>
    <n v="180.4"/>
    <n v="1267.26"/>
    <n v="1447.66"/>
  </r>
  <r>
    <s v="WO-10190"/>
    <d v="2025-03-06T00:00:00"/>
    <x v="1"/>
    <x v="3"/>
    <s v="Electrician"/>
    <x v="6"/>
    <n v="13.5"/>
    <n v="82"/>
    <n v="1107"/>
    <n v="2006.6"/>
    <n v="3113.6"/>
  </r>
  <r>
    <s v="WO-10191"/>
    <d v="2025-10-28T00:00:00"/>
    <x v="2"/>
    <x v="3"/>
    <s v="Electrician"/>
    <x v="4"/>
    <n v="12.7"/>
    <n v="82"/>
    <n v="1041.3999999999999"/>
    <n v="2791.96"/>
    <n v="3833.3599999999997"/>
  </r>
  <r>
    <s v="WO-10192"/>
    <d v="2025-11-02T00:00:00"/>
    <x v="0"/>
    <x v="4"/>
    <s v="Plumber"/>
    <x v="7"/>
    <n v="15.8"/>
    <n v="79"/>
    <n v="1248.2"/>
    <n v="1959.72"/>
    <n v="3207.92"/>
  </r>
  <r>
    <s v="WO-10193"/>
    <d v="2025-03-31T00:00:00"/>
    <x v="0"/>
    <x v="0"/>
    <s v="HVAC Tech"/>
    <x v="7"/>
    <n v="1.7"/>
    <n v="75"/>
    <n v="127.5"/>
    <n v="2796.45"/>
    <n v="2923.95"/>
  </r>
  <r>
    <s v="WO-10194"/>
    <d v="2025-05-02T00:00:00"/>
    <x v="1"/>
    <x v="4"/>
    <s v="Plumber"/>
    <x v="2"/>
    <n v="4"/>
    <n v="79"/>
    <n v="316"/>
    <n v="325.54000000000002"/>
    <n v="641.54"/>
  </r>
  <r>
    <s v="WO-10195"/>
    <d v="2025-08-04T00:00:00"/>
    <x v="1"/>
    <x v="0"/>
    <s v="HVAC Tech"/>
    <x v="6"/>
    <n v="8.4"/>
    <n v="75"/>
    <n v="630"/>
    <n v="2756.36"/>
    <n v="3386.36"/>
  </r>
  <r>
    <s v="WO-10196"/>
    <d v="2025-09-20T00:00:00"/>
    <x v="1"/>
    <x v="0"/>
    <s v="HVAC Tech"/>
    <x v="5"/>
    <n v="8.8000000000000007"/>
    <n v="75"/>
    <n v="660"/>
    <n v="3317.14"/>
    <n v="3977.14"/>
  </r>
  <r>
    <s v="WO-10197"/>
    <d v="2025-01-23T00:00:00"/>
    <x v="1"/>
    <x v="4"/>
    <s v="Plumber"/>
    <x v="5"/>
    <n v="10.8"/>
    <n v="79"/>
    <n v="853.2"/>
    <n v="254.35"/>
    <n v="1107.55"/>
  </r>
  <r>
    <s v="WO-10198"/>
    <d v="2025-09-03T00:00:00"/>
    <x v="4"/>
    <x v="2"/>
    <s v="Carpenter"/>
    <x v="6"/>
    <n v="8.6"/>
    <n v="68"/>
    <n v="584.79999999999995"/>
    <n v="3197.5"/>
    <n v="3782.3"/>
  </r>
  <r>
    <s v="WO-10199"/>
    <d v="2025-02-07T00:00:00"/>
    <x v="0"/>
    <x v="4"/>
    <s v="Plumber"/>
    <x v="7"/>
    <n v="2.5"/>
    <n v="79"/>
    <n v="197.5"/>
    <n v="1071.3"/>
    <n v="1268.8"/>
  </r>
  <r>
    <s v="WO-10200"/>
    <d v="2025-11-21T00:00:00"/>
    <x v="1"/>
    <x v="1"/>
    <s v="General Maintenance"/>
    <x v="4"/>
    <n v="7"/>
    <n v="52"/>
    <n v="364"/>
    <n v="2151.2600000000002"/>
    <n v="2515.2600000000002"/>
  </r>
  <r>
    <s v="WO-10201"/>
    <d v="2025-05-31T00:00:00"/>
    <x v="4"/>
    <x v="1"/>
    <s v="General Maintenance"/>
    <x v="1"/>
    <n v="2.9"/>
    <n v="52"/>
    <n v="150.79999999999998"/>
    <n v="2500.96"/>
    <n v="2651.76"/>
  </r>
  <r>
    <s v="WO-10202"/>
    <d v="2025-12-02T00:00:00"/>
    <x v="1"/>
    <x v="3"/>
    <s v="Electrician"/>
    <x v="1"/>
    <n v="8"/>
    <n v="82"/>
    <n v="656"/>
    <n v="915.45"/>
    <n v="1571.45"/>
  </r>
  <r>
    <s v="WO-10203"/>
    <d v="2025-06-23T00:00:00"/>
    <x v="4"/>
    <x v="2"/>
    <s v="Carpenter"/>
    <x v="1"/>
    <n v="12.1"/>
    <n v="68"/>
    <n v="822.8"/>
    <n v="1197.04"/>
    <n v="2019.84"/>
  </r>
  <r>
    <s v="WO-10204"/>
    <d v="2025-06-10T00:00:00"/>
    <x v="3"/>
    <x v="4"/>
    <s v="Plumber"/>
    <x v="7"/>
    <n v="11.5"/>
    <n v="79"/>
    <n v="908.5"/>
    <n v="1738.8"/>
    <n v="2647.3"/>
  </r>
  <r>
    <s v="WO-10205"/>
    <d v="2025-02-16T00:00:00"/>
    <x v="0"/>
    <x v="0"/>
    <s v="HVAC Tech"/>
    <x v="1"/>
    <n v="2.9"/>
    <n v="75"/>
    <n v="217.5"/>
    <n v="2624.97"/>
    <n v="2842.47"/>
  </r>
  <r>
    <s v="WO-10206"/>
    <d v="2025-03-08T00:00:00"/>
    <x v="1"/>
    <x v="0"/>
    <s v="HVAC Tech"/>
    <x v="4"/>
    <n v="11.2"/>
    <n v="75"/>
    <n v="840"/>
    <n v="1526.21"/>
    <n v="2366.21"/>
  </r>
  <r>
    <s v="WO-10207"/>
    <d v="2025-12-07T00:00:00"/>
    <x v="4"/>
    <x v="0"/>
    <s v="HVAC Tech"/>
    <x v="0"/>
    <n v="10.199999999999999"/>
    <n v="75"/>
    <n v="765"/>
    <n v="1328.01"/>
    <n v="2093.0100000000002"/>
  </r>
  <r>
    <s v="WO-10208"/>
    <d v="2025-10-23T00:00:00"/>
    <x v="1"/>
    <x v="3"/>
    <s v="Electrician"/>
    <x v="7"/>
    <n v="11"/>
    <n v="82"/>
    <n v="902"/>
    <n v="901.22"/>
    <n v="1803.22"/>
  </r>
  <r>
    <s v="WO-10209"/>
    <d v="2025-02-25T00:00:00"/>
    <x v="3"/>
    <x v="1"/>
    <s v="General Maintenance"/>
    <x v="4"/>
    <n v="3.2"/>
    <n v="52"/>
    <n v="166.4"/>
    <n v="1083.2"/>
    <n v="1249.6000000000001"/>
  </r>
  <r>
    <s v="WO-10210"/>
    <d v="2025-04-26T00:00:00"/>
    <x v="4"/>
    <x v="1"/>
    <s v="General Maintenance"/>
    <x v="2"/>
    <n v="10.3"/>
    <n v="52"/>
    <n v="535.6"/>
    <n v="2353.73"/>
    <n v="2889.33"/>
  </r>
  <r>
    <s v="WO-10211"/>
    <d v="2025-12-22T00:00:00"/>
    <x v="3"/>
    <x v="0"/>
    <s v="HVAC Tech"/>
    <x v="7"/>
    <n v="5.5"/>
    <n v="75"/>
    <n v="412.5"/>
    <n v="2704.07"/>
    <n v="3116.57"/>
  </r>
  <r>
    <s v="WO-10212"/>
    <d v="2025-06-23T00:00:00"/>
    <x v="3"/>
    <x v="0"/>
    <s v="HVAC Tech"/>
    <x v="7"/>
    <n v="14.1"/>
    <n v="75"/>
    <n v="1057.5"/>
    <n v="2047.18"/>
    <n v="3104.6800000000003"/>
  </r>
  <r>
    <s v="WO-10213"/>
    <d v="2025-07-25T00:00:00"/>
    <x v="0"/>
    <x v="3"/>
    <s v="Electrician"/>
    <x v="2"/>
    <n v="2.8"/>
    <n v="82"/>
    <n v="229.6"/>
    <n v="1927.12"/>
    <n v="2156.7199999999998"/>
  </r>
  <r>
    <s v="WO-10214"/>
    <d v="2025-07-12T00:00:00"/>
    <x v="4"/>
    <x v="2"/>
    <s v="Carpenter"/>
    <x v="4"/>
    <n v="3.8"/>
    <n v="68"/>
    <n v="258.39999999999998"/>
    <n v="1193.99"/>
    <n v="1452.3899999999999"/>
  </r>
  <r>
    <s v="WO-10215"/>
    <d v="2025-06-16T00:00:00"/>
    <x v="1"/>
    <x v="1"/>
    <s v="General Maintenance"/>
    <x v="6"/>
    <n v="14.3"/>
    <n v="52"/>
    <n v="743.6"/>
    <n v="671.19"/>
    <n v="1414.79"/>
  </r>
  <r>
    <s v="WO-10216"/>
    <d v="2025-11-13T00:00:00"/>
    <x v="0"/>
    <x v="0"/>
    <s v="HVAC Tech"/>
    <x v="0"/>
    <n v="7.9"/>
    <n v="75"/>
    <n v="592.5"/>
    <n v="1570.45"/>
    <n v="2162.9499999999998"/>
  </r>
  <r>
    <s v="WO-10217"/>
    <d v="2025-11-07T00:00:00"/>
    <x v="4"/>
    <x v="2"/>
    <s v="Carpenter"/>
    <x v="0"/>
    <n v="4.5999999999999996"/>
    <n v="68"/>
    <n v="312.79999999999995"/>
    <n v="1866.36"/>
    <n v="2179.16"/>
  </r>
  <r>
    <s v="WO-10218"/>
    <d v="2025-06-26T00:00:00"/>
    <x v="4"/>
    <x v="0"/>
    <s v="HVAC Tech"/>
    <x v="0"/>
    <n v="11.3"/>
    <n v="75"/>
    <n v="847.5"/>
    <n v="2137"/>
    <n v="2984.5"/>
  </r>
  <r>
    <s v="WO-10219"/>
    <d v="2025-09-27T00:00:00"/>
    <x v="3"/>
    <x v="0"/>
    <s v="HVAC Tech"/>
    <x v="3"/>
    <n v="7.2"/>
    <n v="75"/>
    <n v="540"/>
    <n v="2157.7399999999998"/>
    <n v="2697.74"/>
  </r>
  <r>
    <s v="WO-10220"/>
    <d v="2025-01-04T00:00:00"/>
    <x v="2"/>
    <x v="4"/>
    <s v="Plumber"/>
    <x v="3"/>
    <n v="12.6"/>
    <n v="79"/>
    <n v="995.4"/>
    <n v="2709.94"/>
    <n v="3705.34"/>
  </r>
  <r>
    <s v="WO-10221"/>
    <d v="2025-05-29T00:00:00"/>
    <x v="3"/>
    <x v="0"/>
    <s v="HVAC Tech"/>
    <x v="2"/>
    <n v="8.6999999999999993"/>
    <n v="75"/>
    <n v="652.5"/>
    <n v="1592.69"/>
    <n v="2245.19"/>
  </r>
  <r>
    <s v="WO-10222"/>
    <d v="2025-03-08T00:00:00"/>
    <x v="4"/>
    <x v="1"/>
    <s v="General Maintenance"/>
    <x v="3"/>
    <n v="8.8000000000000007"/>
    <n v="52"/>
    <n v="457.6"/>
    <n v="2941.74"/>
    <n v="3399.3399999999997"/>
  </r>
  <r>
    <s v="WO-10223"/>
    <d v="2025-07-01T00:00:00"/>
    <x v="0"/>
    <x v="2"/>
    <s v="Carpenter"/>
    <x v="2"/>
    <n v="7.8"/>
    <n v="68"/>
    <n v="530.4"/>
    <n v="1690.18"/>
    <n v="2220.58"/>
  </r>
  <r>
    <s v="WO-10224"/>
    <d v="2025-02-09T00:00:00"/>
    <x v="3"/>
    <x v="1"/>
    <s v="General Maintenance"/>
    <x v="1"/>
    <n v="9.8000000000000007"/>
    <n v="52"/>
    <n v="509.6"/>
    <n v="2526.8200000000002"/>
    <n v="3036.42"/>
  </r>
  <r>
    <s v="WO-10225"/>
    <d v="2025-08-02T00:00:00"/>
    <x v="3"/>
    <x v="0"/>
    <s v="HVAC Tech"/>
    <x v="1"/>
    <n v="1.8"/>
    <n v="75"/>
    <n v="135"/>
    <n v="1237.97"/>
    <n v="1372.97"/>
  </r>
  <r>
    <s v="WO-10226"/>
    <d v="2025-11-13T00:00:00"/>
    <x v="4"/>
    <x v="4"/>
    <s v="Plumber"/>
    <x v="6"/>
    <n v="7.8"/>
    <n v="79"/>
    <n v="616.19999999999993"/>
    <n v="504.64"/>
    <n v="1120.8399999999999"/>
  </r>
  <r>
    <s v="WO-10227"/>
    <d v="2025-08-12T00:00:00"/>
    <x v="1"/>
    <x v="2"/>
    <s v="Carpenter"/>
    <x v="6"/>
    <n v="7.2"/>
    <n v="68"/>
    <n v="489.6"/>
    <n v="1189.42"/>
    <n v="1679.02"/>
  </r>
  <r>
    <s v="WO-10228"/>
    <d v="2025-06-23T00:00:00"/>
    <x v="2"/>
    <x v="4"/>
    <s v="Plumber"/>
    <x v="7"/>
    <n v="2.6"/>
    <n v="79"/>
    <n v="205.4"/>
    <n v="2271.3000000000002"/>
    <n v="2476.7000000000003"/>
  </r>
  <r>
    <s v="WO-10229"/>
    <d v="2025-09-29T00:00:00"/>
    <x v="1"/>
    <x v="3"/>
    <s v="Electrician"/>
    <x v="4"/>
    <n v="6.6"/>
    <n v="82"/>
    <n v="541.19999999999993"/>
    <n v="3360.05"/>
    <n v="3901.25"/>
  </r>
  <r>
    <s v="WO-10230"/>
    <d v="2025-11-27T00:00:00"/>
    <x v="2"/>
    <x v="3"/>
    <s v="Electrician"/>
    <x v="6"/>
    <n v="3.6"/>
    <n v="82"/>
    <n v="295.2"/>
    <n v="810.86"/>
    <n v="1106.06"/>
  </r>
  <r>
    <s v="WO-10231"/>
    <d v="2025-11-05T00:00:00"/>
    <x v="2"/>
    <x v="0"/>
    <s v="HVAC Tech"/>
    <x v="7"/>
    <n v="15.3"/>
    <n v="75"/>
    <n v="1147.5"/>
    <n v="2253.63"/>
    <n v="3401.13"/>
  </r>
  <r>
    <s v="WO-10232"/>
    <d v="2025-08-26T00:00:00"/>
    <x v="1"/>
    <x v="1"/>
    <s v="General Maintenance"/>
    <x v="5"/>
    <n v="11.4"/>
    <n v="52"/>
    <n v="592.80000000000007"/>
    <n v="3104.86"/>
    <n v="3697.6600000000003"/>
  </r>
  <r>
    <s v="WO-10233"/>
    <d v="2025-11-26T00:00:00"/>
    <x v="1"/>
    <x v="4"/>
    <s v="Plumber"/>
    <x v="4"/>
    <n v="3.7"/>
    <n v="79"/>
    <n v="292.3"/>
    <n v="378.76"/>
    <n v="671.06"/>
  </r>
  <r>
    <s v="WO-10234"/>
    <d v="2025-08-15T00:00:00"/>
    <x v="3"/>
    <x v="4"/>
    <s v="Plumber"/>
    <x v="2"/>
    <n v="6.6"/>
    <n v="79"/>
    <n v="521.4"/>
    <n v="398.54"/>
    <n v="919.94"/>
  </r>
  <r>
    <s v="WO-10235"/>
    <d v="2025-08-25T00:00:00"/>
    <x v="4"/>
    <x v="0"/>
    <s v="HVAC Tech"/>
    <x v="2"/>
    <n v="6.8"/>
    <n v="75"/>
    <n v="510"/>
    <n v="1111.71"/>
    <n v="1621.71"/>
  </r>
  <r>
    <s v="WO-10236"/>
    <d v="2025-11-27T00:00:00"/>
    <x v="0"/>
    <x v="1"/>
    <s v="General Maintenance"/>
    <x v="1"/>
    <n v="8.1999999999999993"/>
    <n v="52"/>
    <n v="426.4"/>
    <n v="2006.96"/>
    <n v="2433.36"/>
  </r>
  <r>
    <s v="WO-10237"/>
    <d v="2025-01-22T00:00:00"/>
    <x v="4"/>
    <x v="1"/>
    <s v="General Maintenance"/>
    <x v="3"/>
    <n v="6.2"/>
    <n v="52"/>
    <n v="322.40000000000003"/>
    <n v="1743.36"/>
    <n v="2065.7599999999998"/>
  </r>
  <r>
    <s v="WO-10238"/>
    <d v="2025-03-19T00:00:00"/>
    <x v="0"/>
    <x v="2"/>
    <s v="Carpenter"/>
    <x v="6"/>
    <n v="13.3"/>
    <n v="68"/>
    <n v="904.40000000000009"/>
    <n v="2955.21"/>
    <n v="3859.61"/>
  </r>
  <r>
    <s v="WO-10239"/>
    <d v="2025-02-13T00:00:00"/>
    <x v="1"/>
    <x v="3"/>
    <s v="Electrician"/>
    <x v="2"/>
    <n v="5.0999999999999996"/>
    <n v="82"/>
    <n v="418.2"/>
    <n v="1616.49"/>
    <n v="2034.69"/>
  </r>
  <r>
    <s v="WO-10240"/>
    <d v="2025-08-13T00:00:00"/>
    <x v="1"/>
    <x v="1"/>
    <s v="General Maintenance"/>
    <x v="7"/>
    <n v="6.8"/>
    <n v="52"/>
    <n v="353.59999999999997"/>
    <n v="3225.09"/>
    <n v="3578.69"/>
  </r>
  <r>
    <s v="WO-10241"/>
    <d v="2025-07-18T00:00:00"/>
    <x v="4"/>
    <x v="4"/>
    <s v="Plumber"/>
    <x v="2"/>
    <n v="12.9"/>
    <n v="79"/>
    <n v="1019.1"/>
    <n v="2318.4699999999998"/>
    <n v="3337.5699999999997"/>
  </r>
  <r>
    <s v="WO-10242"/>
    <d v="2025-02-03T00:00:00"/>
    <x v="3"/>
    <x v="0"/>
    <s v="HVAC Tech"/>
    <x v="1"/>
    <n v="5.6"/>
    <n v="75"/>
    <n v="420"/>
    <n v="2574.5100000000002"/>
    <n v="2994.51"/>
  </r>
  <r>
    <s v="WO-10243"/>
    <d v="2025-12-03T00:00:00"/>
    <x v="1"/>
    <x v="3"/>
    <s v="Electrician"/>
    <x v="4"/>
    <n v="2.7"/>
    <n v="82"/>
    <n v="221.4"/>
    <n v="2373.1"/>
    <n v="2594.5"/>
  </r>
  <r>
    <s v="WO-10244"/>
    <d v="2025-06-29T00:00:00"/>
    <x v="3"/>
    <x v="2"/>
    <s v="Carpenter"/>
    <x v="7"/>
    <n v="10.1"/>
    <n v="68"/>
    <n v="686.8"/>
    <n v="3292.31"/>
    <n v="3979.1099999999997"/>
  </r>
  <r>
    <s v="WO-10245"/>
    <d v="2025-06-08T00:00:00"/>
    <x v="1"/>
    <x v="2"/>
    <s v="Carpenter"/>
    <x v="4"/>
    <n v="13.3"/>
    <n v="68"/>
    <n v="904.40000000000009"/>
    <n v="2394.89"/>
    <n v="3299.29"/>
  </r>
  <r>
    <s v="WO-10246"/>
    <d v="2025-12-17T00:00:00"/>
    <x v="1"/>
    <x v="0"/>
    <s v="HVAC Tech"/>
    <x v="1"/>
    <n v="8.9"/>
    <n v="75"/>
    <n v="667.5"/>
    <n v="211.07"/>
    <n v="878.56999999999994"/>
  </r>
  <r>
    <s v="WO-10247"/>
    <d v="2025-06-08T00:00:00"/>
    <x v="2"/>
    <x v="3"/>
    <s v="Electrician"/>
    <x v="4"/>
    <n v="15.2"/>
    <n v="82"/>
    <n v="1246.3999999999999"/>
    <n v="1779.01"/>
    <n v="3025.41"/>
  </r>
  <r>
    <s v="WO-10248"/>
    <d v="2025-04-26T00:00:00"/>
    <x v="2"/>
    <x v="3"/>
    <s v="Electrician"/>
    <x v="6"/>
    <n v="5.8"/>
    <n v="82"/>
    <n v="475.59999999999997"/>
    <n v="2790.2"/>
    <n v="3265.7999999999997"/>
  </r>
  <r>
    <s v="WO-10249"/>
    <d v="2025-09-17T00:00:00"/>
    <x v="1"/>
    <x v="1"/>
    <s v="General Maintenance"/>
    <x v="2"/>
    <n v="11.1"/>
    <n v="52"/>
    <n v="577.19999999999993"/>
    <n v="3085.92"/>
    <n v="3663.12"/>
  </r>
  <r>
    <s v="WO-10250"/>
    <d v="2025-11-13T00:00:00"/>
    <x v="2"/>
    <x v="1"/>
    <s v="General Maintenance"/>
    <x v="1"/>
    <n v="3.7"/>
    <n v="52"/>
    <n v="192.4"/>
    <n v="755.83"/>
    <n v="948.23"/>
  </r>
  <r>
    <s v="WO-10251"/>
    <d v="2025-12-21T00:00:00"/>
    <x v="1"/>
    <x v="3"/>
    <s v="Electrician"/>
    <x v="5"/>
    <n v="2.1"/>
    <n v="82"/>
    <n v="172.20000000000002"/>
    <n v="1370.4"/>
    <n v="1542.6000000000001"/>
  </r>
  <r>
    <s v="WO-10252"/>
    <d v="2025-05-02T00:00:00"/>
    <x v="4"/>
    <x v="1"/>
    <s v="General Maintenance"/>
    <x v="0"/>
    <n v="12.4"/>
    <n v="52"/>
    <n v="644.80000000000007"/>
    <n v="2775.73"/>
    <n v="3420.53"/>
  </r>
  <r>
    <s v="WO-10253"/>
    <d v="2025-04-30T00:00:00"/>
    <x v="1"/>
    <x v="3"/>
    <s v="Electrician"/>
    <x v="0"/>
    <n v="15.5"/>
    <n v="82"/>
    <n v="1271"/>
    <n v="2777.64"/>
    <n v="4048.64"/>
  </r>
  <r>
    <s v="WO-10254"/>
    <d v="2025-04-10T00:00:00"/>
    <x v="3"/>
    <x v="1"/>
    <s v="General Maintenance"/>
    <x v="5"/>
    <n v="8.1999999999999993"/>
    <n v="52"/>
    <n v="426.4"/>
    <n v="1093.94"/>
    <n v="1520.3400000000001"/>
  </r>
  <r>
    <s v="WO-10255"/>
    <d v="2025-07-15T00:00:00"/>
    <x v="1"/>
    <x v="1"/>
    <s v="General Maintenance"/>
    <x v="1"/>
    <n v="15.5"/>
    <n v="52"/>
    <n v="806"/>
    <n v="2886.59"/>
    <n v="3692.59"/>
  </r>
  <r>
    <s v="WO-10256"/>
    <d v="2025-11-06T00:00:00"/>
    <x v="2"/>
    <x v="4"/>
    <s v="Plumber"/>
    <x v="2"/>
    <n v="10.8"/>
    <n v="79"/>
    <n v="853.2"/>
    <n v="3078.29"/>
    <n v="3931.49"/>
  </r>
  <r>
    <s v="WO-10257"/>
    <d v="2025-10-11T00:00:00"/>
    <x v="0"/>
    <x v="1"/>
    <s v="General Maintenance"/>
    <x v="6"/>
    <n v="5.6"/>
    <n v="52"/>
    <n v="291.2"/>
    <n v="2706.44"/>
    <n v="2997.64"/>
  </r>
  <r>
    <s v="WO-10258"/>
    <d v="2025-05-20T00:00:00"/>
    <x v="4"/>
    <x v="1"/>
    <s v="General Maintenance"/>
    <x v="7"/>
    <n v="13.6"/>
    <n v="52"/>
    <n v="707.19999999999993"/>
    <n v="457.24"/>
    <n v="1164.44"/>
  </r>
  <r>
    <s v="WO-10259"/>
    <d v="2025-04-24T00:00:00"/>
    <x v="4"/>
    <x v="4"/>
    <s v="Plumber"/>
    <x v="2"/>
    <n v="7.5"/>
    <n v="79"/>
    <n v="592.5"/>
    <n v="1478.12"/>
    <n v="2070.62"/>
  </r>
  <r>
    <s v="WO-10260"/>
    <d v="2025-07-11T00:00:00"/>
    <x v="2"/>
    <x v="2"/>
    <s v="Carpenter"/>
    <x v="6"/>
    <n v="6.9"/>
    <n v="68"/>
    <n v="469.20000000000005"/>
    <n v="244.43"/>
    <n v="713.63000000000011"/>
  </r>
  <r>
    <s v="WO-10261"/>
    <d v="2025-02-20T00:00:00"/>
    <x v="3"/>
    <x v="3"/>
    <s v="Electrician"/>
    <x v="7"/>
    <n v="2.1"/>
    <n v="82"/>
    <n v="172.20000000000002"/>
    <n v="3223.28"/>
    <n v="3395.48"/>
  </r>
  <r>
    <s v="WO-10262"/>
    <d v="2025-08-30T00:00:00"/>
    <x v="2"/>
    <x v="2"/>
    <s v="Carpenter"/>
    <x v="5"/>
    <n v="10.4"/>
    <n v="68"/>
    <n v="707.2"/>
    <n v="3184.62"/>
    <n v="3891.8199999999997"/>
  </r>
  <r>
    <s v="WO-10263"/>
    <d v="2025-01-10T00:00:00"/>
    <x v="3"/>
    <x v="3"/>
    <s v="Electrician"/>
    <x v="7"/>
    <n v="9.5"/>
    <n v="82"/>
    <n v="779"/>
    <n v="2586.2399999999998"/>
    <n v="3365.24"/>
  </r>
  <r>
    <s v="WO-10264"/>
    <d v="2025-09-28T00:00:00"/>
    <x v="4"/>
    <x v="0"/>
    <s v="HVAC Tech"/>
    <x v="0"/>
    <n v="4.9000000000000004"/>
    <n v="75"/>
    <n v="367.5"/>
    <n v="558.19000000000005"/>
    <n v="925.69"/>
  </r>
  <r>
    <s v="WO-10265"/>
    <d v="2025-05-03T00:00:00"/>
    <x v="4"/>
    <x v="1"/>
    <s v="General Maintenance"/>
    <x v="5"/>
    <n v="2.4"/>
    <n v="52"/>
    <n v="124.8"/>
    <n v="2952.9"/>
    <n v="3077.7000000000003"/>
  </r>
  <r>
    <s v="WO-10266"/>
    <d v="2025-09-13T00:00:00"/>
    <x v="1"/>
    <x v="1"/>
    <s v="General Maintenance"/>
    <x v="2"/>
    <n v="10.7"/>
    <n v="52"/>
    <n v="556.4"/>
    <n v="2076.41"/>
    <n v="2632.81"/>
  </r>
  <r>
    <s v="WO-10267"/>
    <d v="2025-03-15T00:00:00"/>
    <x v="3"/>
    <x v="2"/>
    <s v="Carpenter"/>
    <x v="2"/>
    <n v="10.4"/>
    <n v="68"/>
    <n v="707.2"/>
    <n v="955.89"/>
    <n v="1663.0900000000001"/>
  </r>
  <r>
    <s v="WO-10268"/>
    <d v="2025-08-02T00:00:00"/>
    <x v="2"/>
    <x v="0"/>
    <s v="HVAC Tech"/>
    <x v="4"/>
    <n v="2.5"/>
    <n v="75"/>
    <n v="187.5"/>
    <n v="1912.3"/>
    <n v="2099.8000000000002"/>
  </r>
  <r>
    <s v="WO-10269"/>
    <d v="2025-09-17T00:00:00"/>
    <x v="1"/>
    <x v="1"/>
    <s v="General Maintenance"/>
    <x v="2"/>
    <n v="7.2"/>
    <n v="52"/>
    <n v="374.40000000000003"/>
    <n v="1724.95"/>
    <n v="2099.35"/>
  </r>
  <r>
    <s v="WO-10270"/>
    <d v="2025-11-22T00:00:00"/>
    <x v="4"/>
    <x v="4"/>
    <s v="Plumber"/>
    <x v="0"/>
    <n v="12.3"/>
    <n v="79"/>
    <n v="971.7"/>
    <n v="1346.26"/>
    <n v="2317.96"/>
  </r>
  <r>
    <s v="WO-10271"/>
    <d v="2025-02-04T00:00:00"/>
    <x v="3"/>
    <x v="3"/>
    <s v="Electrician"/>
    <x v="6"/>
    <n v="12.7"/>
    <n v="82"/>
    <n v="1041.3999999999999"/>
    <n v="2612.88"/>
    <n v="3654.2799999999997"/>
  </r>
  <r>
    <s v="WO-10272"/>
    <d v="2025-06-20T00:00:00"/>
    <x v="2"/>
    <x v="0"/>
    <s v="HVAC Tech"/>
    <x v="4"/>
    <n v="9.4"/>
    <n v="75"/>
    <n v="705"/>
    <n v="2875.25"/>
    <n v="3580.25"/>
  </r>
  <r>
    <s v="WO-10273"/>
    <d v="2025-03-31T00:00:00"/>
    <x v="4"/>
    <x v="2"/>
    <s v="Carpenter"/>
    <x v="7"/>
    <n v="13.3"/>
    <n v="68"/>
    <n v="904.40000000000009"/>
    <n v="361.39"/>
    <n v="1265.79"/>
  </r>
  <r>
    <s v="WO-10274"/>
    <d v="2025-08-23T00:00:00"/>
    <x v="0"/>
    <x v="4"/>
    <s v="Plumber"/>
    <x v="3"/>
    <n v="2.1"/>
    <n v="79"/>
    <n v="165.9"/>
    <n v="818.22"/>
    <n v="984.12"/>
  </r>
  <r>
    <s v="WO-10275"/>
    <d v="2025-01-22T00:00:00"/>
    <x v="3"/>
    <x v="4"/>
    <s v="Plumber"/>
    <x v="1"/>
    <n v="15.8"/>
    <n v="79"/>
    <n v="1248.2"/>
    <n v="1969.15"/>
    <n v="3217.3500000000004"/>
  </r>
  <r>
    <s v="WO-10276"/>
    <d v="2025-05-10T00:00:00"/>
    <x v="0"/>
    <x v="3"/>
    <s v="Electrician"/>
    <x v="0"/>
    <n v="6.7"/>
    <n v="82"/>
    <n v="549.4"/>
    <n v="2765.82"/>
    <n v="3315.2200000000003"/>
  </r>
  <r>
    <s v="WO-10277"/>
    <d v="2025-12-02T00:00:00"/>
    <x v="3"/>
    <x v="4"/>
    <s v="Plumber"/>
    <x v="6"/>
    <n v="13.1"/>
    <n v="79"/>
    <n v="1034.8999999999999"/>
    <n v="1613.79"/>
    <n v="2648.6899999999996"/>
  </r>
  <r>
    <s v="WO-10278"/>
    <d v="2025-07-24T00:00:00"/>
    <x v="4"/>
    <x v="2"/>
    <s v="Carpenter"/>
    <x v="4"/>
    <n v="15.6"/>
    <n v="68"/>
    <n v="1060.8"/>
    <n v="1812.28"/>
    <n v="2873.08"/>
  </r>
  <r>
    <s v="WO-10279"/>
    <d v="2025-09-12T00:00:00"/>
    <x v="3"/>
    <x v="1"/>
    <s v="General Maintenance"/>
    <x v="0"/>
    <n v="13.1"/>
    <n v="52"/>
    <n v="681.19999999999993"/>
    <n v="2585.7199999999998"/>
    <n v="3266.9199999999996"/>
  </r>
  <r>
    <s v="WO-10280"/>
    <d v="2025-02-10T00:00:00"/>
    <x v="4"/>
    <x v="1"/>
    <s v="General Maintenance"/>
    <x v="7"/>
    <n v="9.4"/>
    <n v="52"/>
    <n v="488.8"/>
    <n v="1226.06"/>
    <n v="1714.86"/>
  </r>
  <r>
    <s v="WO-10281"/>
    <d v="2025-02-10T00:00:00"/>
    <x v="3"/>
    <x v="4"/>
    <s v="Plumber"/>
    <x v="0"/>
    <n v="8"/>
    <n v="79"/>
    <n v="632"/>
    <n v="2554.17"/>
    <n v="3186.17"/>
  </r>
  <r>
    <s v="WO-10282"/>
    <d v="2025-03-27T00:00:00"/>
    <x v="4"/>
    <x v="4"/>
    <s v="Plumber"/>
    <x v="5"/>
    <n v="2.1"/>
    <n v="79"/>
    <n v="165.9"/>
    <n v="3064.62"/>
    <n v="3230.52"/>
  </r>
  <r>
    <s v="WO-10283"/>
    <d v="2025-06-30T00:00:00"/>
    <x v="1"/>
    <x v="2"/>
    <s v="Carpenter"/>
    <x v="0"/>
    <n v="10.8"/>
    <n v="68"/>
    <n v="734.40000000000009"/>
    <n v="2801.45"/>
    <n v="3535.85"/>
  </r>
  <r>
    <s v="WO-10284"/>
    <d v="2025-01-30T00:00:00"/>
    <x v="0"/>
    <x v="2"/>
    <s v="Carpenter"/>
    <x v="4"/>
    <n v="8.9"/>
    <n v="68"/>
    <n v="605.20000000000005"/>
    <n v="2662.16"/>
    <n v="3267.3599999999997"/>
  </r>
  <r>
    <s v="WO-10285"/>
    <d v="2025-03-23T00:00:00"/>
    <x v="0"/>
    <x v="3"/>
    <s v="Electrician"/>
    <x v="5"/>
    <n v="2"/>
    <n v="82"/>
    <n v="164"/>
    <n v="375.23"/>
    <n v="539.23"/>
  </r>
  <r>
    <s v="WO-10286"/>
    <d v="2025-11-27T00:00:00"/>
    <x v="3"/>
    <x v="4"/>
    <s v="Plumber"/>
    <x v="1"/>
    <n v="15.3"/>
    <n v="79"/>
    <n v="1208.7"/>
    <n v="258.49"/>
    <n v="1467.19"/>
  </r>
  <r>
    <s v="WO-10287"/>
    <d v="2025-03-20T00:00:00"/>
    <x v="4"/>
    <x v="4"/>
    <s v="Plumber"/>
    <x v="4"/>
    <n v="7.9"/>
    <n v="79"/>
    <n v="624.1"/>
    <n v="407.57"/>
    <n v="1031.67"/>
  </r>
  <r>
    <s v="WO-10288"/>
    <d v="2025-03-12T00:00:00"/>
    <x v="1"/>
    <x v="4"/>
    <s v="Plumber"/>
    <x v="1"/>
    <n v="6.1"/>
    <n v="79"/>
    <n v="481.9"/>
    <n v="1083.6099999999999"/>
    <n v="1565.5099999999998"/>
  </r>
  <r>
    <s v="WO-10289"/>
    <d v="2025-02-28T00:00:00"/>
    <x v="0"/>
    <x v="3"/>
    <s v="Electrician"/>
    <x v="5"/>
    <n v="9"/>
    <n v="82"/>
    <n v="738"/>
    <n v="3210.37"/>
    <n v="3948.37"/>
  </r>
  <r>
    <s v="WO-10290"/>
    <d v="2025-03-02T00:00:00"/>
    <x v="3"/>
    <x v="4"/>
    <s v="Plumber"/>
    <x v="5"/>
    <n v="4.5999999999999996"/>
    <n v="79"/>
    <n v="363.4"/>
    <n v="2199.79"/>
    <n v="2563.19"/>
  </r>
  <r>
    <s v="WO-10291"/>
    <d v="2025-12-22T00:00:00"/>
    <x v="4"/>
    <x v="3"/>
    <s v="Electrician"/>
    <x v="6"/>
    <n v="3.5"/>
    <n v="82"/>
    <n v="287"/>
    <n v="398.07"/>
    <n v="685.06999999999994"/>
  </r>
  <r>
    <s v="WO-10292"/>
    <d v="2025-03-30T00:00:00"/>
    <x v="4"/>
    <x v="0"/>
    <s v="HVAC Tech"/>
    <x v="4"/>
    <n v="11.2"/>
    <n v="75"/>
    <n v="840"/>
    <n v="2526.96"/>
    <n v="3366.96"/>
  </r>
  <r>
    <s v="WO-10293"/>
    <d v="2025-10-09T00:00:00"/>
    <x v="1"/>
    <x v="4"/>
    <s v="Plumber"/>
    <x v="0"/>
    <n v="13.8"/>
    <n v="79"/>
    <n v="1090.2"/>
    <n v="2534.56"/>
    <n v="3624.76"/>
  </r>
  <r>
    <s v="WO-10294"/>
    <d v="2025-12-25T00:00:00"/>
    <x v="2"/>
    <x v="4"/>
    <s v="Plumber"/>
    <x v="3"/>
    <n v="3.3"/>
    <n v="79"/>
    <n v="260.7"/>
    <n v="823.28"/>
    <n v="1083.98"/>
  </r>
  <r>
    <s v="WO-10295"/>
    <d v="2025-03-13T00:00:00"/>
    <x v="2"/>
    <x v="2"/>
    <s v="Carpenter"/>
    <x v="2"/>
    <n v="6.7"/>
    <n v="68"/>
    <n v="455.6"/>
    <n v="2067.13"/>
    <n v="2522.73"/>
  </r>
  <r>
    <s v="WO-10296"/>
    <d v="2025-08-28T00:00:00"/>
    <x v="1"/>
    <x v="3"/>
    <s v="Electrician"/>
    <x v="6"/>
    <n v="2.5"/>
    <n v="82"/>
    <n v="205"/>
    <n v="1483.84"/>
    <n v="1688.84"/>
  </r>
  <r>
    <s v="WO-10297"/>
    <d v="2025-09-03T00:00:00"/>
    <x v="1"/>
    <x v="2"/>
    <s v="Carpenter"/>
    <x v="1"/>
    <n v="13.4"/>
    <n v="68"/>
    <n v="911.2"/>
    <n v="397.06"/>
    <n v="1308.26"/>
  </r>
  <r>
    <s v="WO-10298"/>
    <d v="2025-06-12T00:00:00"/>
    <x v="0"/>
    <x v="2"/>
    <s v="Carpenter"/>
    <x v="5"/>
    <n v="11.4"/>
    <n v="68"/>
    <n v="775.2"/>
    <n v="1304.1199999999999"/>
    <n v="2079.3199999999997"/>
  </r>
  <r>
    <s v="WO-10299"/>
    <d v="2025-10-10T00:00:00"/>
    <x v="1"/>
    <x v="3"/>
    <s v="Electrician"/>
    <x v="7"/>
    <n v="7.8"/>
    <n v="82"/>
    <n v="639.6"/>
    <n v="3200.89"/>
    <n v="3840.49"/>
  </r>
  <r>
    <s v="WO-10300"/>
    <d v="2025-01-29T00:00:00"/>
    <x v="0"/>
    <x v="1"/>
    <s v="General Maintenance"/>
    <x v="7"/>
    <n v="5.9"/>
    <n v="52"/>
    <n v="306.8"/>
    <n v="692.59"/>
    <n v="999.39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1D4B5-6DED-40F0-9855-0135BDF3E0D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numFmtId="14"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44" showAll="0"/>
    <pivotField dataField="1" numFmtId="4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st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AE3BA-AB89-4741-9AE5-DD3FEE76A9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1">
    <pivotField showAll="0"/>
    <pivotField numFmtId="14"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dataField="1" numFmtId="4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st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5EE4D-D068-446F-A47B-E693212C3EC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 sortType="descending">
      <items count="9">
        <item x="4"/>
        <item x="2"/>
        <item x="1"/>
        <item x="7"/>
        <item x="5"/>
        <item x="3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numFmtId="44" showAll="0"/>
    <pivotField numFmtId="44" showAll="0"/>
    <pivotField dataField="1" numFmtId="44" showAll="0"/>
  </pivotFields>
  <rowFields count="1">
    <field x="5"/>
  </rowFields>
  <rowItems count="9">
    <i>
      <x v="1"/>
    </i>
    <i>
      <x v="4"/>
    </i>
    <i>
      <x v="6"/>
    </i>
    <i>
      <x v="3"/>
    </i>
    <i>
      <x v="7"/>
    </i>
    <i>
      <x/>
    </i>
    <i>
      <x v="2"/>
    </i>
    <i>
      <x v="5"/>
    </i>
    <i t="grand">
      <x/>
    </i>
  </rowItems>
  <colItems count="1">
    <i/>
  </colItems>
  <dataFields count="1">
    <dataField name="Sum of Total Cost" fld="10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B338866-CCB4-4AB3-AE1D-46C56A0A5D38}" autoFormatId="16" applyNumberFormats="0" applyBorderFormats="0" applyFontFormats="0" applyPatternFormats="0" applyAlignmentFormats="0" applyWidthHeightFormats="0">
  <queryTableRefresh nextId="3">
    <queryTableFields count="2">
      <queryTableField id="1" name="WO Number" tableColumnId="1"/>
      <queryTableField id="2" name="Vendor Cos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7590125-D0A6-4517-A93D-4AD5A914EF66}" autoFormatId="16" applyNumberFormats="0" applyBorderFormats="0" applyFontFormats="0" applyPatternFormats="0" applyAlignmentFormats="0" applyWidthHeightFormats="0">
  <queryTableRefresh nextId="3">
    <queryTableFields count="2">
      <queryTableField id="1" name="Trade" tableColumnId="1"/>
      <queryTableField id="2" name="Hourly Ra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632AA7-D543-4A61-9047-FE69E0983C56}" autoFormatId="16" applyNumberFormats="0" applyBorderFormats="0" applyFontFormats="0" applyPatternFormats="0" applyAlignmentFormats="0" applyWidthHeightFormats="0">
  <queryTableRefresh nextId="8">
    <queryTableFields count="7">
      <queryTableField id="1" name="WO Number" tableColumnId="1"/>
      <queryTableField id="2" name="Open Date" tableColumnId="2"/>
      <queryTableField id="3" name="Department" tableColumnId="3"/>
      <queryTableField id="4" name="Work Type" tableColumnId="4"/>
      <queryTableField id="5" name="Trade" tableColumnId="5"/>
      <queryTableField id="6" name="Vendor" tableColumnId="6"/>
      <queryTableField id="7" name="Labor Hour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5D43F76-6FF3-4C7A-8784-2AF21272DF1D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WO Number" tableColumnId="1"/>
      <queryTableField id="2" name="Open Date" tableColumnId="2"/>
      <queryTableField id="3" name="Department" tableColumnId="3"/>
      <queryTableField id="4" name="Work Type" tableColumnId="4"/>
      <queryTableField id="5" name="Trade" tableColumnId="5"/>
      <queryTableField id="6" name="Vendor" tableColumnId="6"/>
      <queryTableField id="7" name="Labor Hours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391831-B53B-4A71-8AAF-A5459889D7E0}" name="tblInvoices" displayName="tblInvoices" ref="A1:B301" tableType="queryTable" totalsRowShown="0">
  <autoFilter ref="A1:B301" xr:uid="{72391831-B53B-4A71-8AAF-A5459889D7E0}"/>
  <tableColumns count="2">
    <tableColumn id="1" xr3:uid="{DA07D875-DC55-421C-AEED-CA44C8D378F7}" uniqueName="1" name="WO Number" queryTableFieldId="1" dataDxfId="17"/>
    <tableColumn id="2" xr3:uid="{29F0BCCF-7009-45DD-9CCD-6788A976D01B}" uniqueName="2" name="Vendor Cos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4B7F8C-007A-4733-8A0E-CA4D577A3C9D}" name="tblLaborRates" displayName="tblLaborRates" ref="A1:B6" tableType="queryTable" totalsRowShown="0">
  <autoFilter ref="A1:B6" xr:uid="{BF4B7F8C-007A-4733-8A0E-CA4D577A3C9D}"/>
  <tableColumns count="2">
    <tableColumn id="1" xr3:uid="{3A36DD48-1081-43FF-BE06-CF1C3C21A3A8}" uniqueName="1" name="Trade" queryTableFieldId="1" dataDxfId="16"/>
    <tableColumn id="2" xr3:uid="{FA5BD399-06D9-445F-AEAB-64481405F2A8}" uniqueName="2" name="Hourly Rat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0F4BC-E81F-4CFD-BF28-F9C6111B4EF4}" name="tblWorkOrders" displayName="tblWorkOrders" ref="A1:G301" tableType="queryTable" totalsRowShown="0">
  <autoFilter ref="A1:G301" xr:uid="{2CF0F4BC-E81F-4CFD-BF28-F9C6111B4EF4}"/>
  <tableColumns count="7">
    <tableColumn id="1" xr3:uid="{07CE7F8F-2058-4D18-91B6-4558A63AC63C}" uniqueName="1" name="WO Number" queryTableFieldId="1" dataDxfId="15"/>
    <tableColumn id="2" xr3:uid="{B08ED248-3EFB-4E5A-BC81-826A6D3F5CFC}" uniqueName="2" name="Open Date" queryTableFieldId="2" dataDxfId="14"/>
    <tableColumn id="3" xr3:uid="{1FC09FC5-CEE0-4C89-8A41-32F8B85E168B}" uniqueName="3" name="Department" queryTableFieldId="3" dataDxfId="13"/>
    <tableColumn id="4" xr3:uid="{166949AD-638C-47F7-96AE-06F0A3418140}" uniqueName="4" name="Work Type" queryTableFieldId="4" dataDxfId="12"/>
    <tableColumn id="5" xr3:uid="{259D2372-5436-462A-826D-A7D856FE98E7}" uniqueName="5" name="Trade" queryTableFieldId="5" dataDxfId="11"/>
    <tableColumn id="6" xr3:uid="{160AD5E1-005E-4E81-9B6B-8A892959D668}" uniqueName="6" name="Vendor" queryTableFieldId="6" dataDxfId="10"/>
    <tableColumn id="7" xr3:uid="{297782A7-03D7-4B25-8358-5255E057FCFE}" uniqueName="7" name="Labor Hour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135098-C8EE-409D-AEFC-7D2B3D75966F}" name="tblWorkOrders5" displayName="tblWorkOrders5" ref="A1:K301" tableType="queryTable" totalsRowShown="0">
  <autoFilter ref="A1:K301" xr:uid="{11135098-C8EE-409D-AEFC-7D2B3D75966F}"/>
  <tableColumns count="11">
    <tableColumn id="1" xr3:uid="{42BC4E85-CA76-49F5-BEA2-3F4A4538F334}" uniqueName="1" name="WO Number" queryTableFieldId="1" dataDxfId="9"/>
    <tableColumn id="2" xr3:uid="{9415262F-F4A6-47C5-8E9B-FBD8889C0CC2}" uniqueName="2" name="Open Date" queryTableFieldId="2" dataDxfId="8"/>
    <tableColumn id="3" xr3:uid="{4EFDBE1D-9656-47A3-B812-E50E74FCBE4A}" uniqueName="3" name="Department" queryTableFieldId="3" dataDxfId="7"/>
    <tableColumn id="4" xr3:uid="{422B8079-A7B9-4D11-B4AF-557F7211B8B7}" uniqueName="4" name="Work Type" queryTableFieldId="4" dataDxfId="6"/>
    <tableColumn id="5" xr3:uid="{95E1DA7D-07BF-47E6-9971-AB0672706F78}" uniqueName="5" name="Trade" queryTableFieldId="5" dataDxfId="5"/>
    <tableColumn id="6" xr3:uid="{8CAC4CD6-3645-41D6-93ED-D8290ECD4C7E}" uniqueName="6" name="Vendor" queryTableFieldId="6" dataDxfId="4"/>
    <tableColumn id="7" xr3:uid="{76683657-0CD8-4BA4-89A1-E6AB50352BD2}" uniqueName="7" name="Labor Hours" queryTableFieldId="7"/>
    <tableColumn id="8" xr3:uid="{F38E6488-F12D-4399-BB59-0C6648E7E7F4}" uniqueName="8" name="Hourly Rate" queryTableFieldId="8" dataDxfId="3">
      <calculatedColumnFormula>_xlfn.XLOOKUP(tblWorkOrders5[[#This Row],[Trade]],tblLaborRates[Trade],tblLaborRates[Hourly Rate])</calculatedColumnFormula>
    </tableColumn>
    <tableColumn id="9" xr3:uid="{BCF4E87F-EA3B-450A-A022-6454E6D40751}" uniqueName="9" name="Labor Cost" queryTableFieldId="9" dataDxfId="2">
      <calculatedColumnFormula>tblWorkOrders5[[#This Row],[Labor Hours]]*tblWorkOrders5[[#This Row],[Hourly Rate]]</calculatedColumnFormula>
    </tableColumn>
    <tableColumn id="10" xr3:uid="{91C0F411-9D7F-4C8B-8F80-C69EE9477A6E}" uniqueName="10" name="Vendor Cost" queryTableFieldId="10" dataDxfId="1">
      <calculatedColumnFormula>_xlfn.XLOOKUP(tblWorkOrders5[[#This Row],[WO Number]],tblInvoices[WO Number],tblInvoices[Vendor Cost])</calculatedColumnFormula>
    </tableColumn>
    <tableColumn id="11" xr3:uid="{D0666351-2748-4023-89DB-236EBFA7246E}" uniqueName="11" name="Total Cost" queryTableFieldId="11" dataDxfId="0">
      <calculatedColumnFormula>tblWorkOrders5[[#This Row],[Labor Cost]]+tblWorkOrders5[[#This Row],[Vendor Cost]]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6C7F-0BE6-4B22-8610-1323FF0DCB00}">
  <dimension ref="A1:B301"/>
  <sheetViews>
    <sheetView workbookViewId="0"/>
  </sheetViews>
  <sheetFormatPr defaultRowHeight="15" x14ac:dyDescent="0.25"/>
  <cols>
    <col min="1" max="1" width="14.28515625" bestFit="1" customWidth="1"/>
    <col min="2" max="2" width="14.42578125" bestFit="1" customWidth="1"/>
  </cols>
  <sheetData>
    <row r="1" spans="1:2" x14ac:dyDescent="0.25">
      <c r="A1" t="s">
        <v>0</v>
      </c>
      <c r="B1" t="s">
        <v>330</v>
      </c>
    </row>
    <row r="2" spans="1:2" x14ac:dyDescent="0.25">
      <c r="A2" t="s">
        <v>7</v>
      </c>
      <c r="B2">
        <v>617.45000000000005</v>
      </c>
    </row>
    <row r="3" spans="1:2" x14ac:dyDescent="0.25">
      <c r="A3" t="s">
        <v>12</v>
      </c>
      <c r="B3">
        <v>463.88</v>
      </c>
    </row>
    <row r="4" spans="1:2" x14ac:dyDescent="0.25">
      <c r="A4" t="s">
        <v>15</v>
      </c>
      <c r="B4">
        <v>2548.67</v>
      </c>
    </row>
    <row r="5" spans="1:2" x14ac:dyDescent="0.25">
      <c r="A5" t="s">
        <v>18</v>
      </c>
      <c r="B5">
        <v>1081.94</v>
      </c>
    </row>
    <row r="6" spans="1:2" x14ac:dyDescent="0.25">
      <c r="A6" t="s">
        <v>22</v>
      </c>
      <c r="B6">
        <v>871.3</v>
      </c>
    </row>
    <row r="7" spans="1:2" x14ac:dyDescent="0.25">
      <c r="A7" t="s">
        <v>25</v>
      </c>
      <c r="B7">
        <v>2989.11</v>
      </c>
    </row>
    <row r="8" spans="1:2" x14ac:dyDescent="0.25">
      <c r="A8" t="s">
        <v>26</v>
      </c>
      <c r="B8">
        <v>3409.94</v>
      </c>
    </row>
    <row r="9" spans="1:2" x14ac:dyDescent="0.25">
      <c r="A9" t="s">
        <v>29</v>
      </c>
      <c r="B9">
        <v>2222.04</v>
      </c>
    </row>
    <row r="10" spans="1:2" x14ac:dyDescent="0.25">
      <c r="A10" t="s">
        <v>30</v>
      </c>
      <c r="B10">
        <v>913.46</v>
      </c>
    </row>
    <row r="11" spans="1:2" x14ac:dyDescent="0.25">
      <c r="A11" t="s">
        <v>34</v>
      </c>
      <c r="B11">
        <v>1668.92</v>
      </c>
    </row>
    <row r="12" spans="1:2" x14ac:dyDescent="0.25">
      <c r="A12" t="s">
        <v>35</v>
      </c>
      <c r="B12">
        <v>1044.3800000000001</v>
      </c>
    </row>
    <row r="13" spans="1:2" x14ac:dyDescent="0.25">
      <c r="A13" t="s">
        <v>38</v>
      </c>
      <c r="B13">
        <v>970.12</v>
      </c>
    </row>
    <row r="14" spans="1:2" x14ac:dyDescent="0.25">
      <c r="A14" t="s">
        <v>40</v>
      </c>
      <c r="B14">
        <v>2973.55</v>
      </c>
    </row>
    <row r="15" spans="1:2" x14ac:dyDescent="0.25">
      <c r="A15" t="s">
        <v>42</v>
      </c>
      <c r="B15">
        <v>371.73</v>
      </c>
    </row>
    <row r="16" spans="1:2" x14ac:dyDescent="0.25">
      <c r="A16" t="s">
        <v>43</v>
      </c>
      <c r="B16">
        <v>3213.73</v>
      </c>
    </row>
    <row r="17" spans="1:2" x14ac:dyDescent="0.25">
      <c r="A17" t="s">
        <v>44</v>
      </c>
      <c r="B17">
        <v>2030.58</v>
      </c>
    </row>
    <row r="18" spans="1:2" x14ac:dyDescent="0.25">
      <c r="A18" t="s">
        <v>45</v>
      </c>
      <c r="B18">
        <v>3491.04</v>
      </c>
    </row>
    <row r="19" spans="1:2" x14ac:dyDescent="0.25">
      <c r="A19" t="s">
        <v>46</v>
      </c>
      <c r="B19">
        <v>3034.69</v>
      </c>
    </row>
    <row r="20" spans="1:2" x14ac:dyDescent="0.25">
      <c r="A20" t="s">
        <v>47</v>
      </c>
      <c r="B20">
        <v>2146.23</v>
      </c>
    </row>
    <row r="21" spans="1:2" x14ac:dyDescent="0.25">
      <c r="A21" t="s">
        <v>48</v>
      </c>
      <c r="B21">
        <v>533.75</v>
      </c>
    </row>
    <row r="22" spans="1:2" x14ac:dyDescent="0.25">
      <c r="A22" t="s">
        <v>49</v>
      </c>
      <c r="B22">
        <v>679.83</v>
      </c>
    </row>
    <row r="23" spans="1:2" x14ac:dyDescent="0.25">
      <c r="A23" t="s">
        <v>50</v>
      </c>
      <c r="B23">
        <v>506.48</v>
      </c>
    </row>
    <row r="24" spans="1:2" x14ac:dyDescent="0.25">
      <c r="A24" t="s">
        <v>51</v>
      </c>
      <c r="B24">
        <v>2704.41</v>
      </c>
    </row>
    <row r="25" spans="1:2" x14ac:dyDescent="0.25">
      <c r="A25" t="s">
        <v>52</v>
      </c>
      <c r="B25">
        <v>524.76</v>
      </c>
    </row>
    <row r="26" spans="1:2" x14ac:dyDescent="0.25">
      <c r="A26" t="s">
        <v>53</v>
      </c>
      <c r="B26">
        <v>2050.65</v>
      </c>
    </row>
    <row r="27" spans="1:2" x14ac:dyDescent="0.25">
      <c r="A27" t="s">
        <v>54</v>
      </c>
      <c r="B27">
        <v>1934.57</v>
      </c>
    </row>
    <row r="28" spans="1:2" x14ac:dyDescent="0.25">
      <c r="A28" t="s">
        <v>55</v>
      </c>
      <c r="B28">
        <v>3072.65</v>
      </c>
    </row>
    <row r="29" spans="1:2" x14ac:dyDescent="0.25">
      <c r="A29" t="s">
        <v>56</v>
      </c>
      <c r="B29">
        <v>1486.62</v>
      </c>
    </row>
    <row r="30" spans="1:2" x14ac:dyDescent="0.25">
      <c r="A30" t="s">
        <v>57</v>
      </c>
      <c r="B30">
        <v>902.74</v>
      </c>
    </row>
    <row r="31" spans="1:2" x14ac:dyDescent="0.25">
      <c r="A31" t="s">
        <v>58</v>
      </c>
      <c r="B31">
        <v>174.09</v>
      </c>
    </row>
    <row r="32" spans="1:2" x14ac:dyDescent="0.25">
      <c r="A32" t="s">
        <v>59</v>
      </c>
      <c r="B32">
        <v>3029.78</v>
      </c>
    </row>
    <row r="33" spans="1:2" x14ac:dyDescent="0.25">
      <c r="A33" t="s">
        <v>60</v>
      </c>
      <c r="B33">
        <v>867.69</v>
      </c>
    </row>
    <row r="34" spans="1:2" x14ac:dyDescent="0.25">
      <c r="A34" t="s">
        <v>61</v>
      </c>
      <c r="B34">
        <v>1734.46</v>
      </c>
    </row>
    <row r="35" spans="1:2" x14ac:dyDescent="0.25">
      <c r="A35" t="s">
        <v>62</v>
      </c>
      <c r="B35">
        <v>1336.9</v>
      </c>
    </row>
    <row r="36" spans="1:2" x14ac:dyDescent="0.25">
      <c r="A36" t="s">
        <v>63</v>
      </c>
      <c r="B36">
        <v>2589.52</v>
      </c>
    </row>
    <row r="37" spans="1:2" x14ac:dyDescent="0.25">
      <c r="A37" t="s">
        <v>64</v>
      </c>
      <c r="B37">
        <v>619.61</v>
      </c>
    </row>
    <row r="38" spans="1:2" x14ac:dyDescent="0.25">
      <c r="A38" t="s">
        <v>65</v>
      </c>
      <c r="B38">
        <v>402.54</v>
      </c>
    </row>
    <row r="39" spans="1:2" x14ac:dyDescent="0.25">
      <c r="A39" t="s">
        <v>66</v>
      </c>
      <c r="B39">
        <v>3253.33</v>
      </c>
    </row>
    <row r="40" spans="1:2" x14ac:dyDescent="0.25">
      <c r="A40" t="s">
        <v>67</v>
      </c>
      <c r="B40">
        <v>3046.58</v>
      </c>
    </row>
    <row r="41" spans="1:2" x14ac:dyDescent="0.25">
      <c r="A41" t="s">
        <v>68</v>
      </c>
      <c r="B41">
        <v>1038.43</v>
      </c>
    </row>
    <row r="42" spans="1:2" x14ac:dyDescent="0.25">
      <c r="A42" t="s">
        <v>69</v>
      </c>
      <c r="B42">
        <v>1143.97</v>
      </c>
    </row>
    <row r="43" spans="1:2" x14ac:dyDescent="0.25">
      <c r="A43" t="s">
        <v>70</v>
      </c>
      <c r="B43">
        <v>341.5</v>
      </c>
    </row>
    <row r="44" spans="1:2" x14ac:dyDescent="0.25">
      <c r="A44" t="s">
        <v>71</v>
      </c>
      <c r="B44">
        <v>1851.23</v>
      </c>
    </row>
    <row r="45" spans="1:2" x14ac:dyDescent="0.25">
      <c r="A45" t="s">
        <v>72</v>
      </c>
      <c r="B45">
        <v>937.93</v>
      </c>
    </row>
    <row r="46" spans="1:2" x14ac:dyDescent="0.25">
      <c r="A46" t="s">
        <v>73</v>
      </c>
      <c r="B46">
        <v>1554.4</v>
      </c>
    </row>
    <row r="47" spans="1:2" x14ac:dyDescent="0.25">
      <c r="A47" t="s">
        <v>74</v>
      </c>
      <c r="B47">
        <v>834.27</v>
      </c>
    </row>
    <row r="48" spans="1:2" x14ac:dyDescent="0.25">
      <c r="A48" t="s">
        <v>75</v>
      </c>
      <c r="B48">
        <v>2312.4299999999998</v>
      </c>
    </row>
    <row r="49" spans="1:2" x14ac:dyDescent="0.25">
      <c r="A49" t="s">
        <v>76</v>
      </c>
      <c r="B49">
        <v>3494.82</v>
      </c>
    </row>
    <row r="50" spans="1:2" x14ac:dyDescent="0.25">
      <c r="A50" t="s">
        <v>77</v>
      </c>
      <c r="B50">
        <v>593.73</v>
      </c>
    </row>
    <row r="51" spans="1:2" x14ac:dyDescent="0.25">
      <c r="A51" t="s">
        <v>78</v>
      </c>
      <c r="B51">
        <v>1617.92</v>
      </c>
    </row>
    <row r="52" spans="1:2" x14ac:dyDescent="0.25">
      <c r="A52" t="s">
        <v>79</v>
      </c>
      <c r="B52">
        <v>2007.92</v>
      </c>
    </row>
    <row r="53" spans="1:2" x14ac:dyDescent="0.25">
      <c r="A53" t="s">
        <v>80</v>
      </c>
      <c r="B53">
        <v>508.57</v>
      </c>
    </row>
    <row r="54" spans="1:2" x14ac:dyDescent="0.25">
      <c r="A54" t="s">
        <v>81</v>
      </c>
      <c r="B54">
        <v>2554</v>
      </c>
    </row>
    <row r="55" spans="1:2" x14ac:dyDescent="0.25">
      <c r="A55" t="s">
        <v>82</v>
      </c>
      <c r="B55">
        <v>3192.33</v>
      </c>
    </row>
    <row r="56" spans="1:2" x14ac:dyDescent="0.25">
      <c r="A56" t="s">
        <v>83</v>
      </c>
      <c r="B56">
        <v>1267.4100000000001</v>
      </c>
    </row>
    <row r="57" spans="1:2" x14ac:dyDescent="0.25">
      <c r="A57" t="s">
        <v>84</v>
      </c>
      <c r="B57">
        <v>1582.75</v>
      </c>
    </row>
    <row r="58" spans="1:2" x14ac:dyDescent="0.25">
      <c r="A58" t="s">
        <v>85</v>
      </c>
      <c r="B58">
        <v>2945.89</v>
      </c>
    </row>
    <row r="59" spans="1:2" x14ac:dyDescent="0.25">
      <c r="A59" t="s">
        <v>86</v>
      </c>
      <c r="B59">
        <v>1182.67</v>
      </c>
    </row>
    <row r="60" spans="1:2" x14ac:dyDescent="0.25">
      <c r="A60" t="s">
        <v>87</v>
      </c>
      <c r="B60">
        <v>1334.82</v>
      </c>
    </row>
    <row r="61" spans="1:2" x14ac:dyDescent="0.25">
      <c r="A61" t="s">
        <v>88</v>
      </c>
      <c r="B61">
        <v>943.07</v>
      </c>
    </row>
    <row r="62" spans="1:2" x14ac:dyDescent="0.25">
      <c r="A62" t="s">
        <v>89</v>
      </c>
      <c r="B62">
        <v>3247.03</v>
      </c>
    </row>
    <row r="63" spans="1:2" x14ac:dyDescent="0.25">
      <c r="A63" t="s">
        <v>90</v>
      </c>
      <c r="B63">
        <v>512.12</v>
      </c>
    </row>
    <row r="64" spans="1:2" x14ac:dyDescent="0.25">
      <c r="A64" t="s">
        <v>91</v>
      </c>
      <c r="B64">
        <v>1692.02</v>
      </c>
    </row>
    <row r="65" spans="1:2" x14ac:dyDescent="0.25">
      <c r="A65" t="s">
        <v>92</v>
      </c>
      <c r="B65">
        <v>1484.86</v>
      </c>
    </row>
    <row r="66" spans="1:2" x14ac:dyDescent="0.25">
      <c r="A66" t="s">
        <v>93</v>
      </c>
      <c r="B66">
        <v>1488.92</v>
      </c>
    </row>
    <row r="67" spans="1:2" x14ac:dyDescent="0.25">
      <c r="A67" t="s">
        <v>94</v>
      </c>
      <c r="B67">
        <v>1025.07</v>
      </c>
    </row>
    <row r="68" spans="1:2" x14ac:dyDescent="0.25">
      <c r="A68" t="s">
        <v>95</v>
      </c>
      <c r="B68">
        <v>1308.05</v>
      </c>
    </row>
    <row r="69" spans="1:2" x14ac:dyDescent="0.25">
      <c r="A69" t="s">
        <v>96</v>
      </c>
      <c r="B69">
        <v>2081.5700000000002</v>
      </c>
    </row>
    <row r="70" spans="1:2" x14ac:dyDescent="0.25">
      <c r="A70" t="s">
        <v>97</v>
      </c>
      <c r="B70">
        <v>2851.81</v>
      </c>
    </row>
    <row r="71" spans="1:2" x14ac:dyDescent="0.25">
      <c r="A71" t="s">
        <v>98</v>
      </c>
      <c r="B71">
        <v>2375.1999999999998</v>
      </c>
    </row>
    <row r="72" spans="1:2" x14ac:dyDescent="0.25">
      <c r="A72" t="s">
        <v>99</v>
      </c>
      <c r="B72">
        <v>1156.08</v>
      </c>
    </row>
    <row r="73" spans="1:2" x14ac:dyDescent="0.25">
      <c r="A73" t="s">
        <v>100</v>
      </c>
      <c r="B73">
        <v>2007.28</v>
      </c>
    </row>
    <row r="74" spans="1:2" x14ac:dyDescent="0.25">
      <c r="A74" t="s">
        <v>101</v>
      </c>
      <c r="B74">
        <v>1158.18</v>
      </c>
    </row>
    <row r="75" spans="1:2" x14ac:dyDescent="0.25">
      <c r="A75" t="s">
        <v>102</v>
      </c>
      <c r="B75">
        <v>2782.29</v>
      </c>
    </row>
    <row r="76" spans="1:2" x14ac:dyDescent="0.25">
      <c r="A76" t="s">
        <v>103</v>
      </c>
      <c r="B76">
        <v>865.9</v>
      </c>
    </row>
    <row r="77" spans="1:2" x14ac:dyDescent="0.25">
      <c r="A77" t="s">
        <v>104</v>
      </c>
      <c r="B77">
        <v>2270.35</v>
      </c>
    </row>
    <row r="78" spans="1:2" x14ac:dyDescent="0.25">
      <c r="A78" t="s">
        <v>105</v>
      </c>
      <c r="B78">
        <v>817.09</v>
      </c>
    </row>
    <row r="79" spans="1:2" x14ac:dyDescent="0.25">
      <c r="A79" t="s">
        <v>106</v>
      </c>
      <c r="B79">
        <v>2724.44</v>
      </c>
    </row>
    <row r="80" spans="1:2" x14ac:dyDescent="0.25">
      <c r="A80" t="s">
        <v>107</v>
      </c>
      <c r="B80">
        <v>1436.33</v>
      </c>
    </row>
    <row r="81" spans="1:2" x14ac:dyDescent="0.25">
      <c r="A81" t="s">
        <v>108</v>
      </c>
      <c r="B81">
        <v>3032.48</v>
      </c>
    </row>
    <row r="82" spans="1:2" x14ac:dyDescent="0.25">
      <c r="A82" t="s">
        <v>109</v>
      </c>
      <c r="B82">
        <v>2481.3000000000002</v>
      </c>
    </row>
    <row r="83" spans="1:2" x14ac:dyDescent="0.25">
      <c r="A83" t="s">
        <v>110</v>
      </c>
      <c r="B83">
        <v>556.54999999999995</v>
      </c>
    </row>
    <row r="84" spans="1:2" x14ac:dyDescent="0.25">
      <c r="A84" t="s">
        <v>111</v>
      </c>
      <c r="B84">
        <v>3136.28</v>
      </c>
    </row>
    <row r="85" spans="1:2" x14ac:dyDescent="0.25">
      <c r="A85" t="s">
        <v>112</v>
      </c>
      <c r="B85">
        <v>2641.25</v>
      </c>
    </row>
    <row r="86" spans="1:2" x14ac:dyDescent="0.25">
      <c r="A86" t="s">
        <v>113</v>
      </c>
      <c r="B86">
        <v>1078.99</v>
      </c>
    </row>
    <row r="87" spans="1:2" x14ac:dyDescent="0.25">
      <c r="A87" t="s">
        <v>114</v>
      </c>
      <c r="B87">
        <v>2540.38</v>
      </c>
    </row>
    <row r="88" spans="1:2" x14ac:dyDescent="0.25">
      <c r="A88" t="s">
        <v>115</v>
      </c>
      <c r="B88">
        <v>419.94</v>
      </c>
    </row>
    <row r="89" spans="1:2" x14ac:dyDescent="0.25">
      <c r="A89" t="s">
        <v>116</v>
      </c>
      <c r="B89">
        <v>365.17</v>
      </c>
    </row>
    <row r="90" spans="1:2" x14ac:dyDescent="0.25">
      <c r="A90" t="s">
        <v>117</v>
      </c>
      <c r="B90">
        <v>842.9</v>
      </c>
    </row>
    <row r="91" spans="1:2" x14ac:dyDescent="0.25">
      <c r="A91" t="s">
        <v>118</v>
      </c>
      <c r="B91">
        <v>2714.74</v>
      </c>
    </row>
    <row r="92" spans="1:2" x14ac:dyDescent="0.25">
      <c r="A92" t="s">
        <v>119</v>
      </c>
      <c r="B92">
        <v>1456.46</v>
      </c>
    </row>
    <row r="93" spans="1:2" x14ac:dyDescent="0.25">
      <c r="A93" t="s">
        <v>120</v>
      </c>
      <c r="B93">
        <v>1064.33</v>
      </c>
    </row>
    <row r="94" spans="1:2" x14ac:dyDescent="0.25">
      <c r="A94" t="s">
        <v>121</v>
      </c>
      <c r="B94">
        <v>2823.78</v>
      </c>
    </row>
    <row r="95" spans="1:2" x14ac:dyDescent="0.25">
      <c r="A95" t="s">
        <v>122</v>
      </c>
      <c r="B95">
        <v>2132.84</v>
      </c>
    </row>
    <row r="96" spans="1:2" x14ac:dyDescent="0.25">
      <c r="A96" t="s">
        <v>123</v>
      </c>
      <c r="B96">
        <v>1696.69</v>
      </c>
    </row>
    <row r="97" spans="1:2" x14ac:dyDescent="0.25">
      <c r="A97" t="s">
        <v>124</v>
      </c>
      <c r="B97">
        <v>1244.93</v>
      </c>
    </row>
    <row r="98" spans="1:2" x14ac:dyDescent="0.25">
      <c r="A98" t="s">
        <v>125</v>
      </c>
      <c r="B98">
        <v>1725.53</v>
      </c>
    </row>
    <row r="99" spans="1:2" x14ac:dyDescent="0.25">
      <c r="A99" t="s">
        <v>126</v>
      </c>
      <c r="B99">
        <v>2767.13</v>
      </c>
    </row>
    <row r="100" spans="1:2" x14ac:dyDescent="0.25">
      <c r="A100" t="s">
        <v>127</v>
      </c>
      <c r="B100">
        <v>218.27</v>
      </c>
    </row>
    <row r="101" spans="1:2" x14ac:dyDescent="0.25">
      <c r="A101" t="s">
        <v>128</v>
      </c>
      <c r="B101">
        <v>2039.3</v>
      </c>
    </row>
    <row r="102" spans="1:2" x14ac:dyDescent="0.25">
      <c r="A102" t="s">
        <v>129</v>
      </c>
      <c r="B102">
        <v>2184.2800000000002</v>
      </c>
    </row>
    <row r="103" spans="1:2" x14ac:dyDescent="0.25">
      <c r="A103" t="s">
        <v>130</v>
      </c>
      <c r="B103">
        <v>3261.77</v>
      </c>
    </row>
    <row r="104" spans="1:2" x14ac:dyDescent="0.25">
      <c r="A104" t="s">
        <v>131</v>
      </c>
      <c r="B104">
        <v>2463.56</v>
      </c>
    </row>
    <row r="105" spans="1:2" x14ac:dyDescent="0.25">
      <c r="A105" t="s">
        <v>132</v>
      </c>
      <c r="B105">
        <v>2161.38</v>
      </c>
    </row>
    <row r="106" spans="1:2" x14ac:dyDescent="0.25">
      <c r="A106" t="s">
        <v>133</v>
      </c>
      <c r="B106">
        <v>2366.1</v>
      </c>
    </row>
    <row r="107" spans="1:2" x14ac:dyDescent="0.25">
      <c r="A107" t="s">
        <v>134</v>
      </c>
      <c r="B107">
        <v>2904.81</v>
      </c>
    </row>
    <row r="108" spans="1:2" x14ac:dyDescent="0.25">
      <c r="A108" t="s">
        <v>135</v>
      </c>
      <c r="B108">
        <v>1608.88</v>
      </c>
    </row>
    <row r="109" spans="1:2" x14ac:dyDescent="0.25">
      <c r="A109" t="s">
        <v>136</v>
      </c>
      <c r="B109">
        <v>2916.21</v>
      </c>
    </row>
    <row r="110" spans="1:2" x14ac:dyDescent="0.25">
      <c r="A110" t="s">
        <v>137</v>
      </c>
      <c r="B110">
        <v>440.32</v>
      </c>
    </row>
    <row r="111" spans="1:2" x14ac:dyDescent="0.25">
      <c r="A111" t="s">
        <v>138</v>
      </c>
      <c r="B111">
        <v>1805.93</v>
      </c>
    </row>
    <row r="112" spans="1:2" x14ac:dyDescent="0.25">
      <c r="A112" t="s">
        <v>139</v>
      </c>
      <c r="B112">
        <v>1015.48</v>
      </c>
    </row>
    <row r="113" spans="1:2" x14ac:dyDescent="0.25">
      <c r="A113" t="s">
        <v>140</v>
      </c>
      <c r="B113">
        <v>790.04</v>
      </c>
    </row>
    <row r="114" spans="1:2" x14ac:dyDescent="0.25">
      <c r="A114" t="s">
        <v>141</v>
      </c>
      <c r="B114">
        <v>2313.77</v>
      </c>
    </row>
    <row r="115" spans="1:2" x14ac:dyDescent="0.25">
      <c r="A115" t="s">
        <v>142</v>
      </c>
      <c r="B115">
        <v>1504.74</v>
      </c>
    </row>
    <row r="116" spans="1:2" x14ac:dyDescent="0.25">
      <c r="A116" t="s">
        <v>143</v>
      </c>
      <c r="B116">
        <v>1928.59</v>
      </c>
    </row>
    <row r="117" spans="1:2" x14ac:dyDescent="0.25">
      <c r="A117" t="s">
        <v>144</v>
      </c>
      <c r="B117">
        <v>1057.57</v>
      </c>
    </row>
    <row r="118" spans="1:2" x14ac:dyDescent="0.25">
      <c r="A118" t="s">
        <v>145</v>
      </c>
      <c r="B118">
        <v>2638.65</v>
      </c>
    </row>
    <row r="119" spans="1:2" x14ac:dyDescent="0.25">
      <c r="A119" t="s">
        <v>146</v>
      </c>
      <c r="B119">
        <v>1076.27</v>
      </c>
    </row>
    <row r="120" spans="1:2" x14ac:dyDescent="0.25">
      <c r="A120" t="s">
        <v>147</v>
      </c>
      <c r="B120">
        <v>2939.31</v>
      </c>
    </row>
    <row r="121" spans="1:2" x14ac:dyDescent="0.25">
      <c r="A121" t="s">
        <v>148</v>
      </c>
      <c r="B121">
        <v>2521.86</v>
      </c>
    </row>
    <row r="122" spans="1:2" x14ac:dyDescent="0.25">
      <c r="A122" t="s">
        <v>149</v>
      </c>
      <c r="B122">
        <v>2486.35</v>
      </c>
    </row>
    <row r="123" spans="1:2" x14ac:dyDescent="0.25">
      <c r="A123" t="s">
        <v>150</v>
      </c>
      <c r="B123">
        <v>1722.48</v>
      </c>
    </row>
    <row r="124" spans="1:2" x14ac:dyDescent="0.25">
      <c r="A124" t="s">
        <v>151</v>
      </c>
      <c r="B124">
        <v>3036.77</v>
      </c>
    </row>
    <row r="125" spans="1:2" x14ac:dyDescent="0.25">
      <c r="A125" t="s">
        <v>152</v>
      </c>
      <c r="B125">
        <v>2258.64</v>
      </c>
    </row>
    <row r="126" spans="1:2" x14ac:dyDescent="0.25">
      <c r="A126" t="s">
        <v>153</v>
      </c>
      <c r="B126">
        <v>981.44</v>
      </c>
    </row>
    <row r="127" spans="1:2" x14ac:dyDescent="0.25">
      <c r="A127" t="s">
        <v>154</v>
      </c>
      <c r="B127">
        <v>1424.27</v>
      </c>
    </row>
    <row r="128" spans="1:2" x14ac:dyDescent="0.25">
      <c r="A128" t="s">
        <v>155</v>
      </c>
      <c r="B128">
        <v>2230.44</v>
      </c>
    </row>
    <row r="129" spans="1:2" x14ac:dyDescent="0.25">
      <c r="A129" t="s">
        <v>156</v>
      </c>
      <c r="B129">
        <v>421.98</v>
      </c>
    </row>
    <row r="130" spans="1:2" x14ac:dyDescent="0.25">
      <c r="A130" t="s">
        <v>157</v>
      </c>
      <c r="B130">
        <v>1518.53</v>
      </c>
    </row>
    <row r="131" spans="1:2" x14ac:dyDescent="0.25">
      <c r="A131" t="s">
        <v>158</v>
      </c>
      <c r="B131">
        <v>1115.1500000000001</v>
      </c>
    </row>
    <row r="132" spans="1:2" x14ac:dyDescent="0.25">
      <c r="A132" t="s">
        <v>159</v>
      </c>
      <c r="B132">
        <v>2789.22</v>
      </c>
    </row>
    <row r="133" spans="1:2" x14ac:dyDescent="0.25">
      <c r="A133" t="s">
        <v>160</v>
      </c>
      <c r="B133">
        <v>903.11</v>
      </c>
    </row>
    <row r="134" spans="1:2" x14ac:dyDescent="0.25">
      <c r="A134" t="s">
        <v>161</v>
      </c>
      <c r="B134">
        <v>2805.31</v>
      </c>
    </row>
    <row r="135" spans="1:2" x14ac:dyDescent="0.25">
      <c r="A135" t="s">
        <v>162</v>
      </c>
      <c r="B135">
        <v>2457.0700000000002</v>
      </c>
    </row>
    <row r="136" spans="1:2" x14ac:dyDescent="0.25">
      <c r="A136" t="s">
        <v>163</v>
      </c>
      <c r="B136">
        <v>2153.42</v>
      </c>
    </row>
    <row r="137" spans="1:2" x14ac:dyDescent="0.25">
      <c r="A137" t="s">
        <v>164</v>
      </c>
      <c r="B137">
        <v>916.9</v>
      </c>
    </row>
    <row r="138" spans="1:2" x14ac:dyDescent="0.25">
      <c r="A138" t="s">
        <v>165</v>
      </c>
      <c r="B138">
        <v>2402.14</v>
      </c>
    </row>
    <row r="139" spans="1:2" x14ac:dyDescent="0.25">
      <c r="A139" t="s">
        <v>166</v>
      </c>
      <c r="B139">
        <v>2332.56</v>
      </c>
    </row>
    <row r="140" spans="1:2" x14ac:dyDescent="0.25">
      <c r="A140" t="s">
        <v>167</v>
      </c>
      <c r="B140">
        <v>1797.28</v>
      </c>
    </row>
    <row r="141" spans="1:2" x14ac:dyDescent="0.25">
      <c r="A141" t="s">
        <v>168</v>
      </c>
      <c r="B141">
        <v>2394.9499999999998</v>
      </c>
    </row>
    <row r="142" spans="1:2" x14ac:dyDescent="0.25">
      <c r="A142" t="s">
        <v>169</v>
      </c>
      <c r="B142">
        <v>3316.4</v>
      </c>
    </row>
    <row r="143" spans="1:2" x14ac:dyDescent="0.25">
      <c r="A143" t="s">
        <v>170</v>
      </c>
      <c r="B143">
        <v>1232.97</v>
      </c>
    </row>
    <row r="144" spans="1:2" x14ac:dyDescent="0.25">
      <c r="A144" t="s">
        <v>171</v>
      </c>
      <c r="B144">
        <v>778.4</v>
      </c>
    </row>
    <row r="145" spans="1:2" x14ac:dyDescent="0.25">
      <c r="A145" t="s">
        <v>172</v>
      </c>
      <c r="B145">
        <v>831.92</v>
      </c>
    </row>
    <row r="146" spans="1:2" x14ac:dyDescent="0.25">
      <c r="A146" t="s">
        <v>173</v>
      </c>
      <c r="B146">
        <v>1773.78</v>
      </c>
    </row>
    <row r="147" spans="1:2" x14ac:dyDescent="0.25">
      <c r="A147" t="s">
        <v>174</v>
      </c>
      <c r="B147">
        <v>195.81</v>
      </c>
    </row>
    <row r="148" spans="1:2" x14ac:dyDescent="0.25">
      <c r="A148" t="s">
        <v>175</v>
      </c>
      <c r="B148">
        <v>543.51</v>
      </c>
    </row>
    <row r="149" spans="1:2" x14ac:dyDescent="0.25">
      <c r="A149" t="s">
        <v>176</v>
      </c>
      <c r="B149">
        <v>1766.37</v>
      </c>
    </row>
    <row r="150" spans="1:2" x14ac:dyDescent="0.25">
      <c r="A150" t="s">
        <v>177</v>
      </c>
      <c r="B150">
        <v>3238.26</v>
      </c>
    </row>
    <row r="151" spans="1:2" x14ac:dyDescent="0.25">
      <c r="A151" t="s">
        <v>178</v>
      </c>
      <c r="B151">
        <v>3012.28</v>
      </c>
    </row>
    <row r="152" spans="1:2" x14ac:dyDescent="0.25">
      <c r="A152" t="s">
        <v>179</v>
      </c>
      <c r="B152">
        <v>1150.1600000000001</v>
      </c>
    </row>
    <row r="153" spans="1:2" x14ac:dyDescent="0.25">
      <c r="A153" t="s">
        <v>180</v>
      </c>
      <c r="B153">
        <v>1772.54</v>
      </c>
    </row>
    <row r="154" spans="1:2" x14ac:dyDescent="0.25">
      <c r="A154" t="s">
        <v>181</v>
      </c>
      <c r="B154">
        <v>1227.95</v>
      </c>
    </row>
    <row r="155" spans="1:2" x14ac:dyDescent="0.25">
      <c r="A155" t="s">
        <v>182</v>
      </c>
      <c r="B155">
        <v>2748.07</v>
      </c>
    </row>
    <row r="156" spans="1:2" x14ac:dyDescent="0.25">
      <c r="A156" t="s">
        <v>183</v>
      </c>
      <c r="B156">
        <v>2373.36</v>
      </c>
    </row>
    <row r="157" spans="1:2" x14ac:dyDescent="0.25">
      <c r="A157" t="s">
        <v>184</v>
      </c>
      <c r="B157">
        <v>3383.93</v>
      </c>
    </row>
    <row r="158" spans="1:2" x14ac:dyDescent="0.25">
      <c r="A158" t="s">
        <v>185</v>
      </c>
      <c r="B158">
        <v>1680.71</v>
      </c>
    </row>
    <row r="159" spans="1:2" x14ac:dyDescent="0.25">
      <c r="A159" t="s">
        <v>186</v>
      </c>
      <c r="B159">
        <v>3396.83</v>
      </c>
    </row>
    <row r="160" spans="1:2" x14ac:dyDescent="0.25">
      <c r="A160" t="s">
        <v>187</v>
      </c>
      <c r="B160">
        <v>3005.34</v>
      </c>
    </row>
    <row r="161" spans="1:2" x14ac:dyDescent="0.25">
      <c r="A161" t="s">
        <v>188</v>
      </c>
      <c r="B161">
        <v>270.26</v>
      </c>
    </row>
    <row r="162" spans="1:2" x14ac:dyDescent="0.25">
      <c r="A162" t="s">
        <v>189</v>
      </c>
      <c r="B162">
        <v>1603.8</v>
      </c>
    </row>
    <row r="163" spans="1:2" x14ac:dyDescent="0.25">
      <c r="A163" t="s">
        <v>190</v>
      </c>
      <c r="B163">
        <v>3176.47</v>
      </c>
    </row>
    <row r="164" spans="1:2" x14ac:dyDescent="0.25">
      <c r="A164" t="s">
        <v>191</v>
      </c>
      <c r="B164">
        <v>1592.8</v>
      </c>
    </row>
    <row r="165" spans="1:2" x14ac:dyDescent="0.25">
      <c r="A165" t="s">
        <v>192</v>
      </c>
      <c r="B165">
        <v>414.54</v>
      </c>
    </row>
    <row r="166" spans="1:2" x14ac:dyDescent="0.25">
      <c r="A166" t="s">
        <v>193</v>
      </c>
      <c r="B166">
        <v>629.44000000000005</v>
      </c>
    </row>
    <row r="167" spans="1:2" x14ac:dyDescent="0.25">
      <c r="A167" t="s">
        <v>194</v>
      </c>
      <c r="B167">
        <v>3161.34</v>
      </c>
    </row>
    <row r="168" spans="1:2" x14ac:dyDescent="0.25">
      <c r="A168" t="s">
        <v>195</v>
      </c>
      <c r="B168">
        <v>3316.54</v>
      </c>
    </row>
    <row r="169" spans="1:2" x14ac:dyDescent="0.25">
      <c r="A169" t="s">
        <v>196</v>
      </c>
      <c r="B169">
        <v>1162.1099999999999</v>
      </c>
    </row>
    <row r="170" spans="1:2" x14ac:dyDescent="0.25">
      <c r="A170" t="s">
        <v>197</v>
      </c>
      <c r="B170">
        <v>1352.51</v>
      </c>
    </row>
    <row r="171" spans="1:2" x14ac:dyDescent="0.25">
      <c r="A171" t="s">
        <v>198</v>
      </c>
      <c r="B171">
        <v>2045.86</v>
      </c>
    </row>
    <row r="172" spans="1:2" x14ac:dyDescent="0.25">
      <c r="A172" t="s">
        <v>199</v>
      </c>
      <c r="B172">
        <v>3174.83</v>
      </c>
    </row>
    <row r="173" spans="1:2" x14ac:dyDescent="0.25">
      <c r="A173" t="s">
        <v>200</v>
      </c>
      <c r="B173">
        <v>2229.9899999999998</v>
      </c>
    </row>
    <row r="174" spans="1:2" x14ac:dyDescent="0.25">
      <c r="A174" t="s">
        <v>201</v>
      </c>
      <c r="B174">
        <v>1626.76</v>
      </c>
    </row>
    <row r="175" spans="1:2" x14ac:dyDescent="0.25">
      <c r="A175" t="s">
        <v>202</v>
      </c>
      <c r="B175">
        <v>1244.51</v>
      </c>
    </row>
    <row r="176" spans="1:2" x14ac:dyDescent="0.25">
      <c r="A176" t="s">
        <v>203</v>
      </c>
      <c r="B176">
        <v>3086.14</v>
      </c>
    </row>
    <row r="177" spans="1:2" x14ac:dyDescent="0.25">
      <c r="A177" t="s">
        <v>204</v>
      </c>
      <c r="B177">
        <v>1010.85</v>
      </c>
    </row>
    <row r="178" spans="1:2" x14ac:dyDescent="0.25">
      <c r="A178" t="s">
        <v>205</v>
      </c>
      <c r="B178">
        <v>402.25</v>
      </c>
    </row>
    <row r="179" spans="1:2" x14ac:dyDescent="0.25">
      <c r="A179" t="s">
        <v>206</v>
      </c>
      <c r="B179">
        <v>1471.82</v>
      </c>
    </row>
    <row r="180" spans="1:2" x14ac:dyDescent="0.25">
      <c r="A180" t="s">
        <v>207</v>
      </c>
      <c r="B180">
        <v>2659.19</v>
      </c>
    </row>
    <row r="181" spans="1:2" x14ac:dyDescent="0.25">
      <c r="A181" t="s">
        <v>208</v>
      </c>
      <c r="B181">
        <v>933.3</v>
      </c>
    </row>
    <row r="182" spans="1:2" x14ac:dyDescent="0.25">
      <c r="A182" t="s">
        <v>209</v>
      </c>
      <c r="B182">
        <v>891.58</v>
      </c>
    </row>
    <row r="183" spans="1:2" x14ac:dyDescent="0.25">
      <c r="A183" t="s">
        <v>210</v>
      </c>
      <c r="B183">
        <v>301.91000000000003</v>
      </c>
    </row>
    <row r="184" spans="1:2" x14ac:dyDescent="0.25">
      <c r="A184" t="s">
        <v>211</v>
      </c>
      <c r="B184">
        <v>3122.32</v>
      </c>
    </row>
    <row r="185" spans="1:2" x14ac:dyDescent="0.25">
      <c r="A185" t="s">
        <v>212</v>
      </c>
      <c r="B185">
        <v>2639.52</v>
      </c>
    </row>
    <row r="186" spans="1:2" x14ac:dyDescent="0.25">
      <c r="A186" t="s">
        <v>213</v>
      </c>
      <c r="B186">
        <v>2343.9899999999998</v>
      </c>
    </row>
    <row r="187" spans="1:2" x14ac:dyDescent="0.25">
      <c r="A187" t="s">
        <v>214</v>
      </c>
      <c r="B187">
        <v>1391.28</v>
      </c>
    </row>
    <row r="188" spans="1:2" x14ac:dyDescent="0.25">
      <c r="A188" t="s">
        <v>215</v>
      </c>
      <c r="B188">
        <v>2447.0300000000002</v>
      </c>
    </row>
    <row r="189" spans="1:2" x14ac:dyDescent="0.25">
      <c r="A189" t="s">
        <v>216</v>
      </c>
      <c r="B189">
        <v>3393.49</v>
      </c>
    </row>
    <row r="190" spans="1:2" x14ac:dyDescent="0.25">
      <c r="A190" t="s">
        <v>217</v>
      </c>
      <c r="B190">
        <v>1267.26</v>
      </c>
    </row>
    <row r="191" spans="1:2" x14ac:dyDescent="0.25">
      <c r="A191" t="s">
        <v>218</v>
      </c>
      <c r="B191">
        <v>2006.6</v>
      </c>
    </row>
    <row r="192" spans="1:2" x14ac:dyDescent="0.25">
      <c r="A192" t="s">
        <v>219</v>
      </c>
      <c r="B192">
        <v>2791.96</v>
      </c>
    </row>
    <row r="193" spans="1:2" x14ac:dyDescent="0.25">
      <c r="A193" t="s">
        <v>220</v>
      </c>
      <c r="B193">
        <v>1959.72</v>
      </c>
    </row>
    <row r="194" spans="1:2" x14ac:dyDescent="0.25">
      <c r="A194" t="s">
        <v>221</v>
      </c>
      <c r="B194">
        <v>2796.45</v>
      </c>
    </row>
    <row r="195" spans="1:2" x14ac:dyDescent="0.25">
      <c r="A195" t="s">
        <v>222</v>
      </c>
      <c r="B195">
        <v>325.54000000000002</v>
      </c>
    </row>
    <row r="196" spans="1:2" x14ac:dyDescent="0.25">
      <c r="A196" t="s">
        <v>223</v>
      </c>
      <c r="B196">
        <v>2756.36</v>
      </c>
    </row>
    <row r="197" spans="1:2" x14ac:dyDescent="0.25">
      <c r="A197" t="s">
        <v>224</v>
      </c>
      <c r="B197">
        <v>3317.14</v>
      </c>
    </row>
    <row r="198" spans="1:2" x14ac:dyDescent="0.25">
      <c r="A198" t="s">
        <v>225</v>
      </c>
      <c r="B198">
        <v>254.35</v>
      </c>
    </row>
    <row r="199" spans="1:2" x14ac:dyDescent="0.25">
      <c r="A199" t="s">
        <v>226</v>
      </c>
      <c r="B199">
        <v>3197.5</v>
      </c>
    </row>
    <row r="200" spans="1:2" x14ac:dyDescent="0.25">
      <c r="A200" t="s">
        <v>227</v>
      </c>
      <c r="B200">
        <v>1071.3</v>
      </c>
    </row>
    <row r="201" spans="1:2" x14ac:dyDescent="0.25">
      <c r="A201" t="s">
        <v>228</v>
      </c>
      <c r="B201">
        <v>2151.2600000000002</v>
      </c>
    </row>
    <row r="202" spans="1:2" x14ac:dyDescent="0.25">
      <c r="A202" t="s">
        <v>229</v>
      </c>
      <c r="B202">
        <v>2500.96</v>
      </c>
    </row>
    <row r="203" spans="1:2" x14ac:dyDescent="0.25">
      <c r="A203" t="s">
        <v>230</v>
      </c>
      <c r="B203">
        <v>915.45</v>
      </c>
    </row>
    <row r="204" spans="1:2" x14ac:dyDescent="0.25">
      <c r="A204" t="s">
        <v>231</v>
      </c>
      <c r="B204">
        <v>1197.04</v>
      </c>
    </row>
    <row r="205" spans="1:2" x14ac:dyDescent="0.25">
      <c r="A205" t="s">
        <v>232</v>
      </c>
      <c r="B205">
        <v>1738.8</v>
      </c>
    </row>
    <row r="206" spans="1:2" x14ac:dyDescent="0.25">
      <c r="A206" t="s">
        <v>233</v>
      </c>
      <c r="B206">
        <v>2624.97</v>
      </c>
    </row>
    <row r="207" spans="1:2" x14ac:dyDescent="0.25">
      <c r="A207" t="s">
        <v>234</v>
      </c>
      <c r="B207">
        <v>1526.21</v>
      </c>
    </row>
    <row r="208" spans="1:2" x14ac:dyDescent="0.25">
      <c r="A208" t="s">
        <v>235</v>
      </c>
      <c r="B208">
        <v>1328.01</v>
      </c>
    </row>
    <row r="209" spans="1:2" x14ac:dyDescent="0.25">
      <c r="A209" t="s">
        <v>236</v>
      </c>
      <c r="B209">
        <v>901.22</v>
      </c>
    </row>
    <row r="210" spans="1:2" x14ac:dyDescent="0.25">
      <c r="A210" t="s">
        <v>237</v>
      </c>
      <c r="B210">
        <v>1083.2</v>
      </c>
    </row>
    <row r="211" spans="1:2" x14ac:dyDescent="0.25">
      <c r="A211" t="s">
        <v>238</v>
      </c>
      <c r="B211">
        <v>2353.73</v>
      </c>
    </row>
    <row r="212" spans="1:2" x14ac:dyDescent="0.25">
      <c r="A212" t="s">
        <v>239</v>
      </c>
      <c r="B212">
        <v>2704.07</v>
      </c>
    </row>
    <row r="213" spans="1:2" x14ac:dyDescent="0.25">
      <c r="A213" t="s">
        <v>240</v>
      </c>
      <c r="B213">
        <v>2047.18</v>
      </c>
    </row>
    <row r="214" spans="1:2" x14ac:dyDescent="0.25">
      <c r="A214" t="s">
        <v>241</v>
      </c>
      <c r="B214">
        <v>1927.12</v>
      </c>
    </row>
    <row r="215" spans="1:2" x14ac:dyDescent="0.25">
      <c r="A215" t="s">
        <v>242</v>
      </c>
      <c r="B215">
        <v>1193.99</v>
      </c>
    </row>
    <row r="216" spans="1:2" x14ac:dyDescent="0.25">
      <c r="A216" t="s">
        <v>243</v>
      </c>
      <c r="B216">
        <v>671.19</v>
      </c>
    </row>
    <row r="217" spans="1:2" x14ac:dyDescent="0.25">
      <c r="A217" t="s">
        <v>244</v>
      </c>
      <c r="B217">
        <v>1570.45</v>
      </c>
    </row>
    <row r="218" spans="1:2" x14ac:dyDescent="0.25">
      <c r="A218" t="s">
        <v>245</v>
      </c>
      <c r="B218">
        <v>1866.36</v>
      </c>
    </row>
    <row r="219" spans="1:2" x14ac:dyDescent="0.25">
      <c r="A219" t="s">
        <v>246</v>
      </c>
      <c r="B219">
        <v>2137</v>
      </c>
    </row>
    <row r="220" spans="1:2" x14ac:dyDescent="0.25">
      <c r="A220" t="s">
        <v>247</v>
      </c>
      <c r="B220">
        <v>2157.7399999999998</v>
      </c>
    </row>
    <row r="221" spans="1:2" x14ac:dyDescent="0.25">
      <c r="A221" t="s">
        <v>248</v>
      </c>
      <c r="B221">
        <v>2709.94</v>
      </c>
    </row>
    <row r="222" spans="1:2" x14ac:dyDescent="0.25">
      <c r="A222" t="s">
        <v>249</v>
      </c>
      <c r="B222">
        <v>1592.69</v>
      </c>
    </row>
    <row r="223" spans="1:2" x14ac:dyDescent="0.25">
      <c r="A223" t="s">
        <v>250</v>
      </c>
      <c r="B223">
        <v>2941.74</v>
      </c>
    </row>
    <row r="224" spans="1:2" x14ac:dyDescent="0.25">
      <c r="A224" t="s">
        <v>251</v>
      </c>
      <c r="B224">
        <v>1690.18</v>
      </c>
    </row>
    <row r="225" spans="1:2" x14ac:dyDescent="0.25">
      <c r="A225" t="s">
        <v>252</v>
      </c>
      <c r="B225">
        <v>2526.8200000000002</v>
      </c>
    </row>
    <row r="226" spans="1:2" x14ac:dyDescent="0.25">
      <c r="A226" t="s">
        <v>253</v>
      </c>
      <c r="B226">
        <v>1237.97</v>
      </c>
    </row>
    <row r="227" spans="1:2" x14ac:dyDescent="0.25">
      <c r="A227" t="s">
        <v>254</v>
      </c>
      <c r="B227">
        <v>504.64</v>
      </c>
    </row>
    <row r="228" spans="1:2" x14ac:dyDescent="0.25">
      <c r="A228" t="s">
        <v>255</v>
      </c>
      <c r="B228">
        <v>1189.42</v>
      </c>
    </row>
    <row r="229" spans="1:2" x14ac:dyDescent="0.25">
      <c r="A229" t="s">
        <v>256</v>
      </c>
      <c r="B229">
        <v>2271.3000000000002</v>
      </c>
    </row>
    <row r="230" spans="1:2" x14ac:dyDescent="0.25">
      <c r="A230" t="s">
        <v>257</v>
      </c>
      <c r="B230">
        <v>3360.05</v>
      </c>
    </row>
    <row r="231" spans="1:2" x14ac:dyDescent="0.25">
      <c r="A231" t="s">
        <v>258</v>
      </c>
      <c r="B231">
        <v>810.86</v>
      </c>
    </row>
    <row r="232" spans="1:2" x14ac:dyDescent="0.25">
      <c r="A232" t="s">
        <v>259</v>
      </c>
      <c r="B232">
        <v>2253.63</v>
      </c>
    </row>
    <row r="233" spans="1:2" x14ac:dyDescent="0.25">
      <c r="A233" t="s">
        <v>260</v>
      </c>
      <c r="B233">
        <v>3104.86</v>
      </c>
    </row>
    <row r="234" spans="1:2" x14ac:dyDescent="0.25">
      <c r="A234" t="s">
        <v>261</v>
      </c>
      <c r="B234">
        <v>378.76</v>
      </c>
    </row>
    <row r="235" spans="1:2" x14ac:dyDescent="0.25">
      <c r="A235" t="s">
        <v>262</v>
      </c>
      <c r="B235">
        <v>398.54</v>
      </c>
    </row>
    <row r="236" spans="1:2" x14ac:dyDescent="0.25">
      <c r="A236" t="s">
        <v>263</v>
      </c>
      <c r="B236">
        <v>1111.71</v>
      </c>
    </row>
    <row r="237" spans="1:2" x14ac:dyDescent="0.25">
      <c r="A237" t="s">
        <v>264</v>
      </c>
      <c r="B237">
        <v>2006.96</v>
      </c>
    </row>
    <row r="238" spans="1:2" x14ac:dyDescent="0.25">
      <c r="A238" t="s">
        <v>265</v>
      </c>
      <c r="B238">
        <v>1743.36</v>
      </c>
    </row>
    <row r="239" spans="1:2" x14ac:dyDescent="0.25">
      <c r="A239" t="s">
        <v>266</v>
      </c>
      <c r="B239">
        <v>2955.21</v>
      </c>
    </row>
    <row r="240" spans="1:2" x14ac:dyDescent="0.25">
      <c r="A240" t="s">
        <v>267</v>
      </c>
      <c r="B240">
        <v>1616.49</v>
      </c>
    </row>
    <row r="241" spans="1:2" x14ac:dyDescent="0.25">
      <c r="A241" t="s">
        <v>268</v>
      </c>
      <c r="B241">
        <v>3225.09</v>
      </c>
    </row>
    <row r="242" spans="1:2" x14ac:dyDescent="0.25">
      <c r="A242" t="s">
        <v>269</v>
      </c>
      <c r="B242">
        <v>2318.4699999999998</v>
      </c>
    </row>
    <row r="243" spans="1:2" x14ac:dyDescent="0.25">
      <c r="A243" t="s">
        <v>270</v>
      </c>
      <c r="B243">
        <v>2574.5100000000002</v>
      </c>
    </row>
    <row r="244" spans="1:2" x14ac:dyDescent="0.25">
      <c r="A244" t="s">
        <v>271</v>
      </c>
      <c r="B244">
        <v>2373.1</v>
      </c>
    </row>
    <row r="245" spans="1:2" x14ac:dyDescent="0.25">
      <c r="A245" t="s">
        <v>272</v>
      </c>
      <c r="B245">
        <v>3292.31</v>
      </c>
    </row>
    <row r="246" spans="1:2" x14ac:dyDescent="0.25">
      <c r="A246" t="s">
        <v>273</v>
      </c>
      <c r="B246">
        <v>2394.89</v>
      </c>
    </row>
    <row r="247" spans="1:2" x14ac:dyDescent="0.25">
      <c r="A247" t="s">
        <v>274</v>
      </c>
      <c r="B247">
        <v>211.07</v>
      </c>
    </row>
    <row r="248" spans="1:2" x14ac:dyDescent="0.25">
      <c r="A248" t="s">
        <v>275</v>
      </c>
      <c r="B248">
        <v>1779.01</v>
      </c>
    </row>
    <row r="249" spans="1:2" x14ac:dyDescent="0.25">
      <c r="A249" t="s">
        <v>276</v>
      </c>
      <c r="B249">
        <v>2790.2</v>
      </c>
    </row>
    <row r="250" spans="1:2" x14ac:dyDescent="0.25">
      <c r="A250" t="s">
        <v>277</v>
      </c>
      <c r="B250">
        <v>3085.92</v>
      </c>
    </row>
    <row r="251" spans="1:2" x14ac:dyDescent="0.25">
      <c r="A251" t="s">
        <v>278</v>
      </c>
      <c r="B251">
        <v>755.83</v>
      </c>
    </row>
    <row r="252" spans="1:2" x14ac:dyDescent="0.25">
      <c r="A252" t="s">
        <v>279</v>
      </c>
      <c r="B252">
        <v>1370.4</v>
      </c>
    </row>
    <row r="253" spans="1:2" x14ac:dyDescent="0.25">
      <c r="A253" t="s">
        <v>280</v>
      </c>
      <c r="B253">
        <v>2775.73</v>
      </c>
    </row>
    <row r="254" spans="1:2" x14ac:dyDescent="0.25">
      <c r="A254" t="s">
        <v>281</v>
      </c>
      <c r="B254">
        <v>2777.64</v>
      </c>
    </row>
    <row r="255" spans="1:2" x14ac:dyDescent="0.25">
      <c r="A255" t="s">
        <v>282</v>
      </c>
      <c r="B255">
        <v>1093.94</v>
      </c>
    </row>
    <row r="256" spans="1:2" x14ac:dyDescent="0.25">
      <c r="A256" t="s">
        <v>283</v>
      </c>
      <c r="B256">
        <v>2886.59</v>
      </c>
    </row>
    <row r="257" spans="1:2" x14ac:dyDescent="0.25">
      <c r="A257" t="s">
        <v>284</v>
      </c>
      <c r="B257">
        <v>3078.29</v>
      </c>
    </row>
    <row r="258" spans="1:2" x14ac:dyDescent="0.25">
      <c r="A258" t="s">
        <v>285</v>
      </c>
      <c r="B258">
        <v>2706.44</v>
      </c>
    </row>
    <row r="259" spans="1:2" x14ac:dyDescent="0.25">
      <c r="A259" t="s">
        <v>286</v>
      </c>
      <c r="B259">
        <v>457.24</v>
      </c>
    </row>
    <row r="260" spans="1:2" x14ac:dyDescent="0.25">
      <c r="A260" t="s">
        <v>287</v>
      </c>
      <c r="B260">
        <v>1478.12</v>
      </c>
    </row>
    <row r="261" spans="1:2" x14ac:dyDescent="0.25">
      <c r="A261" t="s">
        <v>288</v>
      </c>
      <c r="B261">
        <v>244.43</v>
      </c>
    </row>
    <row r="262" spans="1:2" x14ac:dyDescent="0.25">
      <c r="A262" t="s">
        <v>289</v>
      </c>
      <c r="B262">
        <v>3223.28</v>
      </c>
    </row>
    <row r="263" spans="1:2" x14ac:dyDescent="0.25">
      <c r="A263" t="s">
        <v>290</v>
      </c>
      <c r="B263">
        <v>3184.62</v>
      </c>
    </row>
    <row r="264" spans="1:2" x14ac:dyDescent="0.25">
      <c r="A264" t="s">
        <v>291</v>
      </c>
      <c r="B264">
        <v>2586.2399999999998</v>
      </c>
    </row>
    <row r="265" spans="1:2" x14ac:dyDescent="0.25">
      <c r="A265" t="s">
        <v>292</v>
      </c>
      <c r="B265">
        <v>558.19000000000005</v>
      </c>
    </row>
    <row r="266" spans="1:2" x14ac:dyDescent="0.25">
      <c r="A266" t="s">
        <v>293</v>
      </c>
      <c r="B266">
        <v>2952.9</v>
      </c>
    </row>
    <row r="267" spans="1:2" x14ac:dyDescent="0.25">
      <c r="A267" t="s">
        <v>294</v>
      </c>
      <c r="B267">
        <v>2076.41</v>
      </c>
    </row>
    <row r="268" spans="1:2" x14ac:dyDescent="0.25">
      <c r="A268" t="s">
        <v>295</v>
      </c>
      <c r="B268">
        <v>955.89</v>
      </c>
    </row>
    <row r="269" spans="1:2" x14ac:dyDescent="0.25">
      <c r="A269" t="s">
        <v>296</v>
      </c>
      <c r="B269">
        <v>1912.3</v>
      </c>
    </row>
    <row r="270" spans="1:2" x14ac:dyDescent="0.25">
      <c r="A270" t="s">
        <v>297</v>
      </c>
      <c r="B270">
        <v>1724.95</v>
      </c>
    </row>
    <row r="271" spans="1:2" x14ac:dyDescent="0.25">
      <c r="A271" t="s">
        <v>298</v>
      </c>
      <c r="B271">
        <v>1346.26</v>
      </c>
    </row>
    <row r="272" spans="1:2" x14ac:dyDescent="0.25">
      <c r="A272" t="s">
        <v>299</v>
      </c>
      <c r="B272">
        <v>2612.88</v>
      </c>
    </row>
    <row r="273" spans="1:2" x14ac:dyDescent="0.25">
      <c r="A273" t="s">
        <v>300</v>
      </c>
      <c r="B273">
        <v>2875.25</v>
      </c>
    </row>
    <row r="274" spans="1:2" x14ac:dyDescent="0.25">
      <c r="A274" t="s">
        <v>301</v>
      </c>
      <c r="B274">
        <v>361.39</v>
      </c>
    </row>
    <row r="275" spans="1:2" x14ac:dyDescent="0.25">
      <c r="A275" t="s">
        <v>302</v>
      </c>
      <c r="B275">
        <v>818.22</v>
      </c>
    </row>
    <row r="276" spans="1:2" x14ac:dyDescent="0.25">
      <c r="A276" t="s">
        <v>303</v>
      </c>
      <c r="B276">
        <v>1969.15</v>
      </c>
    </row>
    <row r="277" spans="1:2" x14ac:dyDescent="0.25">
      <c r="A277" t="s">
        <v>304</v>
      </c>
      <c r="B277">
        <v>2765.82</v>
      </c>
    </row>
    <row r="278" spans="1:2" x14ac:dyDescent="0.25">
      <c r="A278" t="s">
        <v>305</v>
      </c>
      <c r="B278">
        <v>1613.79</v>
      </c>
    </row>
    <row r="279" spans="1:2" x14ac:dyDescent="0.25">
      <c r="A279" t="s">
        <v>306</v>
      </c>
      <c r="B279">
        <v>1812.28</v>
      </c>
    </row>
    <row r="280" spans="1:2" x14ac:dyDescent="0.25">
      <c r="A280" t="s">
        <v>307</v>
      </c>
      <c r="B280">
        <v>2585.7199999999998</v>
      </c>
    </row>
    <row r="281" spans="1:2" x14ac:dyDescent="0.25">
      <c r="A281" t="s">
        <v>308</v>
      </c>
      <c r="B281">
        <v>1226.06</v>
      </c>
    </row>
    <row r="282" spans="1:2" x14ac:dyDescent="0.25">
      <c r="A282" t="s">
        <v>309</v>
      </c>
      <c r="B282">
        <v>2554.17</v>
      </c>
    </row>
    <row r="283" spans="1:2" x14ac:dyDescent="0.25">
      <c r="A283" t="s">
        <v>310</v>
      </c>
      <c r="B283">
        <v>3064.62</v>
      </c>
    </row>
    <row r="284" spans="1:2" x14ac:dyDescent="0.25">
      <c r="A284" t="s">
        <v>311</v>
      </c>
      <c r="B284">
        <v>2801.45</v>
      </c>
    </row>
    <row r="285" spans="1:2" x14ac:dyDescent="0.25">
      <c r="A285" t="s">
        <v>312</v>
      </c>
      <c r="B285">
        <v>2662.16</v>
      </c>
    </row>
    <row r="286" spans="1:2" x14ac:dyDescent="0.25">
      <c r="A286" t="s">
        <v>313</v>
      </c>
      <c r="B286">
        <v>375.23</v>
      </c>
    </row>
    <row r="287" spans="1:2" x14ac:dyDescent="0.25">
      <c r="A287" t="s">
        <v>314</v>
      </c>
      <c r="B287">
        <v>258.49</v>
      </c>
    </row>
    <row r="288" spans="1:2" x14ac:dyDescent="0.25">
      <c r="A288" t="s">
        <v>315</v>
      </c>
      <c r="B288">
        <v>407.57</v>
      </c>
    </row>
    <row r="289" spans="1:2" x14ac:dyDescent="0.25">
      <c r="A289" t="s">
        <v>316</v>
      </c>
      <c r="B289">
        <v>1083.6099999999999</v>
      </c>
    </row>
    <row r="290" spans="1:2" x14ac:dyDescent="0.25">
      <c r="A290" t="s">
        <v>317</v>
      </c>
      <c r="B290">
        <v>3210.37</v>
      </c>
    </row>
    <row r="291" spans="1:2" x14ac:dyDescent="0.25">
      <c r="A291" t="s">
        <v>318</v>
      </c>
      <c r="B291">
        <v>2199.79</v>
      </c>
    </row>
    <row r="292" spans="1:2" x14ac:dyDescent="0.25">
      <c r="A292" t="s">
        <v>319</v>
      </c>
      <c r="B292">
        <v>398.07</v>
      </c>
    </row>
    <row r="293" spans="1:2" x14ac:dyDescent="0.25">
      <c r="A293" t="s">
        <v>320</v>
      </c>
      <c r="B293">
        <v>2526.96</v>
      </c>
    </row>
    <row r="294" spans="1:2" x14ac:dyDescent="0.25">
      <c r="A294" t="s">
        <v>321</v>
      </c>
      <c r="B294">
        <v>2534.56</v>
      </c>
    </row>
    <row r="295" spans="1:2" x14ac:dyDescent="0.25">
      <c r="A295" t="s">
        <v>322</v>
      </c>
      <c r="B295">
        <v>823.28</v>
      </c>
    </row>
    <row r="296" spans="1:2" x14ac:dyDescent="0.25">
      <c r="A296" t="s">
        <v>323</v>
      </c>
      <c r="B296">
        <v>2067.13</v>
      </c>
    </row>
    <row r="297" spans="1:2" x14ac:dyDescent="0.25">
      <c r="A297" t="s">
        <v>324</v>
      </c>
      <c r="B297">
        <v>1483.84</v>
      </c>
    </row>
    <row r="298" spans="1:2" x14ac:dyDescent="0.25">
      <c r="A298" t="s">
        <v>325</v>
      </c>
      <c r="B298">
        <v>397.06</v>
      </c>
    </row>
    <row r="299" spans="1:2" x14ac:dyDescent="0.25">
      <c r="A299" t="s">
        <v>326</v>
      </c>
      <c r="B299">
        <v>1304.1199999999999</v>
      </c>
    </row>
    <row r="300" spans="1:2" x14ac:dyDescent="0.25">
      <c r="A300" t="s">
        <v>327</v>
      </c>
      <c r="B300">
        <v>3200.89</v>
      </c>
    </row>
    <row r="301" spans="1:2" x14ac:dyDescent="0.25">
      <c r="A301" t="s">
        <v>328</v>
      </c>
      <c r="B301">
        <v>692.59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A627-78D9-4767-8B20-8CFED3630498}">
  <dimension ref="A1:B6"/>
  <sheetViews>
    <sheetView workbookViewId="0"/>
  </sheetViews>
  <sheetFormatPr defaultRowHeight="15" x14ac:dyDescent="0.25"/>
  <cols>
    <col min="1" max="1" width="20" bestFit="1" customWidth="1"/>
    <col min="2" max="2" width="13.85546875" bestFit="1" customWidth="1"/>
  </cols>
  <sheetData>
    <row r="1" spans="1:2" x14ac:dyDescent="0.25">
      <c r="A1" t="s">
        <v>4</v>
      </c>
      <c r="B1" t="s">
        <v>329</v>
      </c>
    </row>
    <row r="2" spans="1:2" x14ac:dyDescent="0.25">
      <c r="A2" t="s">
        <v>10</v>
      </c>
      <c r="B2">
        <v>75</v>
      </c>
    </row>
    <row r="3" spans="1:2" x14ac:dyDescent="0.25">
      <c r="A3" t="s">
        <v>32</v>
      </c>
      <c r="B3">
        <v>82</v>
      </c>
    </row>
    <row r="4" spans="1:2" x14ac:dyDescent="0.25">
      <c r="A4" t="s">
        <v>37</v>
      </c>
      <c r="B4">
        <v>79</v>
      </c>
    </row>
    <row r="5" spans="1:2" x14ac:dyDescent="0.25">
      <c r="A5" t="s">
        <v>20</v>
      </c>
      <c r="B5">
        <v>68</v>
      </c>
    </row>
    <row r="6" spans="1:2" x14ac:dyDescent="0.25">
      <c r="A6" t="s">
        <v>16</v>
      </c>
      <c r="B6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0D68-3925-44FD-9893-CD2B631D613B}">
  <dimension ref="A1:G301"/>
  <sheetViews>
    <sheetView workbookViewId="0">
      <selection activeCell="H265" sqref="H265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21.42578125" bestFit="1" customWidth="1"/>
    <col min="4" max="5" width="20" bestFit="1" customWidth="1"/>
    <col min="6" max="6" width="21.570312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45985</v>
      </c>
      <c r="C2" t="s">
        <v>8</v>
      </c>
      <c r="D2" t="s">
        <v>9</v>
      </c>
      <c r="E2" t="s">
        <v>10</v>
      </c>
      <c r="F2" t="s">
        <v>11</v>
      </c>
      <c r="G2">
        <v>5.0999999999999996</v>
      </c>
    </row>
    <row r="3" spans="1:7" x14ac:dyDescent="0.25">
      <c r="A3" t="s">
        <v>12</v>
      </c>
      <c r="B3" s="1">
        <v>45710</v>
      </c>
      <c r="C3" t="s">
        <v>13</v>
      </c>
      <c r="D3" t="s">
        <v>9</v>
      </c>
      <c r="E3" t="s">
        <v>10</v>
      </c>
      <c r="F3" t="s">
        <v>14</v>
      </c>
      <c r="G3">
        <v>2</v>
      </c>
    </row>
    <row r="4" spans="1:7" x14ac:dyDescent="0.25">
      <c r="A4" t="s">
        <v>15</v>
      </c>
      <c r="B4" s="1">
        <v>45777</v>
      </c>
      <c r="C4" t="s">
        <v>13</v>
      </c>
      <c r="D4" t="s">
        <v>16</v>
      </c>
      <c r="E4" t="s">
        <v>16</v>
      </c>
      <c r="F4" t="s">
        <v>17</v>
      </c>
      <c r="G4">
        <v>9.6</v>
      </c>
    </row>
    <row r="5" spans="1:7" x14ac:dyDescent="0.25">
      <c r="A5" t="s">
        <v>18</v>
      </c>
      <c r="B5" s="1">
        <v>46017</v>
      </c>
      <c r="C5" t="s">
        <v>13</v>
      </c>
      <c r="D5" t="s">
        <v>19</v>
      </c>
      <c r="E5" t="s">
        <v>20</v>
      </c>
      <c r="F5" t="s">
        <v>21</v>
      </c>
      <c r="G5">
        <v>8</v>
      </c>
    </row>
    <row r="6" spans="1:7" x14ac:dyDescent="0.25">
      <c r="A6" t="s">
        <v>22</v>
      </c>
      <c r="B6" s="1">
        <v>45661</v>
      </c>
      <c r="C6" t="s">
        <v>23</v>
      </c>
      <c r="D6" t="s">
        <v>19</v>
      </c>
      <c r="E6" t="s">
        <v>20</v>
      </c>
      <c r="F6" t="s">
        <v>24</v>
      </c>
      <c r="G6">
        <v>5.5</v>
      </c>
    </row>
    <row r="7" spans="1:7" x14ac:dyDescent="0.25">
      <c r="A7" t="s">
        <v>25</v>
      </c>
      <c r="B7" s="1">
        <v>45830</v>
      </c>
      <c r="C7" t="s">
        <v>8</v>
      </c>
      <c r="D7" t="s">
        <v>9</v>
      </c>
      <c r="E7" t="s">
        <v>10</v>
      </c>
      <c r="F7" t="s">
        <v>14</v>
      </c>
      <c r="G7">
        <v>2.9</v>
      </c>
    </row>
    <row r="8" spans="1:7" x14ac:dyDescent="0.25">
      <c r="A8" t="s">
        <v>26</v>
      </c>
      <c r="B8" s="1">
        <v>45967</v>
      </c>
      <c r="C8" t="s">
        <v>27</v>
      </c>
      <c r="D8" t="s">
        <v>9</v>
      </c>
      <c r="E8" t="s">
        <v>10</v>
      </c>
      <c r="F8" t="s">
        <v>28</v>
      </c>
      <c r="G8">
        <v>9.3000000000000007</v>
      </c>
    </row>
    <row r="9" spans="1:7" x14ac:dyDescent="0.25">
      <c r="A9" t="s">
        <v>29</v>
      </c>
      <c r="B9" s="1">
        <v>45851</v>
      </c>
      <c r="C9" t="s">
        <v>8</v>
      </c>
      <c r="D9" t="s">
        <v>16</v>
      </c>
      <c r="E9" t="s">
        <v>16</v>
      </c>
      <c r="F9" t="s">
        <v>11</v>
      </c>
      <c r="G9">
        <v>13.5</v>
      </c>
    </row>
    <row r="10" spans="1:7" x14ac:dyDescent="0.25">
      <c r="A10" t="s">
        <v>30</v>
      </c>
      <c r="B10" s="1">
        <v>45843</v>
      </c>
      <c r="C10" t="s">
        <v>13</v>
      </c>
      <c r="D10" t="s">
        <v>31</v>
      </c>
      <c r="E10" t="s">
        <v>32</v>
      </c>
      <c r="F10" t="s">
        <v>33</v>
      </c>
      <c r="G10">
        <v>2.2000000000000002</v>
      </c>
    </row>
    <row r="11" spans="1:7" x14ac:dyDescent="0.25">
      <c r="A11" t="s">
        <v>34</v>
      </c>
      <c r="B11" s="1">
        <v>45806</v>
      </c>
      <c r="C11" t="s">
        <v>8</v>
      </c>
      <c r="D11" t="s">
        <v>31</v>
      </c>
      <c r="E11" t="s">
        <v>32</v>
      </c>
      <c r="F11" t="s">
        <v>33</v>
      </c>
      <c r="G11">
        <v>7</v>
      </c>
    </row>
    <row r="12" spans="1:7" x14ac:dyDescent="0.25">
      <c r="A12" t="s">
        <v>35</v>
      </c>
      <c r="B12" s="1">
        <v>45844</v>
      </c>
      <c r="C12" t="s">
        <v>23</v>
      </c>
      <c r="D12" t="s">
        <v>36</v>
      </c>
      <c r="E12" t="s">
        <v>37</v>
      </c>
      <c r="F12" t="s">
        <v>24</v>
      </c>
      <c r="G12">
        <v>4.5</v>
      </c>
    </row>
    <row r="13" spans="1:7" x14ac:dyDescent="0.25">
      <c r="A13" t="s">
        <v>38</v>
      </c>
      <c r="B13" s="1">
        <v>46007</v>
      </c>
      <c r="C13" t="s">
        <v>8</v>
      </c>
      <c r="D13" t="s">
        <v>16</v>
      </c>
      <c r="E13" t="s">
        <v>16</v>
      </c>
      <c r="F13" t="s">
        <v>39</v>
      </c>
      <c r="G13">
        <v>9.1999999999999993</v>
      </c>
    </row>
    <row r="14" spans="1:7" x14ac:dyDescent="0.25">
      <c r="A14" t="s">
        <v>40</v>
      </c>
      <c r="B14" s="1">
        <v>45894</v>
      </c>
      <c r="C14" t="s">
        <v>41</v>
      </c>
      <c r="D14" t="s">
        <v>36</v>
      </c>
      <c r="E14" t="s">
        <v>37</v>
      </c>
      <c r="F14" t="s">
        <v>21</v>
      </c>
      <c r="G14">
        <v>11.4</v>
      </c>
    </row>
    <row r="15" spans="1:7" x14ac:dyDescent="0.25">
      <c r="A15" t="s">
        <v>42</v>
      </c>
      <c r="B15" s="1">
        <v>45686</v>
      </c>
      <c r="C15" t="s">
        <v>23</v>
      </c>
      <c r="D15" t="s">
        <v>9</v>
      </c>
      <c r="E15" t="s">
        <v>10</v>
      </c>
      <c r="F15" t="s">
        <v>24</v>
      </c>
      <c r="G15">
        <v>7.3</v>
      </c>
    </row>
    <row r="16" spans="1:7" x14ac:dyDescent="0.25">
      <c r="A16" t="s">
        <v>43</v>
      </c>
      <c r="B16" s="1">
        <v>45948</v>
      </c>
      <c r="C16" t="s">
        <v>27</v>
      </c>
      <c r="D16" t="s">
        <v>31</v>
      </c>
      <c r="E16" t="s">
        <v>32</v>
      </c>
      <c r="F16" t="s">
        <v>28</v>
      </c>
      <c r="G16">
        <v>7.2</v>
      </c>
    </row>
    <row r="17" spans="1:7" x14ac:dyDescent="0.25">
      <c r="A17" t="s">
        <v>44</v>
      </c>
      <c r="B17" s="1">
        <v>45892</v>
      </c>
      <c r="C17" t="s">
        <v>23</v>
      </c>
      <c r="D17" t="s">
        <v>36</v>
      </c>
      <c r="E17" t="s">
        <v>37</v>
      </c>
      <c r="F17" t="s">
        <v>39</v>
      </c>
      <c r="G17">
        <v>5.0999999999999996</v>
      </c>
    </row>
    <row r="18" spans="1:7" x14ac:dyDescent="0.25">
      <c r="A18" t="s">
        <v>45</v>
      </c>
      <c r="B18" s="1">
        <v>45792</v>
      </c>
      <c r="C18" t="s">
        <v>13</v>
      </c>
      <c r="D18" t="s">
        <v>19</v>
      </c>
      <c r="E18" t="s">
        <v>20</v>
      </c>
      <c r="F18" t="s">
        <v>14</v>
      </c>
      <c r="G18">
        <v>6.7</v>
      </c>
    </row>
    <row r="19" spans="1:7" x14ac:dyDescent="0.25">
      <c r="A19" t="s">
        <v>46</v>
      </c>
      <c r="B19" s="1">
        <v>45728</v>
      </c>
      <c r="C19" t="s">
        <v>13</v>
      </c>
      <c r="D19" t="s">
        <v>19</v>
      </c>
      <c r="E19" t="s">
        <v>20</v>
      </c>
      <c r="F19" t="s">
        <v>33</v>
      </c>
      <c r="G19">
        <v>12.5</v>
      </c>
    </row>
    <row r="20" spans="1:7" x14ac:dyDescent="0.25">
      <c r="A20" t="s">
        <v>47</v>
      </c>
      <c r="B20" s="1">
        <v>45736</v>
      </c>
      <c r="C20" t="s">
        <v>23</v>
      </c>
      <c r="D20" t="s">
        <v>19</v>
      </c>
      <c r="E20" t="s">
        <v>20</v>
      </c>
      <c r="F20" t="s">
        <v>33</v>
      </c>
      <c r="G20">
        <v>7.1</v>
      </c>
    </row>
    <row r="21" spans="1:7" x14ac:dyDescent="0.25">
      <c r="A21" t="s">
        <v>48</v>
      </c>
      <c r="B21" s="1">
        <v>45897</v>
      </c>
      <c r="C21" t="s">
        <v>13</v>
      </c>
      <c r="D21" t="s">
        <v>36</v>
      </c>
      <c r="E21" t="s">
        <v>37</v>
      </c>
      <c r="F21" t="s">
        <v>17</v>
      </c>
      <c r="G21">
        <v>11.4</v>
      </c>
    </row>
    <row r="22" spans="1:7" x14ac:dyDescent="0.25">
      <c r="A22" t="s">
        <v>49</v>
      </c>
      <c r="B22" s="1">
        <v>45932</v>
      </c>
      <c r="C22" t="s">
        <v>27</v>
      </c>
      <c r="D22" t="s">
        <v>36</v>
      </c>
      <c r="E22" t="s">
        <v>37</v>
      </c>
      <c r="F22" t="s">
        <v>33</v>
      </c>
      <c r="G22">
        <v>5.8</v>
      </c>
    </row>
    <row r="23" spans="1:7" x14ac:dyDescent="0.25">
      <c r="A23" t="s">
        <v>50</v>
      </c>
      <c r="B23" s="1">
        <v>45659</v>
      </c>
      <c r="C23" t="s">
        <v>27</v>
      </c>
      <c r="D23" t="s">
        <v>16</v>
      </c>
      <c r="E23" t="s">
        <v>16</v>
      </c>
      <c r="F23" t="s">
        <v>39</v>
      </c>
      <c r="G23">
        <v>8.9</v>
      </c>
    </row>
    <row r="24" spans="1:7" x14ac:dyDescent="0.25">
      <c r="A24" t="s">
        <v>51</v>
      </c>
      <c r="B24" s="1">
        <v>45978</v>
      </c>
      <c r="C24" t="s">
        <v>27</v>
      </c>
      <c r="D24" t="s">
        <v>16</v>
      </c>
      <c r="E24" t="s">
        <v>16</v>
      </c>
      <c r="F24" t="s">
        <v>21</v>
      </c>
      <c r="G24">
        <v>3.7</v>
      </c>
    </row>
    <row r="25" spans="1:7" x14ac:dyDescent="0.25">
      <c r="A25" t="s">
        <v>52</v>
      </c>
      <c r="B25" s="1">
        <v>45934</v>
      </c>
      <c r="C25" t="s">
        <v>13</v>
      </c>
      <c r="D25" t="s">
        <v>9</v>
      </c>
      <c r="E25" t="s">
        <v>10</v>
      </c>
      <c r="F25" t="s">
        <v>24</v>
      </c>
      <c r="G25">
        <v>8.6</v>
      </c>
    </row>
    <row r="26" spans="1:7" x14ac:dyDescent="0.25">
      <c r="A26" t="s">
        <v>53</v>
      </c>
      <c r="B26" s="1">
        <v>45843</v>
      </c>
      <c r="C26" t="s">
        <v>27</v>
      </c>
      <c r="D26" t="s">
        <v>31</v>
      </c>
      <c r="E26" t="s">
        <v>32</v>
      </c>
      <c r="F26" t="s">
        <v>17</v>
      </c>
      <c r="G26">
        <v>5</v>
      </c>
    </row>
    <row r="27" spans="1:7" x14ac:dyDescent="0.25">
      <c r="A27" t="s">
        <v>54</v>
      </c>
      <c r="B27" s="1">
        <v>45698</v>
      </c>
      <c r="C27" t="s">
        <v>8</v>
      </c>
      <c r="D27" t="s">
        <v>19</v>
      </c>
      <c r="E27" t="s">
        <v>20</v>
      </c>
      <c r="F27" t="s">
        <v>33</v>
      </c>
      <c r="G27">
        <v>15.7</v>
      </c>
    </row>
    <row r="28" spans="1:7" x14ac:dyDescent="0.25">
      <c r="A28" t="s">
        <v>55</v>
      </c>
      <c r="B28" s="1">
        <v>45722</v>
      </c>
      <c r="C28" t="s">
        <v>23</v>
      </c>
      <c r="D28" t="s">
        <v>19</v>
      </c>
      <c r="E28" t="s">
        <v>20</v>
      </c>
      <c r="F28" t="s">
        <v>39</v>
      </c>
      <c r="G28">
        <v>5.3</v>
      </c>
    </row>
    <row r="29" spans="1:7" x14ac:dyDescent="0.25">
      <c r="A29" t="s">
        <v>56</v>
      </c>
      <c r="B29" s="1">
        <v>45874</v>
      </c>
      <c r="C29" t="s">
        <v>23</v>
      </c>
      <c r="D29" t="s">
        <v>16</v>
      </c>
      <c r="E29" t="s">
        <v>16</v>
      </c>
      <c r="F29" t="s">
        <v>21</v>
      </c>
      <c r="G29">
        <v>11.8</v>
      </c>
    </row>
    <row r="30" spans="1:7" x14ac:dyDescent="0.25">
      <c r="A30" t="s">
        <v>57</v>
      </c>
      <c r="B30" s="1">
        <v>46001</v>
      </c>
      <c r="C30" t="s">
        <v>27</v>
      </c>
      <c r="D30" t="s">
        <v>19</v>
      </c>
      <c r="E30" t="s">
        <v>20</v>
      </c>
      <c r="F30" t="s">
        <v>28</v>
      </c>
      <c r="G30">
        <v>3.3</v>
      </c>
    </row>
    <row r="31" spans="1:7" x14ac:dyDescent="0.25">
      <c r="A31" t="s">
        <v>58</v>
      </c>
      <c r="B31" s="1">
        <v>45831</v>
      </c>
      <c r="C31" t="s">
        <v>8</v>
      </c>
      <c r="D31" t="s">
        <v>16</v>
      </c>
      <c r="E31" t="s">
        <v>16</v>
      </c>
      <c r="F31" t="s">
        <v>21</v>
      </c>
      <c r="G31">
        <v>10</v>
      </c>
    </row>
    <row r="32" spans="1:7" x14ac:dyDescent="0.25">
      <c r="A32" t="s">
        <v>59</v>
      </c>
      <c r="B32" s="1">
        <v>46020</v>
      </c>
      <c r="C32" t="s">
        <v>8</v>
      </c>
      <c r="D32" t="s">
        <v>31</v>
      </c>
      <c r="E32" t="s">
        <v>32</v>
      </c>
      <c r="F32" t="s">
        <v>33</v>
      </c>
      <c r="G32">
        <v>14.6</v>
      </c>
    </row>
    <row r="33" spans="1:7" x14ac:dyDescent="0.25">
      <c r="A33" t="s">
        <v>60</v>
      </c>
      <c r="B33" s="1">
        <v>45694</v>
      </c>
      <c r="C33" t="s">
        <v>13</v>
      </c>
      <c r="D33" t="s">
        <v>31</v>
      </c>
      <c r="E33" t="s">
        <v>32</v>
      </c>
      <c r="F33" t="s">
        <v>11</v>
      </c>
      <c r="G33">
        <v>11.2</v>
      </c>
    </row>
    <row r="34" spans="1:7" x14ac:dyDescent="0.25">
      <c r="A34" t="s">
        <v>61</v>
      </c>
      <c r="B34" s="1">
        <v>45725</v>
      </c>
      <c r="C34" t="s">
        <v>13</v>
      </c>
      <c r="D34" t="s">
        <v>16</v>
      </c>
      <c r="E34" t="s">
        <v>16</v>
      </c>
      <c r="F34" t="s">
        <v>28</v>
      </c>
      <c r="G34">
        <v>5</v>
      </c>
    </row>
    <row r="35" spans="1:7" x14ac:dyDescent="0.25">
      <c r="A35" t="s">
        <v>62</v>
      </c>
      <c r="B35" s="1">
        <v>45866</v>
      </c>
      <c r="C35" t="s">
        <v>23</v>
      </c>
      <c r="D35" t="s">
        <v>9</v>
      </c>
      <c r="E35" t="s">
        <v>10</v>
      </c>
      <c r="F35" t="s">
        <v>33</v>
      </c>
      <c r="G35">
        <v>11.1</v>
      </c>
    </row>
    <row r="36" spans="1:7" x14ac:dyDescent="0.25">
      <c r="A36" t="s">
        <v>63</v>
      </c>
      <c r="B36" s="1">
        <v>45868</v>
      </c>
      <c r="C36" t="s">
        <v>41</v>
      </c>
      <c r="D36" t="s">
        <v>9</v>
      </c>
      <c r="E36" t="s">
        <v>10</v>
      </c>
      <c r="F36" t="s">
        <v>33</v>
      </c>
      <c r="G36">
        <v>2.4</v>
      </c>
    </row>
    <row r="37" spans="1:7" x14ac:dyDescent="0.25">
      <c r="A37" t="s">
        <v>64</v>
      </c>
      <c r="B37" s="1">
        <v>45713</v>
      </c>
      <c r="C37" t="s">
        <v>23</v>
      </c>
      <c r="D37" t="s">
        <v>31</v>
      </c>
      <c r="E37" t="s">
        <v>32</v>
      </c>
      <c r="F37" t="s">
        <v>21</v>
      </c>
      <c r="G37">
        <v>9.3000000000000007</v>
      </c>
    </row>
    <row r="38" spans="1:7" x14ac:dyDescent="0.25">
      <c r="A38" t="s">
        <v>65</v>
      </c>
      <c r="B38" s="1">
        <v>45751</v>
      </c>
      <c r="C38" t="s">
        <v>27</v>
      </c>
      <c r="D38" t="s">
        <v>19</v>
      </c>
      <c r="E38" t="s">
        <v>20</v>
      </c>
      <c r="F38" t="s">
        <v>21</v>
      </c>
      <c r="G38">
        <v>14.2</v>
      </c>
    </row>
    <row r="39" spans="1:7" x14ac:dyDescent="0.25">
      <c r="A39" t="s">
        <v>66</v>
      </c>
      <c r="B39" s="1">
        <v>45939</v>
      </c>
      <c r="C39" t="s">
        <v>8</v>
      </c>
      <c r="D39" t="s">
        <v>9</v>
      </c>
      <c r="E39" t="s">
        <v>10</v>
      </c>
      <c r="F39" t="s">
        <v>17</v>
      </c>
      <c r="G39">
        <v>15.6</v>
      </c>
    </row>
    <row r="40" spans="1:7" x14ac:dyDescent="0.25">
      <c r="A40" t="s">
        <v>67</v>
      </c>
      <c r="B40" s="1">
        <v>45779</v>
      </c>
      <c r="C40" t="s">
        <v>23</v>
      </c>
      <c r="D40" t="s">
        <v>19</v>
      </c>
      <c r="E40" t="s">
        <v>20</v>
      </c>
      <c r="F40" t="s">
        <v>28</v>
      </c>
      <c r="G40">
        <v>8.5</v>
      </c>
    </row>
    <row r="41" spans="1:7" x14ac:dyDescent="0.25">
      <c r="A41" t="s">
        <v>68</v>
      </c>
      <c r="B41" s="1">
        <v>45688</v>
      </c>
      <c r="C41" t="s">
        <v>23</v>
      </c>
      <c r="D41" t="s">
        <v>19</v>
      </c>
      <c r="E41" t="s">
        <v>20</v>
      </c>
      <c r="F41" t="s">
        <v>17</v>
      </c>
      <c r="G41">
        <v>15.8</v>
      </c>
    </row>
    <row r="42" spans="1:7" x14ac:dyDescent="0.25">
      <c r="A42" t="s">
        <v>69</v>
      </c>
      <c r="B42" s="1">
        <v>45890</v>
      </c>
      <c r="C42" t="s">
        <v>27</v>
      </c>
      <c r="D42" t="s">
        <v>19</v>
      </c>
      <c r="E42" t="s">
        <v>20</v>
      </c>
      <c r="F42" t="s">
        <v>28</v>
      </c>
      <c r="G42">
        <v>3.7</v>
      </c>
    </row>
    <row r="43" spans="1:7" x14ac:dyDescent="0.25">
      <c r="A43" t="s">
        <v>70</v>
      </c>
      <c r="B43" s="1">
        <v>45687</v>
      </c>
      <c r="C43" t="s">
        <v>13</v>
      </c>
      <c r="D43" t="s">
        <v>16</v>
      </c>
      <c r="E43" t="s">
        <v>16</v>
      </c>
      <c r="F43" t="s">
        <v>17</v>
      </c>
      <c r="G43">
        <v>12.3</v>
      </c>
    </row>
    <row r="44" spans="1:7" x14ac:dyDescent="0.25">
      <c r="A44" t="s">
        <v>71</v>
      </c>
      <c r="B44" s="1">
        <v>45957</v>
      </c>
      <c r="C44" t="s">
        <v>41</v>
      </c>
      <c r="D44" t="s">
        <v>16</v>
      </c>
      <c r="E44" t="s">
        <v>16</v>
      </c>
      <c r="F44" t="s">
        <v>39</v>
      </c>
      <c r="G44">
        <v>2.2999999999999998</v>
      </c>
    </row>
    <row r="45" spans="1:7" x14ac:dyDescent="0.25">
      <c r="A45" t="s">
        <v>72</v>
      </c>
      <c r="B45" s="1">
        <v>45753</v>
      </c>
      <c r="C45" t="s">
        <v>8</v>
      </c>
      <c r="D45" t="s">
        <v>16</v>
      </c>
      <c r="E45" t="s">
        <v>16</v>
      </c>
      <c r="F45" t="s">
        <v>33</v>
      </c>
      <c r="G45">
        <v>11.3</v>
      </c>
    </row>
    <row r="46" spans="1:7" x14ac:dyDescent="0.25">
      <c r="A46" t="s">
        <v>73</v>
      </c>
      <c r="B46" s="1">
        <v>45719</v>
      </c>
      <c r="C46" t="s">
        <v>13</v>
      </c>
      <c r="D46" t="s">
        <v>31</v>
      </c>
      <c r="E46" t="s">
        <v>32</v>
      </c>
      <c r="F46" t="s">
        <v>17</v>
      </c>
      <c r="G46">
        <v>10.5</v>
      </c>
    </row>
    <row r="47" spans="1:7" x14ac:dyDescent="0.25">
      <c r="A47" t="s">
        <v>74</v>
      </c>
      <c r="B47" s="1">
        <v>45956</v>
      </c>
      <c r="C47" t="s">
        <v>13</v>
      </c>
      <c r="D47" t="s">
        <v>16</v>
      </c>
      <c r="E47" t="s">
        <v>16</v>
      </c>
      <c r="F47" t="s">
        <v>24</v>
      </c>
      <c r="G47">
        <v>15.1</v>
      </c>
    </row>
    <row r="48" spans="1:7" x14ac:dyDescent="0.25">
      <c r="A48" t="s">
        <v>75</v>
      </c>
      <c r="B48" s="1">
        <v>45818</v>
      </c>
      <c r="C48" t="s">
        <v>23</v>
      </c>
      <c r="D48" t="s">
        <v>36</v>
      </c>
      <c r="E48" t="s">
        <v>37</v>
      </c>
      <c r="F48" t="s">
        <v>14</v>
      </c>
      <c r="G48">
        <v>3.4</v>
      </c>
    </row>
    <row r="49" spans="1:7" x14ac:dyDescent="0.25">
      <c r="A49" t="s">
        <v>76</v>
      </c>
      <c r="B49" s="1">
        <v>45892</v>
      </c>
      <c r="C49" t="s">
        <v>27</v>
      </c>
      <c r="D49" t="s">
        <v>9</v>
      </c>
      <c r="E49" t="s">
        <v>10</v>
      </c>
      <c r="F49" t="s">
        <v>17</v>
      </c>
      <c r="G49">
        <v>8.1</v>
      </c>
    </row>
    <row r="50" spans="1:7" x14ac:dyDescent="0.25">
      <c r="A50" t="s">
        <v>77</v>
      </c>
      <c r="B50" s="1">
        <v>45709</v>
      </c>
      <c r="C50" t="s">
        <v>8</v>
      </c>
      <c r="D50" t="s">
        <v>16</v>
      </c>
      <c r="E50" t="s">
        <v>16</v>
      </c>
      <c r="F50" t="s">
        <v>21</v>
      </c>
      <c r="G50">
        <v>8.8000000000000007</v>
      </c>
    </row>
    <row r="51" spans="1:7" x14ac:dyDescent="0.25">
      <c r="A51" t="s">
        <v>78</v>
      </c>
      <c r="B51" s="1">
        <v>45836</v>
      </c>
      <c r="C51" t="s">
        <v>8</v>
      </c>
      <c r="D51" t="s">
        <v>31</v>
      </c>
      <c r="E51" t="s">
        <v>32</v>
      </c>
      <c r="F51" t="s">
        <v>24</v>
      </c>
      <c r="G51">
        <v>5.6</v>
      </c>
    </row>
    <row r="52" spans="1:7" x14ac:dyDescent="0.25">
      <c r="A52" t="s">
        <v>79</v>
      </c>
      <c r="B52" s="1">
        <v>45936</v>
      </c>
      <c r="C52" t="s">
        <v>27</v>
      </c>
      <c r="D52" t="s">
        <v>16</v>
      </c>
      <c r="E52" t="s">
        <v>16</v>
      </c>
      <c r="F52" t="s">
        <v>17</v>
      </c>
      <c r="G52">
        <v>11.2</v>
      </c>
    </row>
    <row r="53" spans="1:7" x14ac:dyDescent="0.25">
      <c r="A53" t="s">
        <v>80</v>
      </c>
      <c r="B53" s="1">
        <v>45997</v>
      </c>
      <c r="C53" t="s">
        <v>8</v>
      </c>
      <c r="D53" t="s">
        <v>31</v>
      </c>
      <c r="E53" t="s">
        <v>32</v>
      </c>
      <c r="F53" t="s">
        <v>11</v>
      </c>
      <c r="G53">
        <v>3.2</v>
      </c>
    </row>
    <row r="54" spans="1:7" x14ac:dyDescent="0.25">
      <c r="A54" t="s">
        <v>81</v>
      </c>
      <c r="B54" s="1">
        <v>45941</v>
      </c>
      <c r="C54" t="s">
        <v>23</v>
      </c>
      <c r="D54" t="s">
        <v>36</v>
      </c>
      <c r="E54" t="s">
        <v>37</v>
      </c>
      <c r="F54" t="s">
        <v>11</v>
      </c>
      <c r="G54">
        <v>10.3</v>
      </c>
    </row>
    <row r="55" spans="1:7" x14ac:dyDescent="0.25">
      <c r="A55" t="s">
        <v>82</v>
      </c>
      <c r="B55" s="1">
        <v>45762</v>
      </c>
      <c r="C55" t="s">
        <v>27</v>
      </c>
      <c r="D55" t="s">
        <v>16</v>
      </c>
      <c r="E55" t="s">
        <v>16</v>
      </c>
      <c r="F55" t="s">
        <v>28</v>
      </c>
      <c r="G55">
        <v>5.0999999999999996</v>
      </c>
    </row>
    <row r="56" spans="1:7" x14ac:dyDescent="0.25">
      <c r="A56" t="s">
        <v>83</v>
      </c>
      <c r="B56" s="1">
        <v>45684</v>
      </c>
      <c r="C56" t="s">
        <v>8</v>
      </c>
      <c r="D56" t="s">
        <v>19</v>
      </c>
      <c r="E56" t="s">
        <v>20</v>
      </c>
      <c r="F56" t="s">
        <v>11</v>
      </c>
      <c r="G56">
        <v>2.1</v>
      </c>
    </row>
    <row r="57" spans="1:7" x14ac:dyDescent="0.25">
      <c r="A57" t="s">
        <v>84</v>
      </c>
      <c r="B57" s="1">
        <v>45724</v>
      </c>
      <c r="C57" t="s">
        <v>27</v>
      </c>
      <c r="D57" t="s">
        <v>31</v>
      </c>
      <c r="E57" t="s">
        <v>32</v>
      </c>
      <c r="F57" t="s">
        <v>28</v>
      </c>
      <c r="G57">
        <v>9.5</v>
      </c>
    </row>
    <row r="58" spans="1:7" x14ac:dyDescent="0.25">
      <c r="A58" t="s">
        <v>85</v>
      </c>
      <c r="B58" s="1">
        <v>45662</v>
      </c>
      <c r="C58" t="s">
        <v>8</v>
      </c>
      <c r="D58" t="s">
        <v>9</v>
      </c>
      <c r="E58" t="s">
        <v>10</v>
      </c>
      <c r="F58" t="s">
        <v>39</v>
      </c>
      <c r="G58">
        <v>9.4</v>
      </c>
    </row>
    <row r="59" spans="1:7" x14ac:dyDescent="0.25">
      <c r="A59" t="s">
        <v>86</v>
      </c>
      <c r="B59" s="1">
        <v>45956</v>
      </c>
      <c r="C59" t="s">
        <v>13</v>
      </c>
      <c r="D59" t="s">
        <v>31</v>
      </c>
      <c r="E59" t="s">
        <v>32</v>
      </c>
      <c r="F59" t="s">
        <v>14</v>
      </c>
      <c r="G59">
        <v>3.3</v>
      </c>
    </row>
    <row r="60" spans="1:7" x14ac:dyDescent="0.25">
      <c r="A60" t="s">
        <v>87</v>
      </c>
      <c r="B60" s="1">
        <v>45678</v>
      </c>
      <c r="C60" t="s">
        <v>27</v>
      </c>
      <c r="D60" t="s">
        <v>31</v>
      </c>
      <c r="E60" t="s">
        <v>32</v>
      </c>
      <c r="F60" t="s">
        <v>21</v>
      </c>
      <c r="G60">
        <v>11.2</v>
      </c>
    </row>
    <row r="61" spans="1:7" x14ac:dyDescent="0.25">
      <c r="A61" t="s">
        <v>88</v>
      </c>
      <c r="B61" s="1">
        <v>45944</v>
      </c>
      <c r="C61" t="s">
        <v>41</v>
      </c>
      <c r="D61" t="s">
        <v>16</v>
      </c>
      <c r="E61" t="s">
        <v>16</v>
      </c>
      <c r="F61" t="s">
        <v>39</v>
      </c>
      <c r="G61">
        <v>14.9</v>
      </c>
    </row>
    <row r="62" spans="1:7" x14ac:dyDescent="0.25">
      <c r="A62" t="s">
        <v>89</v>
      </c>
      <c r="B62" s="1">
        <v>45741</v>
      </c>
      <c r="C62" t="s">
        <v>23</v>
      </c>
      <c r="D62" t="s">
        <v>19</v>
      </c>
      <c r="E62" t="s">
        <v>20</v>
      </c>
      <c r="F62" t="s">
        <v>17</v>
      </c>
      <c r="G62">
        <v>4.0999999999999996</v>
      </c>
    </row>
    <row r="63" spans="1:7" x14ac:dyDescent="0.25">
      <c r="A63" t="s">
        <v>90</v>
      </c>
      <c r="B63" s="1">
        <v>45868</v>
      </c>
      <c r="C63" t="s">
        <v>23</v>
      </c>
      <c r="D63" t="s">
        <v>36</v>
      </c>
      <c r="E63" t="s">
        <v>37</v>
      </c>
      <c r="F63" t="s">
        <v>39</v>
      </c>
      <c r="G63">
        <v>12.9</v>
      </c>
    </row>
    <row r="64" spans="1:7" x14ac:dyDescent="0.25">
      <c r="A64" t="s">
        <v>91</v>
      </c>
      <c r="B64" s="1">
        <v>45677</v>
      </c>
      <c r="C64" t="s">
        <v>41</v>
      </c>
      <c r="D64" t="s">
        <v>31</v>
      </c>
      <c r="E64" t="s">
        <v>32</v>
      </c>
      <c r="F64" t="s">
        <v>21</v>
      </c>
      <c r="G64">
        <v>13.3</v>
      </c>
    </row>
    <row r="65" spans="1:7" x14ac:dyDescent="0.25">
      <c r="A65" t="s">
        <v>92</v>
      </c>
      <c r="B65" s="1">
        <v>45814</v>
      </c>
      <c r="C65" t="s">
        <v>23</v>
      </c>
      <c r="D65" t="s">
        <v>31</v>
      </c>
      <c r="E65" t="s">
        <v>32</v>
      </c>
      <c r="F65" t="s">
        <v>17</v>
      </c>
      <c r="G65">
        <v>11.1</v>
      </c>
    </row>
    <row r="66" spans="1:7" x14ac:dyDescent="0.25">
      <c r="A66" t="s">
        <v>93</v>
      </c>
      <c r="B66" s="1">
        <v>45800</v>
      </c>
      <c r="C66" t="s">
        <v>8</v>
      </c>
      <c r="D66" t="s">
        <v>36</v>
      </c>
      <c r="E66" t="s">
        <v>37</v>
      </c>
      <c r="F66" t="s">
        <v>24</v>
      </c>
      <c r="G66">
        <v>10.8</v>
      </c>
    </row>
    <row r="67" spans="1:7" x14ac:dyDescent="0.25">
      <c r="A67" t="s">
        <v>94</v>
      </c>
      <c r="B67" s="1">
        <v>45932</v>
      </c>
      <c r="C67" t="s">
        <v>27</v>
      </c>
      <c r="D67" t="s">
        <v>9</v>
      </c>
      <c r="E67" t="s">
        <v>10</v>
      </c>
      <c r="F67" t="s">
        <v>33</v>
      </c>
      <c r="G67">
        <v>14.2</v>
      </c>
    </row>
    <row r="68" spans="1:7" x14ac:dyDescent="0.25">
      <c r="A68" t="s">
        <v>95</v>
      </c>
      <c r="B68" s="1">
        <v>45955</v>
      </c>
      <c r="C68" t="s">
        <v>27</v>
      </c>
      <c r="D68" t="s">
        <v>9</v>
      </c>
      <c r="E68" t="s">
        <v>10</v>
      </c>
      <c r="F68" t="s">
        <v>33</v>
      </c>
      <c r="G68">
        <v>10.199999999999999</v>
      </c>
    </row>
    <row r="69" spans="1:7" x14ac:dyDescent="0.25">
      <c r="A69" t="s">
        <v>96</v>
      </c>
      <c r="B69" s="1">
        <v>45818</v>
      </c>
      <c r="C69" t="s">
        <v>41</v>
      </c>
      <c r="D69" t="s">
        <v>16</v>
      </c>
      <c r="E69" t="s">
        <v>16</v>
      </c>
      <c r="F69" t="s">
        <v>33</v>
      </c>
      <c r="G69">
        <v>7.1</v>
      </c>
    </row>
    <row r="70" spans="1:7" x14ac:dyDescent="0.25">
      <c r="A70" t="s">
        <v>97</v>
      </c>
      <c r="B70" s="1">
        <v>45788</v>
      </c>
      <c r="C70" t="s">
        <v>8</v>
      </c>
      <c r="D70" t="s">
        <v>19</v>
      </c>
      <c r="E70" t="s">
        <v>20</v>
      </c>
      <c r="F70" t="s">
        <v>17</v>
      </c>
      <c r="G70">
        <v>9</v>
      </c>
    </row>
    <row r="71" spans="1:7" x14ac:dyDescent="0.25">
      <c r="A71" t="s">
        <v>98</v>
      </c>
      <c r="B71" s="1">
        <v>46009</v>
      </c>
      <c r="C71" t="s">
        <v>23</v>
      </c>
      <c r="D71" t="s">
        <v>36</v>
      </c>
      <c r="E71" t="s">
        <v>37</v>
      </c>
      <c r="F71" t="s">
        <v>14</v>
      </c>
      <c r="G71">
        <v>2.5</v>
      </c>
    </row>
    <row r="72" spans="1:7" x14ac:dyDescent="0.25">
      <c r="A72" t="s">
        <v>99</v>
      </c>
      <c r="B72" s="1">
        <v>45827</v>
      </c>
      <c r="C72" t="s">
        <v>13</v>
      </c>
      <c r="D72" t="s">
        <v>36</v>
      </c>
      <c r="E72" t="s">
        <v>37</v>
      </c>
      <c r="F72" t="s">
        <v>33</v>
      </c>
      <c r="G72">
        <v>11.9</v>
      </c>
    </row>
    <row r="73" spans="1:7" x14ac:dyDescent="0.25">
      <c r="A73" t="s">
        <v>100</v>
      </c>
      <c r="B73" s="1">
        <v>45816</v>
      </c>
      <c r="C73" t="s">
        <v>41</v>
      </c>
      <c r="D73" t="s">
        <v>36</v>
      </c>
      <c r="E73" t="s">
        <v>37</v>
      </c>
      <c r="F73" t="s">
        <v>14</v>
      </c>
      <c r="G73">
        <v>11.6</v>
      </c>
    </row>
    <row r="74" spans="1:7" x14ac:dyDescent="0.25">
      <c r="A74" t="s">
        <v>101</v>
      </c>
      <c r="B74" s="1">
        <v>45756</v>
      </c>
      <c r="C74" t="s">
        <v>41</v>
      </c>
      <c r="D74" t="s">
        <v>19</v>
      </c>
      <c r="E74" t="s">
        <v>20</v>
      </c>
      <c r="F74" t="s">
        <v>39</v>
      </c>
      <c r="G74">
        <v>10.4</v>
      </c>
    </row>
    <row r="75" spans="1:7" x14ac:dyDescent="0.25">
      <c r="A75" t="s">
        <v>102</v>
      </c>
      <c r="B75" s="1">
        <v>45938</v>
      </c>
      <c r="C75" t="s">
        <v>8</v>
      </c>
      <c r="D75" t="s">
        <v>36</v>
      </c>
      <c r="E75" t="s">
        <v>37</v>
      </c>
      <c r="F75" t="s">
        <v>11</v>
      </c>
      <c r="G75">
        <v>4.5</v>
      </c>
    </row>
    <row r="76" spans="1:7" x14ac:dyDescent="0.25">
      <c r="A76" t="s">
        <v>103</v>
      </c>
      <c r="B76" s="1">
        <v>45968</v>
      </c>
      <c r="C76" t="s">
        <v>27</v>
      </c>
      <c r="D76" t="s">
        <v>19</v>
      </c>
      <c r="E76" t="s">
        <v>20</v>
      </c>
      <c r="F76" t="s">
        <v>28</v>
      </c>
      <c r="G76">
        <v>7.9</v>
      </c>
    </row>
    <row r="77" spans="1:7" x14ac:dyDescent="0.25">
      <c r="A77" t="s">
        <v>104</v>
      </c>
      <c r="B77" s="1">
        <v>45900</v>
      </c>
      <c r="C77" t="s">
        <v>23</v>
      </c>
      <c r="D77" t="s">
        <v>9</v>
      </c>
      <c r="E77" t="s">
        <v>10</v>
      </c>
      <c r="F77" t="s">
        <v>11</v>
      </c>
      <c r="G77">
        <v>9</v>
      </c>
    </row>
    <row r="78" spans="1:7" x14ac:dyDescent="0.25">
      <c r="A78" t="s">
        <v>105</v>
      </c>
      <c r="B78" s="1">
        <v>45829</v>
      </c>
      <c r="C78" t="s">
        <v>8</v>
      </c>
      <c r="D78" t="s">
        <v>31</v>
      </c>
      <c r="E78" t="s">
        <v>32</v>
      </c>
      <c r="F78" t="s">
        <v>11</v>
      </c>
      <c r="G78">
        <v>4.8</v>
      </c>
    </row>
    <row r="79" spans="1:7" x14ac:dyDescent="0.25">
      <c r="A79" t="s">
        <v>106</v>
      </c>
      <c r="B79" s="1">
        <v>45670</v>
      </c>
      <c r="C79" t="s">
        <v>8</v>
      </c>
      <c r="D79" t="s">
        <v>31</v>
      </c>
      <c r="E79" t="s">
        <v>32</v>
      </c>
      <c r="F79" t="s">
        <v>28</v>
      </c>
      <c r="G79">
        <v>10.4</v>
      </c>
    </row>
    <row r="80" spans="1:7" x14ac:dyDescent="0.25">
      <c r="A80" t="s">
        <v>107</v>
      </c>
      <c r="B80" s="1">
        <v>45891</v>
      </c>
      <c r="C80" t="s">
        <v>41</v>
      </c>
      <c r="D80" t="s">
        <v>16</v>
      </c>
      <c r="E80" t="s">
        <v>16</v>
      </c>
      <c r="F80" t="s">
        <v>21</v>
      </c>
      <c r="G80">
        <v>11.9</v>
      </c>
    </row>
    <row r="81" spans="1:7" x14ac:dyDescent="0.25">
      <c r="A81" t="s">
        <v>108</v>
      </c>
      <c r="B81" s="1">
        <v>45862</v>
      </c>
      <c r="C81" t="s">
        <v>23</v>
      </c>
      <c r="D81" t="s">
        <v>31</v>
      </c>
      <c r="E81" t="s">
        <v>32</v>
      </c>
      <c r="F81" t="s">
        <v>17</v>
      </c>
      <c r="G81">
        <v>14.4</v>
      </c>
    </row>
    <row r="82" spans="1:7" x14ac:dyDescent="0.25">
      <c r="A82" t="s">
        <v>109</v>
      </c>
      <c r="B82" s="1">
        <v>45712</v>
      </c>
      <c r="C82" t="s">
        <v>41</v>
      </c>
      <c r="D82" t="s">
        <v>31</v>
      </c>
      <c r="E82" t="s">
        <v>32</v>
      </c>
      <c r="F82" t="s">
        <v>39</v>
      </c>
      <c r="G82">
        <v>13.2</v>
      </c>
    </row>
    <row r="83" spans="1:7" x14ac:dyDescent="0.25">
      <c r="A83" t="s">
        <v>110</v>
      </c>
      <c r="B83" s="1">
        <v>45895</v>
      </c>
      <c r="C83" t="s">
        <v>8</v>
      </c>
      <c r="D83" t="s">
        <v>16</v>
      </c>
      <c r="E83" t="s">
        <v>16</v>
      </c>
      <c r="F83" t="s">
        <v>21</v>
      </c>
      <c r="G83">
        <v>14.8</v>
      </c>
    </row>
    <row r="84" spans="1:7" x14ac:dyDescent="0.25">
      <c r="A84" t="s">
        <v>111</v>
      </c>
      <c r="B84" s="1">
        <v>45726</v>
      </c>
      <c r="C84" t="s">
        <v>41</v>
      </c>
      <c r="D84" t="s">
        <v>16</v>
      </c>
      <c r="E84" t="s">
        <v>16</v>
      </c>
      <c r="F84" t="s">
        <v>24</v>
      </c>
      <c r="G84">
        <v>15.3</v>
      </c>
    </row>
    <row r="85" spans="1:7" x14ac:dyDescent="0.25">
      <c r="A85" t="s">
        <v>112</v>
      </c>
      <c r="B85" s="1">
        <v>45971</v>
      </c>
      <c r="C85" t="s">
        <v>13</v>
      </c>
      <c r="D85" t="s">
        <v>19</v>
      </c>
      <c r="E85" t="s">
        <v>20</v>
      </c>
      <c r="F85" t="s">
        <v>28</v>
      </c>
      <c r="G85">
        <v>14.5</v>
      </c>
    </row>
    <row r="86" spans="1:7" x14ac:dyDescent="0.25">
      <c r="A86" t="s">
        <v>113</v>
      </c>
      <c r="B86" s="1">
        <v>45901</v>
      </c>
      <c r="C86" t="s">
        <v>41</v>
      </c>
      <c r="D86" t="s">
        <v>36</v>
      </c>
      <c r="E86" t="s">
        <v>37</v>
      </c>
      <c r="F86" t="s">
        <v>21</v>
      </c>
      <c r="G86">
        <v>13.7</v>
      </c>
    </row>
    <row r="87" spans="1:7" x14ac:dyDescent="0.25">
      <c r="A87" t="s">
        <v>114</v>
      </c>
      <c r="B87" s="1">
        <v>45924</v>
      </c>
      <c r="C87" t="s">
        <v>41</v>
      </c>
      <c r="D87" t="s">
        <v>31</v>
      </c>
      <c r="E87" t="s">
        <v>32</v>
      </c>
      <c r="F87" t="s">
        <v>11</v>
      </c>
      <c r="G87">
        <v>7.9</v>
      </c>
    </row>
    <row r="88" spans="1:7" x14ac:dyDescent="0.25">
      <c r="A88" t="s">
        <v>115</v>
      </c>
      <c r="B88" s="1">
        <v>45778</v>
      </c>
      <c r="C88" t="s">
        <v>27</v>
      </c>
      <c r="D88" t="s">
        <v>36</v>
      </c>
      <c r="E88" t="s">
        <v>37</v>
      </c>
      <c r="F88" t="s">
        <v>24</v>
      </c>
      <c r="G88">
        <v>14.4</v>
      </c>
    </row>
    <row r="89" spans="1:7" x14ac:dyDescent="0.25">
      <c r="A89" t="s">
        <v>116</v>
      </c>
      <c r="B89" s="1">
        <v>45735</v>
      </c>
      <c r="C89" t="s">
        <v>23</v>
      </c>
      <c r="D89" t="s">
        <v>19</v>
      </c>
      <c r="E89" t="s">
        <v>20</v>
      </c>
      <c r="F89" t="s">
        <v>39</v>
      </c>
      <c r="G89">
        <v>11.7</v>
      </c>
    </row>
    <row r="90" spans="1:7" x14ac:dyDescent="0.25">
      <c r="A90" t="s">
        <v>117</v>
      </c>
      <c r="B90" s="1">
        <v>45866</v>
      </c>
      <c r="C90" t="s">
        <v>27</v>
      </c>
      <c r="D90" t="s">
        <v>16</v>
      </c>
      <c r="E90" t="s">
        <v>16</v>
      </c>
      <c r="F90" t="s">
        <v>28</v>
      </c>
      <c r="G90">
        <v>7.5</v>
      </c>
    </row>
    <row r="91" spans="1:7" x14ac:dyDescent="0.25">
      <c r="A91" t="s">
        <v>118</v>
      </c>
      <c r="B91" s="1">
        <v>45873</v>
      </c>
      <c r="C91" t="s">
        <v>41</v>
      </c>
      <c r="D91" t="s">
        <v>16</v>
      </c>
      <c r="E91" t="s">
        <v>16</v>
      </c>
      <c r="F91" t="s">
        <v>17</v>
      </c>
      <c r="G91">
        <v>13.9</v>
      </c>
    </row>
    <row r="92" spans="1:7" x14ac:dyDescent="0.25">
      <c r="A92" t="s">
        <v>119</v>
      </c>
      <c r="B92" s="1">
        <v>45852</v>
      </c>
      <c r="C92" t="s">
        <v>41</v>
      </c>
      <c r="D92" t="s">
        <v>9</v>
      </c>
      <c r="E92" t="s">
        <v>10</v>
      </c>
      <c r="F92" t="s">
        <v>24</v>
      </c>
      <c r="G92">
        <v>5.8</v>
      </c>
    </row>
    <row r="93" spans="1:7" x14ac:dyDescent="0.25">
      <c r="A93" t="s">
        <v>120</v>
      </c>
      <c r="B93" s="1">
        <v>45872</v>
      </c>
      <c r="C93" t="s">
        <v>13</v>
      </c>
      <c r="D93" t="s">
        <v>16</v>
      </c>
      <c r="E93" t="s">
        <v>16</v>
      </c>
      <c r="F93" t="s">
        <v>21</v>
      </c>
      <c r="G93">
        <v>8.6</v>
      </c>
    </row>
    <row r="94" spans="1:7" x14ac:dyDescent="0.25">
      <c r="A94" t="s">
        <v>121</v>
      </c>
      <c r="B94" s="1">
        <v>45906</v>
      </c>
      <c r="C94" t="s">
        <v>8</v>
      </c>
      <c r="D94" t="s">
        <v>19</v>
      </c>
      <c r="E94" t="s">
        <v>20</v>
      </c>
      <c r="F94" t="s">
        <v>24</v>
      </c>
      <c r="G94">
        <v>11.2</v>
      </c>
    </row>
    <row r="95" spans="1:7" x14ac:dyDescent="0.25">
      <c r="A95" t="s">
        <v>122</v>
      </c>
      <c r="B95" s="1">
        <v>45742</v>
      </c>
      <c r="C95" t="s">
        <v>41</v>
      </c>
      <c r="D95" t="s">
        <v>31</v>
      </c>
      <c r="E95" t="s">
        <v>32</v>
      </c>
      <c r="F95" t="s">
        <v>17</v>
      </c>
      <c r="G95">
        <v>14.7</v>
      </c>
    </row>
    <row r="96" spans="1:7" x14ac:dyDescent="0.25">
      <c r="A96" t="s">
        <v>123</v>
      </c>
      <c r="B96" s="1">
        <v>45997</v>
      </c>
      <c r="C96" t="s">
        <v>8</v>
      </c>
      <c r="D96" t="s">
        <v>9</v>
      </c>
      <c r="E96" t="s">
        <v>10</v>
      </c>
      <c r="F96" t="s">
        <v>14</v>
      </c>
      <c r="G96">
        <v>3.5</v>
      </c>
    </row>
    <row r="97" spans="1:7" x14ac:dyDescent="0.25">
      <c r="A97" t="s">
        <v>124</v>
      </c>
      <c r="B97" s="1">
        <v>45683</v>
      </c>
      <c r="C97" t="s">
        <v>27</v>
      </c>
      <c r="D97" t="s">
        <v>19</v>
      </c>
      <c r="E97" t="s">
        <v>20</v>
      </c>
      <c r="F97" t="s">
        <v>24</v>
      </c>
      <c r="G97">
        <v>4.5999999999999996</v>
      </c>
    </row>
    <row r="98" spans="1:7" x14ac:dyDescent="0.25">
      <c r="A98" t="s">
        <v>125</v>
      </c>
      <c r="B98" s="1">
        <v>45852</v>
      </c>
      <c r="C98" t="s">
        <v>27</v>
      </c>
      <c r="D98" t="s">
        <v>19</v>
      </c>
      <c r="E98" t="s">
        <v>20</v>
      </c>
      <c r="F98" t="s">
        <v>11</v>
      </c>
      <c r="G98">
        <v>13.6</v>
      </c>
    </row>
    <row r="99" spans="1:7" x14ac:dyDescent="0.25">
      <c r="A99" t="s">
        <v>126</v>
      </c>
      <c r="B99" s="1">
        <v>45934</v>
      </c>
      <c r="C99" t="s">
        <v>8</v>
      </c>
      <c r="D99" t="s">
        <v>36</v>
      </c>
      <c r="E99" t="s">
        <v>37</v>
      </c>
      <c r="F99" t="s">
        <v>21</v>
      </c>
      <c r="G99">
        <v>10.9</v>
      </c>
    </row>
    <row r="100" spans="1:7" x14ac:dyDescent="0.25">
      <c r="A100" t="s">
        <v>127</v>
      </c>
      <c r="B100" s="1">
        <v>45991</v>
      </c>
      <c r="C100" t="s">
        <v>8</v>
      </c>
      <c r="D100" t="s">
        <v>9</v>
      </c>
      <c r="E100" t="s">
        <v>10</v>
      </c>
      <c r="F100" t="s">
        <v>21</v>
      </c>
      <c r="G100">
        <v>4.4000000000000004</v>
      </c>
    </row>
    <row r="101" spans="1:7" x14ac:dyDescent="0.25">
      <c r="A101" t="s">
        <v>128</v>
      </c>
      <c r="B101" s="1">
        <v>45736</v>
      </c>
      <c r="C101" t="s">
        <v>23</v>
      </c>
      <c r="D101" t="s">
        <v>31</v>
      </c>
      <c r="E101" t="s">
        <v>32</v>
      </c>
      <c r="F101" t="s">
        <v>28</v>
      </c>
      <c r="G101">
        <v>11.2</v>
      </c>
    </row>
    <row r="102" spans="1:7" x14ac:dyDescent="0.25">
      <c r="A102" t="s">
        <v>129</v>
      </c>
      <c r="B102" s="1">
        <v>45769</v>
      </c>
      <c r="C102" t="s">
        <v>41</v>
      </c>
      <c r="D102" t="s">
        <v>36</v>
      </c>
      <c r="E102" t="s">
        <v>37</v>
      </c>
      <c r="F102" t="s">
        <v>24</v>
      </c>
      <c r="G102">
        <v>3.9</v>
      </c>
    </row>
    <row r="103" spans="1:7" x14ac:dyDescent="0.25">
      <c r="A103" t="s">
        <v>130</v>
      </c>
      <c r="B103" s="1">
        <v>45716</v>
      </c>
      <c r="C103" t="s">
        <v>23</v>
      </c>
      <c r="D103" t="s">
        <v>36</v>
      </c>
      <c r="E103" t="s">
        <v>37</v>
      </c>
      <c r="F103" t="s">
        <v>33</v>
      </c>
      <c r="G103">
        <v>9.9</v>
      </c>
    </row>
    <row r="104" spans="1:7" x14ac:dyDescent="0.25">
      <c r="A104" t="s">
        <v>131</v>
      </c>
      <c r="B104" s="1">
        <v>45952</v>
      </c>
      <c r="C104" t="s">
        <v>41</v>
      </c>
      <c r="D104" t="s">
        <v>19</v>
      </c>
      <c r="E104" t="s">
        <v>20</v>
      </c>
      <c r="F104" t="s">
        <v>21</v>
      </c>
      <c r="G104">
        <v>2.6</v>
      </c>
    </row>
    <row r="105" spans="1:7" x14ac:dyDescent="0.25">
      <c r="A105" t="s">
        <v>132</v>
      </c>
      <c r="B105" s="1">
        <v>45979</v>
      </c>
      <c r="C105" t="s">
        <v>23</v>
      </c>
      <c r="D105" t="s">
        <v>9</v>
      </c>
      <c r="E105" t="s">
        <v>10</v>
      </c>
      <c r="F105" t="s">
        <v>11</v>
      </c>
      <c r="G105">
        <v>13.8</v>
      </c>
    </row>
    <row r="106" spans="1:7" x14ac:dyDescent="0.25">
      <c r="A106" t="s">
        <v>133</v>
      </c>
      <c r="B106" s="1">
        <v>45719</v>
      </c>
      <c r="C106" t="s">
        <v>13</v>
      </c>
      <c r="D106" t="s">
        <v>9</v>
      </c>
      <c r="E106" t="s">
        <v>10</v>
      </c>
      <c r="F106" t="s">
        <v>24</v>
      </c>
      <c r="G106">
        <v>9.1999999999999993</v>
      </c>
    </row>
    <row r="107" spans="1:7" x14ac:dyDescent="0.25">
      <c r="A107" t="s">
        <v>134</v>
      </c>
      <c r="B107" s="1">
        <v>45693</v>
      </c>
      <c r="C107" t="s">
        <v>13</v>
      </c>
      <c r="D107" t="s">
        <v>36</v>
      </c>
      <c r="E107" t="s">
        <v>37</v>
      </c>
      <c r="F107" t="s">
        <v>17</v>
      </c>
      <c r="G107">
        <v>13.8</v>
      </c>
    </row>
    <row r="108" spans="1:7" x14ac:dyDescent="0.25">
      <c r="A108" t="s">
        <v>135</v>
      </c>
      <c r="B108" s="1">
        <v>45712</v>
      </c>
      <c r="C108" t="s">
        <v>41</v>
      </c>
      <c r="D108" t="s">
        <v>36</v>
      </c>
      <c r="E108" t="s">
        <v>37</v>
      </c>
      <c r="F108" t="s">
        <v>28</v>
      </c>
      <c r="G108">
        <v>11.8</v>
      </c>
    </row>
    <row r="109" spans="1:7" x14ac:dyDescent="0.25">
      <c r="A109" t="s">
        <v>136</v>
      </c>
      <c r="B109" s="1">
        <v>45925</v>
      </c>
      <c r="C109" t="s">
        <v>27</v>
      </c>
      <c r="D109" t="s">
        <v>16</v>
      </c>
      <c r="E109" t="s">
        <v>16</v>
      </c>
      <c r="F109" t="s">
        <v>28</v>
      </c>
      <c r="G109">
        <v>8.1999999999999993</v>
      </c>
    </row>
    <row r="110" spans="1:7" x14ac:dyDescent="0.25">
      <c r="A110" t="s">
        <v>137</v>
      </c>
      <c r="B110" s="1">
        <v>45961</v>
      </c>
      <c r="C110" t="s">
        <v>27</v>
      </c>
      <c r="D110" t="s">
        <v>36</v>
      </c>
      <c r="E110" t="s">
        <v>37</v>
      </c>
      <c r="F110" t="s">
        <v>21</v>
      </c>
      <c r="G110">
        <v>13.5</v>
      </c>
    </row>
    <row r="111" spans="1:7" x14ac:dyDescent="0.25">
      <c r="A111" t="s">
        <v>138</v>
      </c>
      <c r="B111" s="1">
        <v>45888</v>
      </c>
      <c r="C111" t="s">
        <v>23</v>
      </c>
      <c r="D111" t="s">
        <v>19</v>
      </c>
      <c r="E111" t="s">
        <v>20</v>
      </c>
      <c r="F111" t="s">
        <v>14</v>
      </c>
      <c r="G111">
        <v>6.4</v>
      </c>
    </row>
    <row r="112" spans="1:7" x14ac:dyDescent="0.25">
      <c r="A112" t="s">
        <v>139</v>
      </c>
      <c r="B112" s="1">
        <v>45824</v>
      </c>
      <c r="C112" t="s">
        <v>23</v>
      </c>
      <c r="D112" t="s">
        <v>19</v>
      </c>
      <c r="E112" t="s">
        <v>20</v>
      </c>
      <c r="F112" t="s">
        <v>21</v>
      </c>
      <c r="G112">
        <v>6.6</v>
      </c>
    </row>
    <row r="113" spans="1:7" x14ac:dyDescent="0.25">
      <c r="A113" t="s">
        <v>140</v>
      </c>
      <c r="B113" s="1">
        <v>45801</v>
      </c>
      <c r="C113" t="s">
        <v>13</v>
      </c>
      <c r="D113" t="s">
        <v>36</v>
      </c>
      <c r="E113" t="s">
        <v>37</v>
      </c>
      <c r="F113" t="s">
        <v>17</v>
      </c>
      <c r="G113">
        <v>9</v>
      </c>
    </row>
    <row r="114" spans="1:7" x14ac:dyDescent="0.25">
      <c r="A114" t="s">
        <v>141</v>
      </c>
      <c r="B114" s="1">
        <v>45781</v>
      </c>
      <c r="C114" t="s">
        <v>41</v>
      </c>
      <c r="D114" t="s">
        <v>19</v>
      </c>
      <c r="E114" t="s">
        <v>20</v>
      </c>
      <c r="F114" t="s">
        <v>21</v>
      </c>
      <c r="G114">
        <v>11.5</v>
      </c>
    </row>
    <row r="115" spans="1:7" x14ac:dyDescent="0.25">
      <c r="A115" t="s">
        <v>142</v>
      </c>
      <c r="B115" s="1">
        <v>45909</v>
      </c>
      <c r="C115" t="s">
        <v>41</v>
      </c>
      <c r="D115" t="s">
        <v>9</v>
      </c>
      <c r="E115" t="s">
        <v>10</v>
      </c>
      <c r="F115" t="s">
        <v>33</v>
      </c>
      <c r="G115">
        <v>5.8</v>
      </c>
    </row>
    <row r="116" spans="1:7" x14ac:dyDescent="0.25">
      <c r="A116" t="s">
        <v>143</v>
      </c>
      <c r="B116" s="1">
        <v>45782</v>
      </c>
      <c r="C116" t="s">
        <v>27</v>
      </c>
      <c r="D116" t="s">
        <v>16</v>
      </c>
      <c r="E116" t="s">
        <v>16</v>
      </c>
      <c r="F116" t="s">
        <v>24</v>
      </c>
      <c r="G116">
        <v>8.4</v>
      </c>
    </row>
    <row r="117" spans="1:7" x14ac:dyDescent="0.25">
      <c r="A117" t="s">
        <v>144</v>
      </c>
      <c r="B117" s="1">
        <v>45875</v>
      </c>
      <c r="C117" t="s">
        <v>13</v>
      </c>
      <c r="D117" t="s">
        <v>36</v>
      </c>
      <c r="E117" t="s">
        <v>37</v>
      </c>
      <c r="F117" t="s">
        <v>24</v>
      </c>
      <c r="G117">
        <v>11.7</v>
      </c>
    </row>
    <row r="118" spans="1:7" x14ac:dyDescent="0.25">
      <c r="A118" t="s">
        <v>145</v>
      </c>
      <c r="B118" s="1">
        <v>45786</v>
      </c>
      <c r="C118" t="s">
        <v>23</v>
      </c>
      <c r="D118" t="s">
        <v>9</v>
      </c>
      <c r="E118" t="s">
        <v>10</v>
      </c>
      <c r="F118" t="s">
        <v>21</v>
      </c>
      <c r="G118">
        <v>6.1</v>
      </c>
    </row>
    <row r="119" spans="1:7" x14ac:dyDescent="0.25">
      <c r="A119" t="s">
        <v>146</v>
      </c>
      <c r="B119" s="1">
        <v>46011</v>
      </c>
      <c r="C119" t="s">
        <v>23</v>
      </c>
      <c r="D119" t="s">
        <v>31</v>
      </c>
      <c r="E119" t="s">
        <v>32</v>
      </c>
      <c r="F119" t="s">
        <v>21</v>
      </c>
      <c r="G119">
        <v>12.2</v>
      </c>
    </row>
    <row r="120" spans="1:7" x14ac:dyDescent="0.25">
      <c r="A120" t="s">
        <v>147</v>
      </c>
      <c r="B120" s="1">
        <v>45959</v>
      </c>
      <c r="C120" t="s">
        <v>13</v>
      </c>
      <c r="D120" t="s">
        <v>16</v>
      </c>
      <c r="E120" t="s">
        <v>16</v>
      </c>
      <c r="F120" t="s">
        <v>11</v>
      </c>
      <c r="G120">
        <v>15.7</v>
      </c>
    </row>
    <row r="121" spans="1:7" x14ac:dyDescent="0.25">
      <c r="A121" t="s">
        <v>148</v>
      </c>
      <c r="B121" s="1">
        <v>45809</v>
      </c>
      <c r="C121" t="s">
        <v>23</v>
      </c>
      <c r="D121" t="s">
        <v>36</v>
      </c>
      <c r="E121" t="s">
        <v>37</v>
      </c>
      <c r="F121" t="s">
        <v>39</v>
      </c>
      <c r="G121">
        <v>5.9</v>
      </c>
    </row>
    <row r="122" spans="1:7" x14ac:dyDescent="0.25">
      <c r="A122" t="s">
        <v>149</v>
      </c>
      <c r="B122" s="1">
        <v>45722</v>
      </c>
      <c r="C122" t="s">
        <v>27</v>
      </c>
      <c r="D122" t="s">
        <v>9</v>
      </c>
      <c r="E122" t="s">
        <v>10</v>
      </c>
      <c r="F122" t="s">
        <v>17</v>
      </c>
      <c r="G122">
        <v>9.5</v>
      </c>
    </row>
    <row r="123" spans="1:7" x14ac:dyDescent="0.25">
      <c r="A123" t="s">
        <v>150</v>
      </c>
      <c r="B123" s="1">
        <v>45722</v>
      </c>
      <c r="C123" t="s">
        <v>41</v>
      </c>
      <c r="D123" t="s">
        <v>9</v>
      </c>
      <c r="E123" t="s">
        <v>10</v>
      </c>
      <c r="F123" t="s">
        <v>17</v>
      </c>
      <c r="G123">
        <v>9.8000000000000007</v>
      </c>
    </row>
    <row r="124" spans="1:7" x14ac:dyDescent="0.25">
      <c r="A124" t="s">
        <v>151</v>
      </c>
      <c r="B124" s="1">
        <v>45883</v>
      </c>
      <c r="C124" t="s">
        <v>27</v>
      </c>
      <c r="D124" t="s">
        <v>31</v>
      </c>
      <c r="E124" t="s">
        <v>32</v>
      </c>
      <c r="F124" t="s">
        <v>17</v>
      </c>
      <c r="G124">
        <v>5.2</v>
      </c>
    </row>
    <row r="125" spans="1:7" x14ac:dyDescent="0.25">
      <c r="A125" t="s">
        <v>152</v>
      </c>
      <c r="B125" s="1">
        <v>45716</v>
      </c>
      <c r="C125" t="s">
        <v>8</v>
      </c>
      <c r="D125" t="s">
        <v>19</v>
      </c>
      <c r="E125" t="s">
        <v>20</v>
      </c>
      <c r="F125" t="s">
        <v>28</v>
      </c>
      <c r="G125">
        <v>2.6</v>
      </c>
    </row>
    <row r="126" spans="1:7" x14ac:dyDescent="0.25">
      <c r="A126" t="s">
        <v>153</v>
      </c>
      <c r="B126" s="1">
        <v>45685</v>
      </c>
      <c r="C126" t="s">
        <v>23</v>
      </c>
      <c r="D126" t="s">
        <v>31</v>
      </c>
      <c r="E126" t="s">
        <v>32</v>
      </c>
      <c r="F126" t="s">
        <v>11</v>
      </c>
      <c r="G126">
        <v>2.7</v>
      </c>
    </row>
    <row r="127" spans="1:7" x14ac:dyDescent="0.25">
      <c r="A127" t="s">
        <v>154</v>
      </c>
      <c r="B127" s="1">
        <v>45943</v>
      </c>
      <c r="C127" t="s">
        <v>41</v>
      </c>
      <c r="D127" t="s">
        <v>16</v>
      </c>
      <c r="E127" t="s">
        <v>16</v>
      </c>
      <c r="F127" t="s">
        <v>21</v>
      </c>
      <c r="G127">
        <v>12.7</v>
      </c>
    </row>
    <row r="128" spans="1:7" x14ac:dyDescent="0.25">
      <c r="A128" t="s">
        <v>155</v>
      </c>
      <c r="B128" s="1">
        <v>45884</v>
      </c>
      <c r="C128" t="s">
        <v>27</v>
      </c>
      <c r="D128" t="s">
        <v>16</v>
      </c>
      <c r="E128" t="s">
        <v>16</v>
      </c>
      <c r="F128" t="s">
        <v>14</v>
      </c>
      <c r="G128">
        <v>5.9</v>
      </c>
    </row>
    <row r="129" spans="1:7" x14ac:dyDescent="0.25">
      <c r="A129" t="s">
        <v>156</v>
      </c>
      <c r="B129" s="1">
        <v>45970</v>
      </c>
      <c r="C129" t="s">
        <v>8</v>
      </c>
      <c r="D129" t="s">
        <v>31</v>
      </c>
      <c r="E129" t="s">
        <v>32</v>
      </c>
      <c r="F129" t="s">
        <v>21</v>
      </c>
      <c r="G129">
        <v>5.3</v>
      </c>
    </row>
    <row r="130" spans="1:7" x14ac:dyDescent="0.25">
      <c r="A130" t="s">
        <v>157</v>
      </c>
      <c r="B130" s="1">
        <v>45780</v>
      </c>
      <c r="C130" t="s">
        <v>23</v>
      </c>
      <c r="D130" t="s">
        <v>16</v>
      </c>
      <c r="E130" t="s">
        <v>16</v>
      </c>
      <c r="F130" t="s">
        <v>33</v>
      </c>
      <c r="G130">
        <v>3.8</v>
      </c>
    </row>
    <row r="131" spans="1:7" x14ac:dyDescent="0.25">
      <c r="A131" t="s">
        <v>158</v>
      </c>
      <c r="B131" s="1">
        <v>46010</v>
      </c>
      <c r="C131" t="s">
        <v>13</v>
      </c>
      <c r="D131" t="s">
        <v>19</v>
      </c>
      <c r="E131" t="s">
        <v>20</v>
      </c>
      <c r="F131" t="s">
        <v>11</v>
      </c>
      <c r="G131">
        <v>2</v>
      </c>
    </row>
    <row r="132" spans="1:7" x14ac:dyDescent="0.25">
      <c r="A132" t="s">
        <v>159</v>
      </c>
      <c r="B132" s="1">
        <v>45802</v>
      </c>
      <c r="C132" t="s">
        <v>41</v>
      </c>
      <c r="D132" t="s">
        <v>9</v>
      </c>
      <c r="E132" t="s">
        <v>10</v>
      </c>
      <c r="F132" t="s">
        <v>21</v>
      </c>
      <c r="G132">
        <v>14.9</v>
      </c>
    </row>
    <row r="133" spans="1:7" x14ac:dyDescent="0.25">
      <c r="A133" t="s">
        <v>160</v>
      </c>
      <c r="B133" s="1">
        <v>45978</v>
      </c>
      <c r="C133" t="s">
        <v>13</v>
      </c>
      <c r="D133" t="s">
        <v>31</v>
      </c>
      <c r="E133" t="s">
        <v>32</v>
      </c>
      <c r="F133" t="s">
        <v>14</v>
      </c>
      <c r="G133">
        <v>3.2</v>
      </c>
    </row>
    <row r="134" spans="1:7" x14ac:dyDescent="0.25">
      <c r="A134" t="s">
        <v>161</v>
      </c>
      <c r="B134" s="1">
        <v>45734</v>
      </c>
      <c r="C134" t="s">
        <v>27</v>
      </c>
      <c r="D134" t="s">
        <v>31</v>
      </c>
      <c r="E134" t="s">
        <v>32</v>
      </c>
      <c r="F134" t="s">
        <v>33</v>
      </c>
      <c r="G134">
        <v>2.4</v>
      </c>
    </row>
    <row r="135" spans="1:7" x14ac:dyDescent="0.25">
      <c r="A135" t="s">
        <v>162</v>
      </c>
      <c r="B135" s="1">
        <v>45962</v>
      </c>
      <c r="C135" t="s">
        <v>13</v>
      </c>
      <c r="D135" t="s">
        <v>36</v>
      </c>
      <c r="E135" t="s">
        <v>37</v>
      </c>
      <c r="F135" t="s">
        <v>28</v>
      </c>
      <c r="G135">
        <v>3.3</v>
      </c>
    </row>
    <row r="136" spans="1:7" x14ac:dyDescent="0.25">
      <c r="A136" t="s">
        <v>163</v>
      </c>
      <c r="B136" s="1">
        <v>46016</v>
      </c>
      <c r="C136" t="s">
        <v>41</v>
      </c>
      <c r="D136" t="s">
        <v>36</v>
      </c>
      <c r="E136" t="s">
        <v>37</v>
      </c>
      <c r="F136" t="s">
        <v>28</v>
      </c>
      <c r="G136">
        <v>7.8</v>
      </c>
    </row>
    <row r="137" spans="1:7" x14ac:dyDescent="0.25">
      <c r="A137" t="s">
        <v>164</v>
      </c>
      <c r="B137" s="1">
        <v>45879</v>
      </c>
      <c r="C137" t="s">
        <v>27</v>
      </c>
      <c r="D137" t="s">
        <v>16</v>
      </c>
      <c r="E137" t="s">
        <v>16</v>
      </c>
      <c r="F137" t="s">
        <v>11</v>
      </c>
      <c r="G137">
        <v>1.9</v>
      </c>
    </row>
    <row r="138" spans="1:7" x14ac:dyDescent="0.25">
      <c r="A138" t="s">
        <v>165</v>
      </c>
      <c r="B138" s="1">
        <v>46003</v>
      </c>
      <c r="C138" t="s">
        <v>13</v>
      </c>
      <c r="D138" t="s">
        <v>16</v>
      </c>
      <c r="E138" t="s">
        <v>16</v>
      </c>
      <c r="F138" t="s">
        <v>17</v>
      </c>
      <c r="G138">
        <v>16</v>
      </c>
    </row>
    <row r="139" spans="1:7" x14ac:dyDescent="0.25">
      <c r="A139" t="s">
        <v>166</v>
      </c>
      <c r="B139" s="1">
        <v>45795</v>
      </c>
      <c r="C139" t="s">
        <v>13</v>
      </c>
      <c r="D139" t="s">
        <v>9</v>
      </c>
      <c r="E139" t="s">
        <v>10</v>
      </c>
      <c r="F139" t="s">
        <v>39</v>
      </c>
      <c r="G139">
        <v>8.3000000000000007</v>
      </c>
    </row>
    <row r="140" spans="1:7" x14ac:dyDescent="0.25">
      <c r="A140" t="s">
        <v>167</v>
      </c>
      <c r="B140" s="1">
        <v>45800</v>
      </c>
      <c r="C140" t="s">
        <v>23</v>
      </c>
      <c r="D140" t="s">
        <v>16</v>
      </c>
      <c r="E140" t="s">
        <v>16</v>
      </c>
      <c r="F140" t="s">
        <v>14</v>
      </c>
      <c r="G140">
        <v>10.7</v>
      </c>
    </row>
    <row r="141" spans="1:7" x14ac:dyDescent="0.25">
      <c r="A141" t="s">
        <v>168</v>
      </c>
      <c r="B141" s="1">
        <v>45704</v>
      </c>
      <c r="C141" t="s">
        <v>41</v>
      </c>
      <c r="D141" t="s">
        <v>36</v>
      </c>
      <c r="E141" t="s">
        <v>37</v>
      </c>
      <c r="F141" t="s">
        <v>14</v>
      </c>
      <c r="G141">
        <v>6.3</v>
      </c>
    </row>
    <row r="142" spans="1:7" x14ac:dyDescent="0.25">
      <c r="A142" t="s">
        <v>169</v>
      </c>
      <c r="B142" s="1">
        <v>45740</v>
      </c>
      <c r="C142" t="s">
        <v>27</v>
      </c>
      <c r="D142" t="s">
        <v>19</v>
      </c>
      <c r="E142" t="s">
        <v>20</v>
      </c>
      <c r="F142" t="s">
        <v>28</v>
      </c>
      <c r="G142">
        <v>5.7</v>
      </c>
    </row>
    <row r="143" spans="1:7" x14ac:dyDescent="0.25">
      <c r="A143" t="s">
        <v>170</v>
      </c>
      <c r="B143" s="1">
        <v>45939</v>
      </c>
      <c r="C143" t="s">
        <v>8</v>
      </c>
      <c r="D143" t="s">
        <v>19</v>
      </c>
      <c r="E143" t="s">
        <v>20</v>
      </c>
      <c r="F143" t="s">
        <v>33</v>
      </c>
      <c r="G143">
        <v>6.1</v>
      </c>
    </row>
    <row r="144" spans="1:7" x14ac:dyDescent="0.25">
      <c r="A144" t="s">
        <v>171</v>
      </c>
      <c r="B144" s="1">
        <v>45864</v>
      </c>
      <c r="C144" t="s">
        <v>13</v>
      </c>
      <c r="D144" t="s">
        <v>9</v>
      </c>
      <c r="E144" t="s">
        <v>10</v>
      </c>
      <c r="F144" t="s">
        <v>28</v>
      </c>
      <c r="G144">
        <v>7.5</v>
      </c>
    </row>
    <row r="145" spans="1:7" x14ac:dyDescent="0.25">
      <c r="A145" t="s">
        <v>172</v>
      </c>
      <c r="B145" s="1">
        <v>45843</v>
      </c>
      <c r="C145" t="s">
        <v>13</v>
      </c>
      <c r="D145" t="s">
        <v>19</v>
      </c>
      <c r="E145" t="s">
        <v>20</v>
      </c>
      <c r="F145" t="s">
        <v>28</v>
      </c>
      <c r="G145">
        <v>12.5</v>
      </c>
    </row>
    <row r="146" spans="1:7" x14ac:dyDescent="0.25">
      <c r="A146" t="s">
        <v>173</v>
      </c>
      <c r="B146" s="1">
        <v>45939</v>
      </c>
      <c r="C146" t="s">
        <v>23</v>
      </c>
      <c r="D146" t="s">
        <v>36</v>
      </c>
      <c r="E146" t="s">
        <v>37</v>
      </c>
      <c r="F146" t="s">
        <v>28</v>
      </c>
      <c r="G146">
        <v>14.3</v>
      </c>
    </row>
    <row r="147" spans="1:7" x14ac:dyDescent="0.25">
      <c r="A147" t="s">
        <v>174</v>
      </c>
      <c r="B147" s="1">
        <v>45672</v>
      </c>
      <c r="C147" t="s">
        <v>13</v>
      </c>
      <c r="D147" t="s">
        <v>31</v>
      </c>
      <c r="E147" t="s">
        <v>32</v>
      </c>
      <c r="F147" t="s">
        <v>39</v>
      </c>
      <c r="G147">
        <v>6</v>
      </c>
    </row>
    <row r="148" spans="1:7" x14ac:dyDescent="0.25">
      <c r="A148" t="s">
        <v>175</v>
      </c>
      <c r="B148" s="1">
        <v>45866</v>
      </c>
      <c r="C148" t="s">
        <v>8</v>
      </c>
      <c r="D148" t="s">
        <v>31</v>
      </c>
      <c r="E148" t="s">
        <v>32</v>
      </c>
      <c r="F148" t="s">
        <v>33</v>
      </c>
      <c r="G148">
        <v>8.1999999999999993</v>
      </c>
    </row>
    <row r="149" spans="1:7" x14ac:dyDescent="0.25">
      <c r="A149" t="s">
        <v>176</v>
      </c>
      <c r="B149" s="1">
        <v>45736</v>
      </c>
      <c r="C149" t="s">
        <v>41</v>
      </c>
      <c r="D149" t="s">
        <v>36</v>
      </c>
      <c r="E149" t="s">
        <v>37</v>
      </c>
      <c r="F149" t="s">
        <v>11</v>
      </c>
      <c r="G149">
        <v>7.5</v>
      </c>
    </row>
    <row r="150" spans="1:7" x14ac:dyDescent="0.25">
      <c r="A150" t="s">
        <v>177</v>
      </c>
      <c r="B150" s="1">
        <v>45899</v>
      </c>
      <c r="C150" t="s">
        <v>23</v>
      </c>
      <c r="D150" t="s">
        <v>19</v>
      </c>
      <c r="E150" t="s">
        <v>20</v>
      </c>
      <c r="F150" t="s">
        <v>39</v>
      </c>
      <c r="G150">
        <v>7.1</v>
      </c>
    </row>
    <row r="151" spans="1:7" x14ac:dyDescent="0.25">
      <c r="A151" t="s">
        <v>178</v>
      </c>
      <c r="B151" s="1">
        <v>45918</v>
      </c>
      <c r="C151" t="s">
        <v>23</v>
      </c>
      <c r="D151" t="s">
        <v>9</v>
      </c>
      <c r="E151" t="s">
        <v>10</v>
      </c>
      <c r="F151" t="s">
        <v>11</v>
      </c>
      <c r="G151">
        <v>12.7</v>
      </c>
    </row>
    <row r="152" spans="1:7" x14ac:dyDescent="0.25">
      <c r="A152" t="s">
        <v>179</v>
      </c>
      <c r="B152" s="1">
        <v>45832</v>
      </c>
      <c r="C152" t="s">
        <v>13</v>
      </c>
      <c r="D152" t="s">
        <v>36</v>
      </c>
      <c r="E152" t="s">
        <v>37</v>
      </c>
      <c r="F152" t="s">
        <v>17</v>
      </c>
      <c r="G152">
        <v>5.6</v>
      </c>
    </row>
    <row r="153" spans="1:7" x14ac:dyDescent="0.25">
      <c r="A153" t="s">
        <v>180</v>
      </c>
      <c r="B153" s="1">
        <v>45958</v>
      </c>
      <c r="C153" t="s">
        <v>13</v>
      </c>
      <c r="D153" t="s">
        <v>19</v>
      </c>
      <c r="E153" t="s">
        <v>20</v>
      </c>
      <c r="F153" t="s">
        <v>39</v>
      </c>
      <c r="G153">
        <v>8</v>
      </c>
    </row>
    <row r="154" spans="1:7" x14ac:dyDescent="0.25">
      <c r="A154" t="s">
        <v>181</v>
      </c>
      <c r="B154" s="1">
        <v>45828</v>
      </c>
      <c r="C154" t="s">
        <v>13</v>
      </c>
      <c r="D154" t="s">
        <v>16</v>
      </c>
      <c r="E154" t="s">
        <v>16</v>
      </c>
      <c r="F154" t="s">
        <v>14</v>
      </c>
      <c r="G154">
        <v>8.1</v>
      </c>
    </row>
    <row r="155" spans="1:7" x14ac:dyDescent="0.25">
      <c r="A155" t="s">
        <v>182</v>
      </c>
      <c r="B155" s="1">
        <v>45754</v>
      </c>
      <c r="C155" t="s">
        <v>23</v>
      </c>
      <c r="D155" t="s">
        <v>16</v>
      </c>
      <c r="E155" t="s">
        <v>16</v>
      </c>
      <c r="F155" t="s">
        <v>14</v>
      </c>
      <c r="G155">
        <v>4.9000000000000004</v>
      </c>
    </row>
    <row r="156" spans="1:7" x14ac:dyDescent="0.25">
      <c r="A156" t="s">
        <v>183</v>
      </c>
      <c r="B156" s="1">
        <v>45680</v>
      </c>
      <c r="C156" t="s">
        <v>27</v>
      </c>
      <c r="D156" t="s">
        <v>19</v>
      </c>
      <c r="E156" t="s">
        <v>20</v>
      </c>
      <c r="F156" t="s">
        <v>14</v>
      </c>
      <c r="G156">
        <v>7.1</v>
      </c>
    </row>
    <row r="157" spans="1:7" x14ac:dyDescent="0.25">
      <c r="A157" t="s">
        <v>184</v>
      </c>
      <c r="B157" s="1">
        <v>45991</v>
      </c>
      <c r="C157" t="s">
        <v>23</v>
      </c>
      <c r="D157" t="s">
        <v>19</v>
      </c>
      <c r="E157" t="s">
        <v>20</v>
      </c>
      <c r="F157" t="s">
        <v>17</v>
      </c>
      <c r="G157">
        <v>3.3</v>
      </c>
    </row>
    <row r="158" spans="1:7" x14ac:dyDescent="0.25">
      <c r="A158" t="s">
        <v>185</v>
      </c>
      <c r="B158" s="1">
        <v>45827</v>
      </c>
      <c r="C158" t="s">
        <v>8</v>
      </c>
      <c r="D158" t="s">
        <v>19</v>
      </c>
      <c r="E158" t="s">
        <v>20</v>
      </c>
      <c r="F158" t="s">
        <v>33</v>
      </c>
      <c r="G158">
        <v>9.1</v>
      </c>
    </row>
    <row r="159" spans="1:7" x14ac:dyDescent="0.25">
      <c r="A159" t="s">
        <v>186</v>
      </c>
      <c r="B159" s="1">
        <v>45731</v>
      </c>
      <c r="C159" t="s">
        <v>41</v>
      </c>
      <c r="D159" t="s">
        <v>31</v>
      </c>
      <c r="E159" t="s">
        <v>32</v>
      </c>
      <c r="F159" t="s">
        <v>33</v>
      </c>
      <c r="G159">
        <v>8.3000000000000007</v>
      </c>
    </row>
    <row r="160" spans="1:7" x14ac:dyDescent="0.25">
      <c r="A160" t="s">
        <v>187</v>
      </c>
      <c r="B160" s="1">
        <v>45831</v>
      </c>
      <c r="C160" t="s">
        <v>13</v>
      </c>
      <c r="D160" t="s">
        <v>19</v>
      </c>
      <c r="E160" t="s">
        <v>20</v>
      </c>
      <c r="F160" t="s">
        <v>33</v>
      </c>
      <c r="G160">
        <v>13.9</v>
      </c>
    </row>
    <row r="161" spans="1:7" x14ac:dyDescent="0.25">
      <c r="A161" t="s">
        <v>188</v>
      </c>
      <c r="B161" s="1">
        <v>45931</v>
      </c>
      <c r="C161" t="s">
        <v>41</v>
      </c>
      <c r="D161" t="s">
        <v>36</v>
      </c>
      <c r="E161" t="s">
        <v>37</v>
      </c>
      <c r="F161" t="s">
        <v>28</v>
      </c>
      <c r="G161">
        <v>14.1</v>
      </c>
    </row>
    <row r="162" spans="1:7" x14ac:dyDescent="0.25">
      <c r="A162" t="s">
        <v>189</v>
      </c>
      <c r="B162" s="1">
        <v>45693</v>
      </c>
      <c r="C162" t="s">
        <v>23</v>
      </c>
      <c r="D162" t="s">
        <v>36</v>
      </c>
      <c r="E162" t="s">
        <v>37</v>
      </c>
      <c r="F162" t="s">
        <v>21</v>
      </c>
      <c r="G162">
        <v>12.3</v>
      </c>
    </row>
    <row r="163" spans="1:7" x14ac:dyDescent="0.25">
      <c r="A163" t="s">
        <v>190</v>
      </c>
      <c r="B163" s="1">
        <v>45708</v>
      </c>
      <c r="C163" t="s">
        <v>8</v>
      </c>
      <c r="D163" t="s">
        <v>19</v>
      </c>
      <c r="E163" t="s">
        <v>20</v>
      </c>
      <c r="F163" t="s">
        <v>39</v>
      </c>
      <c r="G163">
        <v>11.6</v>
      </c>
    </row>
    <row r="164" spans="1:7" x14ac:dyDescent="0.25">
      <c r="A164" t="s">
        <v>191</v>
      </c>
      <c r="B164" s="1">
        <v>45681</v>
      </c>
      <c r="C164" t="s">
        <v>27</v>
      </c>
      <c r="D164" t="s">
        <v>9</v>
      </c>
      <c r="E164" t="s">
        <v>10</v>
      </c>
      <c r="F164" t="s">
        <v>11</v>
      </c>
      <c r="G164">
        <v>6.7</v>
      </c>
    </row>
    <row r="165" spans="1:7" x14ac:dyDescent="0.25">
      <c r="A165" t="s">
        <v>192</v>
      </c>
      <c r="B165" s="1">
        <v>45783</v>
      </c>
      <c r="C165" t="s">
        <v>13</v>
      </c>
      <c r="D165" t="s">
        <v>19</v>
      </c>
      <c r="E165" t="s">
        <v>20</v>
      </c>
      <c r="F165" t="s">
        <v>39</v>
      </c>
      <c r="G165">
        <v>4</v>
      </c>
    </row>
    <row r="166" spans="1:7" x14ac:dyDescent="0.25">
      <c r="A166" t="s">
        <v>193</v>
      </c>
      <c r="B166" s="1">
        <v>45853</v>
      </c>
      <c r="C166" t="s">
        <v>13</v>
      </c>
      <c r="D166" t="s">
        <v>31</v>
      </c>
      <c r="E166" t="s">
        <v>32</v>
      </c>
      <c r="F166" t="s">
        <v>28</v>
      </c>
      <c r="G166">
        <v>14.7</v>
      </c>
    </row>
    <row r="167" spans="1:7" x14ac:dyDescent="0.25">
      <c r="A167" t="s">
        <v>194</v>
      </c>
      <c r="B167" s="1">
        <v>45894</v>
      </c>
      <c r="C167" t="s">
        <v>27</v>
      </c>
      <c r="D167" t="s">
        <v>19</v>
      </c>
      <c r="E167" t="s">
        <v>20</v>
      </c>
      <c r="F167" t="s">
        <v>11</v>
      </c>
      <c r="G167">
        <v>11.2</v>
      </c>
    </row>
    <row r="168" spans="1:7" x14ac:dyDescent="0.25">
      <c r="A168" t="s">
        <v>195</v>
      </c>
      <c r="B168" s="1">
        <v>45896</v>
      </c>
      <c r="C168" t="s">
        <v>27</v>
      </c>
      <c r="D168" t="s">
        <v>16</v>
      </c>
      <c r="E168" t="s">
        <v>16</v>
      </c>
      <c r="F168" t="s">
        <v>39</v>
      </c>
      <c r="G168">
        <v>2.6</v>
      </c>
    </row>
    <row r="169" spans="1:7" x14ac:dyDescent="0.25">
      <c r="A169" t="s">
        <v>196</v>
      </c>
      <c r="B169" s="1">
        <v>45958</v>
      </c>
      <c r="C169" t="s">
        <v>27</v>
      </c>
      <c r="D169" t="s">
        <v>19</v>
      </c>
      <c r="E169" t="s">
        <v>20</v>
      </c>
      <c r="F169" t="s">
        <v>11</v>
      </c>
      <c r="G169">
        <v>8.1</v>
      </c>
    </row>
    <row r="170" spans="1:7" x14ac:dyDescent="0.25">
      <c r="A170" t="s">
        <v>197</v>
      </c>
      <c r="B170" s="1">
        <v>45854</v>
      </c>
      <c r="C170" t="s">
        <v>41</v>
      </c>
      <c r="D170" t="s">
        <v>9</v>
      </c>
      <c r="E170" t="s">
        <v>10</v>
      </c>
      <c r="F170" t="s">
        <v>21</v>
      </c>
      <c r="G170">
        <v>7</v>
      </c>
    </row>
    <row r="171" spans="1:7" x14ac:dyDescent="0.25">
      <c r="A171" t="s">
        <v>198</v>
      </c>
      <c r="B171" s="1">
        <v>45809</v>
      </c>
      <c r="C171" t="s">
        <v>27</v>
      </c>
      <c r="D171" t="s">
        <v>9</v>
      </c>
      <c r="E171" t="s">
        <v>10</v>
      </c>
      <c r="F171" t="s">
        <v>14</v>
      </c>
      <c r="G171">
        <v>5.5</v>
      </c>
    </row>
    <row r="172" spans="1:7" x14ac:dyDescent="0.25">
      <c r="A172" t="s">
        <v>199</v>
      </c>
      <c r="B172" s="1">
        <v>46009</v>
      </c>
      <c r="C172" t="s">
        <v>8</v>
      </c>
      <c r="D172" t="s">
        <v>16</v>
      </c>
      <c r="E172" t="s">
        <v>16</v>
      </c>
      <c r="F172" t="s">
        <v>28</v>
      </c>
      <c r="G172">
        <v>13.6</v>
      </c>
    </row>
    <row r="173" spans="1:7" x14ac:dyDescent="0.25">
      <c r="A173" t="s">
        <v>200</v>
      </c>
      <c r="B173" s="1">
        <v>45775</v>
      </c>
      <c r="C173" t="s">
        <v>13</v>
      </c>
      <c r="D173" t="s">
        <v>36</v>
      </c>
      <c r="E173" t="s">
        <v>37</v>
      </c>
      <c r="F173" t="s">
        <v>21</v>
      </c>
      <c r="G173">
        <v>10.7</v>
      </c>
    </row>
    <row r="174" spans="1:7" x14ac:dyDescent="0.25">
      <c r="A174" t="s">
        <v>201</v>
      </c>
      <c r="B174" s="1">
        <v>46005</v>
      </c>
      <c r="C174" t="s">
        <v>23</v>
      </c>
      <c r="D174" t="s">
        <v>9</v>
      </c>
      <c r="E174" t="s">
        <v>10</v>
      </c>
      <c r="F174" t="s">
        <v>17</v>
      </c>
      <c r="G174">
        <v>6</v>
      </c>
    </row>
    <row r="175" spans="1:7" x14ac:dyDescent="0.25">
      <c r="A175" t="s">
        <v>202</v>
      </c>
      <c r="B175" s="1">
        <v>45954</v>
      </c>
      <c r="C175" t="s">
        <v>27</v>
      </c>
      <c r="D175" t="s">
        <v>31</v>
      </c>
      <c r="E175" t="s">
        <v>32</v>
      </c>
      <c r="F175" t="s">
        <v>33</v>
      </c>
      <c r="G175">
        <v>14.7</v>
      </c>
    </row>
    <row r="176" spans="1:7" x14ac:dyDescent="0.25">
      <c r="A176" t="s">
        <v>203</v>
      </c>
      <c r="B176" s="1">
        <v>45870</v>
      </c>
      <c r="C176" t="s">
        <v>23</v>
      </c>
      <c r="D176" t="s">
        <v>31</v>
      </c>
      <c r="E176" t="s">
        <v>32</v>
      </c>
      <c r="F176" t="s">
        <v>39</v>
      </c>
      <c r="G176">
        <v>12.9</v>
      </c>
    </row>
    <row r="177" spans="1:7" x14ac:dyDescent="0.25">
      <c r="A177" t="s">
        <v>204</v>
      </c>
      <c r="B177" s="1">
        <v>45845</v>
      </c>
      <c r="C177" t="s">
        <v>13</v>
      </c>
      <c r="D177" t="s">
        <v>16</v>
      </c>
      <c r="E177" t="s">
        <v>16</v>
      </c>
      <c r="F177" t="s">
        <v>11</v>
      </c>
      <c r="G177">
        <v>13.5</v>
      </c>
    </row>
    <row r="178" spans="1:7" x14ac:dyDescent="0.25">
      <c r="A178" t="s">
        <v>205</v>
      </c>
      <c r="B178" s="1">
        <v>45904</v>
      </c>
      <c r="C178" t="s">
        <v>27</v>
      </c>
      <c r="D178" t="s">
        <v>36</v>
      </c>
      <c r="E178" t="s">
        <v>37</v>
      </c>
      <c r="F178" t="s">
        <v>33</v>
      </c>
      <c r="G178">
        <v>8.3000000000000007</v>
      </c>
    </row>
    <row r="179" spans="1:7" x14ac:dyDescent="0.25">
      <c r="A179" t="s">
        <v>206</v>
      </c>
      <c r="B179" s="1">
        <v>45773</v>
      </c>
      <c r="C179" t="s">
        <v>41</v>
      </c>
      <c r="D179" t="s">
        <v>16</v>
      </c>
      <c r="E179" t="s">
        <v>16</v>
      </c>
      <c r="F179" t="s">
        <v>24</v>
      </c>
      <c r="G179">
        <v>2.8</v>
      </c>
    </row>
    <row r="180" spans="1:7" x14ac:dyDescent="0.25">
      <c r="A180" t="s">
        <v>207</v>
      </c>
      <c r="B180" s="1">
        <v>45793</v>
      </c>
      <c r="C180" t="s">
        <v>13</v>
      </c>
      <c r="D180" t="s">
        <v>9</v>
      </c>
      <c r="E180" t="s">
        <v>10</v>
      </c>
      <c r="F180" t="s">
        <v>28</v>
      </c>
      <c r="G180">
        <v>6.8</v>
      </c>
    </row>
    <row r="181" spans="1:7" x14ac:dyDescent="0.25">
      <c r="A181" t="s">
        <v>208</v>
      </c>
      <c r="B181" s="1">
        <v>45792</v>
      </c>
      <c r="C181" t="s">
        <v>13</v>
      </c>
      <c r="D181" t="s">
        <v>19</v>
      </c>
      <c r="E181" t="s">
        <v>20</v>
      </c>
      <c r="F181" t="s">
        <v>24</v>
      </c>
      <c r="G181">
        <v>3.1</v>
      </c>
    </row>
    <row r="182" spans="1:7" x14ac:dyDescent="0.25">
      <c r="A182" t="s">
        <v>209</v>
      </c>
      <c r="B182" s="1">
        <v>45670</v>
      </c>
      <c r="C182" t="s">
        <v>13</v>
      </c>
      <c r="D182" t="s">
        <v>16</v>
      </c>
      <c r="E182" t="s">
        <v>16</v>
      </c>
      <c r="F182" t="s">
        <v>24</v>
      </c>
      <c r="G182">
        <v>14.8</v>
      </c>
    </row>
    <row r="183" spans="1:7" x14ac:dyDescent="0.25">
      <c r="A183" t="s">
        <v>210</v>
      </c>
      <c r="B183" s="1">
        <v>45690</v>
      </c>
      <c r="C183" t="s">
        <v>41</v>
      </c>
      <c r="D183" t="s">
        <v>36</v>
      </c>
      <c r="E183" t="s">
        <v>37</v>
      </c>
      <c r="F183" t="s">
        <v>14</v>
      </c>
      <c r="G183">
        <v>3.2</v>
      </c>
    </row>
    <row r="184" spans="1:7" x14ac:dyDescent="0.25">
      <c r="A184" t="s">
        <v>211</v>
      </c>
      <c r="B184" s="1">
        <v>45677</v>
      </c>
      <c r="C184" t="s">
        <v>27</v>
      </c>
      <c r="D184" t="s">
        <v>19</v>
      </c>
      <c r="E184" t="s">
        <v>20</v>
      </c>
      <c r="F184" t="s">
        <v>33</v>
      </c>
      <c r="G184">
        <v>2.9</v>
      </c>
    </row>
    <row r="185" spans="1:7" x14ac:dyDescent="0.25">
      <c r="A185" t="s">
        <v>212</v>
      </c>
      <c r="B185" s="1">
        <v>45727</v>
      </c>
      <c r="C185" t="s">
        <v>41</v>
      </c>
      <c r="D185" t="s">
        <v>19</v>
      </c>
      <c r="E185" t="s">
        <v>20</v>
      </c>
      <c r="F185" t="s">
        <v>24</v>
      </c>
      <c r="G185">
        <v>11.2</v>
      </c>
    </row>
    <row r="186" spans="1:7" x14ac:dyDescent="0.25">
      <c r="A186" t="s">
        <v>213</v>
      </c>
      <c r="B186" s="1">
        <v>45934</v>
      </c>
      <c r="C186" t="s">
        <v>41</v>
      </c>
      <c r="D186" t="s">
        <v>16</v>
      </c>
      <c r="E186" t="s">
        <v>16</v>
      </c>
      <c r="F186" t="s">
        <v>39</v>
      </c>
      <c r="G186">
        <v>14.3</v>
      </c>
    </row>
    <row r="187" spans="1:7" x14ac:dyDescent="0.25">
      <c r="A187" t="s">
        <v>214</v>
      </c>
      <c r="B187" s="1">
        <v>45908</v>
      </c>
      <c r="C187" t="s">
        <v>13</v>
      </c>
      <c r="D187" t="s">
        <v>19</v>
      </c>
      <c r="E187" t="s">
        <v>20</v>
      </c>
      <c r="F187" t="s">
        <v>11</v>
      </c>
      <c r="G187">
        <v>2</v>
      </c>
    </row>
    <row r="188" spans="1:7" x14ac:dyDescent="0.25">
      <c r="A188" t="s">
        <v>215</v>
      </c>
      <c r="B188" s="1">
        <v>45885</v>
      </c>
      <c r="C188" t="s">
        <v>41</v>
      </c>
      <c r="D188" t="s">
        <v>31</v>
      </c>
      <c r="E188" t="s">
        <v>32</v>
      </c>
      <c r="F188" t="s">
        <v>24</v>
      </c>
      <c r="G188">
        <v>2.9</v>
      </c>
    </row>
    <row r="189" spans="1:7" x14ac:dyDescent="0.25">
      <c r="A189" t="s">
        <v>216</v>
      </c>
      <c r="B189" s="1">
        <v>45936</v>
      </c>
      <c r="C189" t="s">
        <v>27</v>
      </c>
      <c r="D189" t="s">
        <v>9</v>
      </c>
      <c r="E189" t="s">
        <v>10</v>
      </c>
      <c r="F189" t="s">
        <v>14</v>
      </c>
      <c r="G189">
        <v>5.5</v>
      </c>
    </row>
    <row r="190" spans="1:7" x14ac:dyDescent="0.25">
      <c r="A190" t="s">
        <v>217</v>
      </c>
      <c r="B190" s="1">
        <v>45890</v>
      </c>
      <c r="C190" t="s">
        <v>8</v>
      </c>
      <c r="D190" t="s">
        <v>31</v>
      </c>
      <c r="E190" t="s">
        <v>32</v>
      </c>
      <c r="F190" t="s">
        <v>17</v>
      </c>
      <c r="G190">
        <v>2.2000000000000002</v>
      </c>
    </row>
    <row r="191" spans="1:7" x14ac:dyDescent="0.25">
      <c r="A191" t="s">
        <v>218</v>
      </c>
      <c r="B191" s="1">
        <v>45722</v>
      </c>
      <c r="C191" t="s">
        <v>13</v>
      </c>
      <c r="D191" t="s">
        <v>31</v>
      </c>
      <c r="E191" t="s">
        <v>32</v>
      </c>
      <c r="F191" t="s">
        <v>33</v>
      </c>
      <c r="G191">
        <v>13.5</v>
      </c>
    </row>
    <row r="192" spans="1:7" x14ac:dyDescent="0.25">
      <c r="A192" t="s">
        <v>219</v>
      </c>
      <c r="B192" s="1">
        <v>45958</v>
      </c>
      <c r="C192" t="s">
        <v>23</v>
      </c>
      <c r="D192" t="s">
        <v>31</v>
      </c>
      <c r="E192" t="s">
        <v>32</v>
      </c>
      <c r="F192" t="s">
        <v>24</v>
      </c>
      <c r="G192">
        <v>12.7</v>
      </c>
    </row>
    <row r="193" spans="1:7" x14ac:dyDescent="0.25">
      <c r="A193" t="s">
        <v>220</v>
      </c>
      <c r="B193" s="1">
        <v>45963</v>
      </c>
      <c r="C193" t="s">
        <v>8</v>
      </c>
      <c r="D193" t="s">
        <v>36</v>
      </c>
      <c r="E193" t="s">
        <v>37</v>
      </c>
      <c r="F193" t="s">
        <v>39</v>
      </c>
      <c r="G193">
        <v>15.8</v>
      </c>
    </row>
    <row r="194" spans="1:7" x14ac:dyDescent="0.25">
      <c r="A194" t="s">
        <v>221</v>
      </c>
      <c r="B194" s="1">
        <v>45747</v>
      </c>
      <c r="C194" t="s">
        <v>8</v>
      </c>
      <c r="D194" t="s">
        <v>9</v>
      </c>
      <c r="E194" t="s">
        <v>10</v>
      </c>
      <c r="F194" t="s">
        <v>39</v>
      </c>
      <c r="G194">
        <v>1.7</v>
      </c>
    </row>
    <row r="195" spans="1:7" x14ac:dyDescent="0.25">
      <c r="A195" t="s">
        <v>222</v>
      </c>
      <c r="B195" s="1">
        <v>45779</v>
      </c>
      <c r="C195" t="s">
        <v>13</v>
      </c>
      <c r="D195" t="s">
        <v>36</v>
      </c>
      <c r="E195" t="s">
        <v>37</v>
      </c>
      <c r="F195" t="s">
        <v>17</v>
      </c>
      <c r="G195">
        <v>4</v>
      </c>
    </row>
    <row r="196" spans="1:7" x14ac:dyDescent="0.25">
      <c r="A196" t="s">
        <v>223</v>
      </c>
      <c r="B196" s="1">
        <v>45873</v>
      </c>
      <c r="C196" t="s">
        <v>13</v>
      </c>
      <c r="D196" t="s">
        <v>9</v>
      </c>
      <c r="E196" t="s">
        <v>10</v>
      </c>
      <c r="F196" t="s">
        <v>33</v>
      </c>
      <c r="G196">
        <v>8.4</v>
      </c>
    </row>
    <row r="197" spans="1:7" x14ac:dyDescent="0.25">
      <c r="A197" t="s">
        <v>224</v>
      </c>
      <c r="B197" s="1">
        <v>45920</v>
      </c>
      <c r="C197" t="s">
        <v>13</v>
      </c>
      <c r="D197" t="s">
        <v>9</v>
      </c>
      <c r="E197" t="s">
        <v>10</v>
      </c>
      <c r="F197" t="s">
        <v>28</v>
      </c>
      <c r="G197">
        <v>8.8000000000000007</v>
      </c>
    </row>
    <row r="198" spans="1:7" x14ac:dyDescent="0.25">
      <c r="A198" t="s">
        <v>225</v>
      </c>
      <c r="B198" s="1">
        <v>45680</v>
      </c>
      <c r="C198" t="s">
        <v>13</v>
      </c>
      <c r="D198" t="s">
        <v>36</v>
      </c>
      <c r="E198" t="s">
        <v>37</v>
      </c>
      <c r="F198" t="s">
        <v>28</v>
      </c>
      <c r="G198">
        <v>10.8</v>
      </c>
    </row>
    <row r="199" spans="1:7" x14ac:dyDescent="0.25">
      <c r="A199" t="s">
        <v>226</v>
      </c>
      <c r="B199" s="1">
        <v>45903</v>
      </c>
      <c r="C199" t="s">
        <v>41</v>
      </c>
      <c r="D199" t="s">
        <v>19</v>
      </c>
      <c r="E199" t="s">
        <v>20</v>
      </c>
      <c r="F199" t="s">
        <v>33</v>
      </c>
      <c r="G199">
        <v>8.6</v>
      </c>
    </row>
    <row r="200" spans="1:7" x14ac:dyDescent="0.25">
      <c r="A200" t="s">
        <v>227</v>
      </c>
      <c r="B200" s="1">
        <v>45695</v>
      </c>
      <c r="C200" t="s">
        <v>8</v>
      </c>
      <c r="D200" t="s">
        <v>36</v>
      </c>
      <c r="E200" t="s">
        <v>37</v>
      </c>
      <c r="F200" t="s">
        <v>39</v>
      </c>
      <c r="G200">
        <v>2.5</v>
      </c>
    </row>
    <row r="201" spans="1:7" x14ac:dyDescent="0.25">
      <c r="A201" t="s">
        <v>228</v>
      </c>
      <c r="B201" s="1">
        <v>45982</v>
      </c>
      <c r="C201" t="s">
        <v>13</v>
      </c>
      <c r="D201" t="s">
        <v>16</v>
      </c>
      <c r="E201" t="s">
        <v>16</v>
      </c>
      <c r="F201" t="s">
        <v>24</v>
      </c>
      <c r="G201">
        <v>7</v>
      </c>
    </row>
    <row r="202" spans="1:7" x14ac:dyDescent="0.25">
      <c r="A202" t="s">
        <v>229</v>
      </c>
      <c r="B202" s="1">
        <v>45808</v>
      </c>
      <c r="C202" t="s">
        <v>41</v>
      </c>
      <c r="D202" t="s">
        <v>16</v>
      </c>
      <c r="E202" t="s">
        <v>16</v>
      </c>
      <c r="F202" t="s">
        <v>14</v>
      </c>
      <c r="G202">
        <v>2.9</v>
      </c>
    </row>
    <row r="203" spans="1:7" x14ac:dyDescent="0.25">
      <c r="A203" t="s">
        <v>230</v>
      </c>
      <c r="B203" s="1">
        <v>45993</v>
      </c>
      <c r="C203" t="s">
        <v>13</v>
      </c>
      <c r="D203" t="s">
        <v>31</v>
      </c>
      <c r="E203" t="s">
        <v>32</v>
      </c>
      <c r="F203" t="s">
        <v>14</v>
      </c>
      <c r="G203">
        <v>8</v>
      </c>
    </row>
    <row r="204" spans="1:7" x14ac:dyDescent="0.25">
      <c r="A204" t="s">
        <v>231</v>
      </c>
      <c r="B204" s="1">
        <v>45831</v>
      </c>
      <c r="C204" t="s">
        <v>41</v>
      </c>
      <c r="D204" t="s">
        <v>19</v>
      </c>
      <c r="E204" t="s">
        <v>20</v>
      </c>
      <c r="F204" t="s">
        <v>14</v>
      </c>
      <c r="G204">
        <v>12.1</v>
      </c>
    </row>
    <row r="205" spans="1:7" x14ac:dyDescent="0.25">
      <c r="A205" t="s">
        <v>232</v>
      </c>
      <c r="B205" s="1">
        <v>45818</v>
      </c>
      <c r="C205" t="s">
        <v>27</v>
      </c>
      <c r="D205" t="s">
        <v>36</v>
      </c>
      <c r="E205" t="s">
        <v>37</v>
      </c>
      <c r="F205" t="s">
        <v>39</v>
      </c>
      <c r="G205">
        <v>11.5</v>
      </c>
    </row>
    <row r="206" spans="1:7" x14ac:dyDescent="0.25">
      <c r="A206" t="s">
        <v>233</v>
      </c>
      <c r="B206" s="1">
        <v>45704</v>
      </c>
      <c r="C206" t="s">
        <v>8</v>
      </c>
      <c r="D206" t="s">
        <v>9</v>
      </c>
      <c r="E206" t="s">
        <v>10</v>
      </c>
      <c r="F206" t="s">
        <v>14</v>
      </c>
      <c r="G206">
        <v>2.9</v>
      </c>
    </row>
    <row r="207" spans="1:7" x14ac:dyDescent="0.25">
      <c r="A207" t="s">
        <v>234</v>
      </c>
      <c r="B207" s="1">
        <v>45724</v>
      </c>
      <c r="C207" t="s">
        <v>13</v>
      </c>
      <c r="D207" t="s">
        <v>9</v>
      </c>
      <c r="E207" t="s">
        <v>10</v>
      </c>
      <c r="F207" t="s">
        <v>24</v>
      </c>
      <c r="G207">
        <v>11.2</v>
      </c>
    </row>
    <row r="208" spans="1:7" x14ac:dyDescent="0.25">
      <c r="A208" t="s">
        <v>235</v>
      </c>
      <c r="B208" s="1">
        <v>45998</v>
      </c>
      <c r="C208" t="s">
        <v>41</v>
      </c>
      <c r="D208" t="s">
        <v>9</v>
      </c>
      <c r="E208" t="s">
        <v>10</v>
      </c>
      <c r="F208" t="s">
        <v>11</v>
      </c>
      <c r="G208">
        <v>10.199999999999999</v>
      </c>
    </row>
    <row r="209" spans="1:7" x14ac:dyDescent="0.25">
      <c r="A209" t="s">
        <v>236</v>
      </c>
      <c r="B209" s="1">
        <v>45953</v>
      </c>
      <c r="C209" t="s">
        <v>13</v>
      </c>
      <c r="D209" t="s">
        <v>31</v>
      </c>
      <c r="E209" t="s">
        <v>32</v>
      </c>
      <c r="F209" t="s">
        <v>39</v>
      </c>
      <c r="G209">
        <v>11</v>
      </c>
    </row>
    <row r="210" spans="1:7" x14ac:dyDescent="0.25">
      <c r="A210" t="s">
        <v>237</v>
      </c>
      <c r="B210" s="1">
        <v>45713</v>
      </c>
      <c r="C210" t="s">
        <v>27</v>
      </c>
      <c r="D210" t="s">
        <v>16</v>
      </c>
      <c r="E210" t="s">
        <v>16</v>
      </c>
      <c r="F210" t="s">
        <v>24</v>
      </c>
      <c r="G210">
        <v>3.2</v>
      </c>
    </row>
    <row r="211" spans="1:7" x14ac:dyDescent="0.25">
      <c r="A211" t="s">
        <v>238</v>
      </c>
      <c r="B211" s="1">
        <v>45773</v>
      </c>
      <c r="C211" t="s">
        <v>41</v>
      </c>
      <c r="D211" t="s">
        <v>16</v>
      </c>
      <c r="E211" t="s">
        <v>16</v>
      </c>
      <c r="F211" t="s">
        <v>17</v>
      </c>
      <c r="G211">
        <v>10.3</v>
      </c>
    </row>
    <row r="212" spans="1:7" x14ac:dyDescent="0.25">
      <c r="A212" t="s">
        <v>239</v>
      </c>
      <c r="B212" s="1">
        <v>46013</v>
      </c>
      <c r="C212" t="s">
        <v>27</v>
      </c>
      <c r="D212" t="s">
        <v>9</v>
      </c>
      <c r="E212" t="s">
        <v>10</v>
      </c>
      <c r="F212" t="s">
        <v>39</v>
      </c>
      <c r="G212">
        <v>5.5</v>
      </c>
    </row>
    <row r="213" spans="1:7" x14ac:dyDescent="0.25">
      <c r="A213" t="s">
        <v>240</v>
      </c>
      <c r="B213" s="1">
        <v>45831</v>
      </c>
      <c r="C213" t="s">
        <v>27</v>
      </c>
      <c r="D213" t="s">
        <v>9</v>
      </c>
      <c r="E213" t="s">
        <v>10</v>
      </c>
      <c r="F213" t="s">
        <v>39</v>
      </c>
      <c r="G213">
        <v>14.1</v>
      </c>
    </row>
    <row r="214" spans="1:7" x14ac:dyDescent="0.25">
      <c r="A214" t="s">
        <v>241</v>
      </c>
      <c r="B214" s="1">
        <v>45863</v>
      </c>
      <c r="C214" t="s">
        <v>8</v>
      </c>
      <c r="D214" t="s">
        <v>31</v>
      </c>
      <c r="E214" t="s">
        <v>32</v>
      </c>
      <c r="F214" t="s">
        <v>17</v>
      </c>
      <c r="G214">
        <v>2.8</v>
      </c>
    </row>
    <row r="215" spans="1:7" x14ac:dyDescent="0.25">
      <c r="A215" t="s">
        <v>242</v>
      </c>
      <c r="B215" s="1">
        <v>45850</v>
      </c>
      <c r="C215" t="s">
        <v>41</v>
      </c>
      <c r="D215" t="s">
        <v>19</v>
      </c>
      <c r="E215" t="s">
        <v>20</v>
      </c>
      <c r="F215" t="s">
        <v>24</v>
      </c>
      <c r="G215">
        <v>3.8</v>
      </c>
    </row>
    <row r="216" spans="1:7" x14ac:dyDescent="0.25">
      <c r="A216" t="s">
        <v>243</v>
      </c>
      <c r="B216" s="1">
        <v>45824</v>
      </c>
      <c r="C216" t="s">
        <v>13</v>
      </c>
      <c r="D216" t="s">
        <v>16</v>
      </c>
      <c r="E216" t="s">
        <v>16</v>
      </c>
      <c r="F216" t="s">
        <v>33</v>
      </c>
      <c r="G216">
        <v>14.3</v>
      </c>
    </row>
    <row r="217" spans="1:7" x14ac:dyDescent="0.25">
      <c r="A217" t="s">
        <v>244</v>
      </c>
      <c r="B217" s="1">
        <v>45974</v>
      </c>
      <c r="C217" t="s">
        <v>8</v>
      </c>
      <c r="D217" t="s">
        <v>9</v>
      </c>
      <c r="E217" t="s">
        <v>10</v>
      </c>
      <c r="F217" t="s">
        <v>11</v>
      </c>
      <c r="G217">
        <v>7.9</v>
      </c>
    </row>
    <row r="218" spans="1:7" x14ac:dyDescent="0.25">
      <c r="A218" t="s">
        <v>245</v>
      </c>
      <c r="B218" s="1">
        <v>45968</v>
      </c>
      <c r="C218" t="s">
        <v>41</v>
      </c>
      <c r="D218" t="s">
        <v>19</v>
      </c>
      <c r="E218" t="s">
        <v>20</v>
      </c>
      <c r="F218" t="s">
        <v>11</v>
      </c>
      <c r="G218">
        <v>4.5999999999999996</v>
      </c>
    </row>
    <row r="219" spans="1:7" x14ac:dyDescent="0.25">
      <c r="A219" t="s">
        <v>246</v>
      </c>
      <c r="B219" s="1">
        <v>45834</v>
      </c>
      <c r="C219" t="s">
        <v>41</v>
      </c>
      <c r="D219" t="s">
        <v>9</v>
      </c>
      <c r="E219" t="s">
        <v>10</v>
      </c>
      <c r="F219" t="s">
        <v>11</v>
      </c>
      <c r="G219">
        <v>11.3</v>
      </c>
    </row>
    <row r="220" spans="1:7" x14ac:dyDescent="0.25">
      <c r="A220" t="s">
        <v>247</v>
      </c>
      <c r="B220" s="1">
        <v>45927</v>
      </c>
      <c r="C220" t="s">
        <v>27</v>
      </c>
      <c r="D220" t="s">
        <v>9</v>
      </c>
      <c r="E220" t="s">
        <v>10</v>
      </c>
      <c r="F220" t="s">
        <v>21</v>
      </c>
      <c r="G220">
        <v>7.2</v>
      </c>
    </row>
    <row r="221" spans="1:7" x14ac:dyDescent="0.25">
      <c r="A221" t="s">
        <v>248</v>
      </c>
      <c r="B221" s="1">
        <v>45661</v>
      </c>
      <c r="C221" t="s">
        <v>23</v>
      </c>
      <c r="D221" t="s">
        <v>36</v>
      </c>
      <c r="E221" t="s">
        <v>37</v>
      </c>
      <c r="F221" t="s">
        <v>21</v>
      </c>
      <c r="G221">
        <v>12.6</v>
      </c>
    </row>
    <row r="222" spans="1:7" x14ac:dyDescent="0.25">
      <c r="A222" t="s">
        <v>249</v>
      </c>
      <c r="B222" s="1">
        <v>45806</v>
      </c>
      <c r="C222" t="s">
        <v>27</v>
      </c>
      <c r="D222" t="s">
        <v>9</v>
      </c>
      <c r="E222" t="s">
        <v>10</v>
      </c>
      <c r="F222" t="s">
        <v>17</v>
      </c>
      <c r="G222">
        <v>8.6999999999999993</v>
      </c>
    </row>
    <row r="223" spans="1:7" x14ac:dyDescent="0.25">
      <c r="A223" t="s">
        <v>250</v>
      </c>
      <c r="B223" s="1">
        <v>45724</v>
      </c>
      <c r="C223" t="s">
        <v>41</v>
      </c>
      <c r="D223" t="s">
        <v>16</v>
      </c>
      <c r="E223" t="s">
        <v>16</v>
      </c>
      <c r="F223" t="s">
        <v>21</v>
      </c>
      <c r="G223">
        <v>8.8000000000000007</v>
      </c>
    </row>
    <row r="224" spans="1:7" x14ac:dyDescent="0.25">
      <c r="A224" t="s">
        <v>251</v>
      </c>
      <c r="B224" s="1">
        <v>45839</v>
      </c>
      <c r="C224" t="s">
        <v>8</v>
      </c>
      <c r="D224" t="s">
        <v>19</v>
      </c>
      <c r="E224" t="s">
        <v>20</v>
      </c>
      <c r="F224" t="s">
        <v>17</v>
      </c>
      <c r="G224">
        <v>7.8</v>
      </c>
    </row>
    <row r="225" spans="1:7" x14ac:dyDescent="0.25">
      <c r="A225" t="s">
        <v>252</v>
      </c>
      <c r="B225" s="1">
        <v>45697</v>
      </c>
      <c r="C225" t="s">
        <v>27</v>
      </c>
      <c r="D225" t="s">
        <v>16</v>
      </c>
      <c r="E225" t="s">
        <v>16</v>
      </c>
      <c r="F225" t="s">
        <v>14</v>
      </c>
      <c r="G225">
        <v>9.8000000000000007</v>
      </c>
    </row>
    <row r="226" spans="1:7" x14ac:dyDescent="0.25">
      <c r="A226" t="s">
        <v>253</v>
      </c>
      <c r="B226" s="1">
        <v>45871</v>
      </c>
      <c r="C226" t="s">
        <v>27</v>
      </c>
      <c r="D226" t="s">
        <v>9</v>
      </c>
      <c r="E226" t="s">
        <v>10</v>
      </c>
      <c r="F226" t="s">
        <v>14</v>
      </c>
      <c r="G226">
        <v>1.8</v>
      </c>
    </row>
    <row r="227" spans="1:7" x14ac:dyDescent="0.25">
      <c r="A227" t="s">
        <v>254</v>
      </c>
      <c r="B227" s="1">
        <v>45974</v>
      </c>
      <c r="C227" t="s">
        <v>41</v>
      </c>
      <c r="D227" t="s">
        <v>36</v>
      </c>
      <c r="E227" t="s">
        <v>37</v>
      </c>
      <c r="F227" t="s">
        <v>33</v>
      </c>
      <c r="G227">
        <v>7.8</v>
      </c>
    </row>
    <row r="228" spans="1:7" x14ac:dyDescent="0.25">
      <c r="A228" t="s">
        <v>255</v>
      </c>
      <c r="B228" s="1">
        <v>45881</v>
      </c>
      <c r="C228" t="s">
        <v>13</v>
      </c>
      <c r="D228" t="s">
        <v>19</v>
      </c>
      <c r="E228" t="s">
        <v>20</v>
      </c>
      <c r="F228" t="s">
        <v>33</v>
      </c>
      <c r="G228">
        <v>7.2</v>
      </c>
    </row>
    <row r="229" spans="1:7" x14ac:dyDescent="0.25">
      <c r="A229" t="s">
        <v>256</v>
      </c>
      <c r="B229" s="1">
        <v>45831</v>
      </c>
      <c r="C229" t="s">
        <v>23</v>
      </c>
      <c r="D229" t="s">
        <v>36</v>
      </c>
      <c r="E229" t="s">
        <v>37</v>
      </c>
      <c r="F229" t="s">
        <v>39</v>
      </c>
      <c r="G229">
        <v>2.6</v>
      </c>
    </row>
    <row r="230" spans="1:7" x14ac:dyDescent="0.25">
      <c r="A230" t="s">
        <v>257</v>
      </c>
      <c r="B230" s="1">
        <v>45929</v>
      </c>
      <c r="C230" t="s">
        <v>13</v>
      </c>
      <c r="D230" t="s">
        <v>31</v>
      </c>
      <c r="E230" t="s">
        <v>32</v>
      </c>
      <c r="F230" t="s">
        <v>24</v>
      </c>
      <c r="G230">
        <v>6.6</v>
      </c>
    </row>
    <row r="231" spans="1:7" x14ac:dyDescent="0.25">
      <c r="A231" t="s">
        <v>258</v>
      </c>
      <c r="B231" s="1">
        <v>45988</v>
      </c>
      <c r="C231" t="s">
        <v>23</v>
      </c>
      <c r="D231" t="s">
        <v>31</v>
      </c>
      <c r="E231" t="s">
        <v>32</v>
      </c>
      <c r="F231" t="s">
        <v>33</v>
      </c>
      <c r="G231">
        <v>3.6</v>
      </c>
    </row>
    <row r="232" spans="1:7" x14ac:dyDescent="0.25">
      <c r="A232" t="s">
        <v>259</v>
      </c>
      <c r="B232" s="1">
        <v>45966</v>
      </c>
      <c r="C232" t="s">
        <v>23</v>
      </c>
      <c r="D232" t="s">
        <v>9</v>
      </c>
      <c r="E232" t="s">
        <v>10</v>
      </c>
      <c r="F232" t="s">
        <v>39</v>
      </c>
      <c r="G232">
        <v>15.3</v>
      </c>
    </row>
    <row r="233" spans="1:7" x14ac:dyDescent="0.25">
      <c r="A233" t="s">
        <v>260</v>
      </c>
      <c r="B233" s="1">
        <v>45895</v>
      </c>
      <c r="C233" t="s">
        <v>13</v>
      </c>
      <c r="D233" t="s">
        <v>16</v>
      </c>
      <c r="E233" t="s">
        <v>16</v>
      </c>
      <c r="F233" t="s">
        <v>28</v>
      </c>
      <c r="G233">
        <v>11.4</v>
      </c>
    </row>
    <row r="234" spans="1:7" x14ac:dyDescent="0.25">
      <c r="A234" t="s">
        <v>261</v>
      </c>
      <c r="B234" s="1">
        <v>45987</v>
      </c>
      <c r="C234" t="s">
        <v>13</v>
      </c>
      <c r="D234" t="s">
        <v>36</v>
      </c>
      <c r="E234" t="s">
        <v>37</v>
      </c>
      <c r="F234" t="s">
        <v>24</v>
      </c>
      <c r="G234">
        <v>3.7</v>
      </c>
    </row>
    <row r="235" spans="1:7" x14ac:dyDescent="0.25">
      <c r="A235" t="s">
        <v>262</v>
      </c>
      <c r="B235" s="1">
        <v>45884</v>
      </c>
      <c r="C235" t="s">
        <v>27</v>
      </c>
      <c r="D235" t="s">
        <v>36</v>
      </c>
      <c r="E235" t="s">
        <v>37</v>
      </c>
      <c r="F235" t="s">
        <v>17</v>
      </c>
      <c r="G235">
        <v>6.6</v>
      </c>
    </row>
    <row r="236" spans="1:7" x14ac:dyDescent="0.25">
      <c r="A236" t="s">
        <v>263</v>
      </c>
      <c r="B236" s="1">
        <v>45894</v>
      </c>
      <c r="C236" t="s">
        <v>41</v>
      </c>
      <c r="D236" t="s">
        <v>9</v>
      </c>
      <c r="E236" t="s">
        <v>10</v>
      </c>
      <c r="F236" t="s">
        <v>17</v>
      </c>
      <c r="G236">
        <v>6.8</v>
      </c>
    </row>
    <row r="237" spans="1:7" x14ac:dyDescent="0.25">
      <c r="A237" t="s">
        <v>264</v>
      </c>
      <c r="B237" s="1">
        <v>45988</v>
      </c>
      <c r="C237" t="s">
        <v>8</v>
      </c>
      <c r="D237" t="s">
        <v>16</v>
      </c>
      <c r="E237" t="s">
        <v>16</v>
      </c>
      <c r="F237" t="s">
        <v>14</v>
      </c>
      <c r="G237">
        <v>8.1999999999999993</v>
      </c>
    </row>
    <row r="238" spans="1:7" x14ac:dyDescent="0.25">
      <c r="A238" t="s">
        <v>265</v>
      </c>
      <c r="B238" s="1">
        <v>45679</v>
      </c>
      <c r="C238" t="s">
        <v>41</v>
      </c>
      <c r="D238" t="s">
        <v>16</v>
      </c>
      <c r="E238" t="s">
        <v>16</v>
      </c>
      <c r="F238" t="s">
        <v>21</v>
      </c>
      <c r="G238">
        <v>6.2</v>
      </c>
    </row>
    <row r="239" spans="1:7" x14ac:dyDescent="0.25">
      <c r="A239" t="s">
        <v>266</v>
      </c>
      <c r="B239" s="1">
        <v>45735</v>
      </c>
      <c r="C239" t="s">
        <v>8</v>
      </c>
      <c r="D239" t="s">
        <v>19</v>
      </c>
      <c r="E239" t="s">
        <v>20</v>
      </c>
      <c r="F239" t="s">
        <v>33</v>
      </c>
      <c r="G239">
        <v>13.3</v>
      </c>
    </row>
    <row r="240" spans="1:7" x14ac:dyDescent="0.25">
      <c r="A240" t="s">
        <v>267</v>
      </c>
      <c r="B240" s="1">
        <v>45701</v>
      </c>
      <c r="C240" t="s">
        <v>13</v>
      </c>
      <c r="D240" t="s">
        <v>31</v>
      </c>
      <c r="E240" t="s">
        <v>32</v>
      </c>
      <c r="F240" t="s">
        <v>17</v>
      </c>
      <c r="G240">
        <v>5.0999999999999996</v>
      </c>
    </row>
    <row r="241" spans="1:7" x14ac:dyDescent="0.25">
      <c r="A241" t="s">
        <v>268</v>
      </c>
      <c r="B241" s="1">
        <v>45882</v>
      </c>
      <c r="C241" t="s">
        <v>13</v>
      </c>
      <c r="D241" t="s">
        <v>16</v>
      </c>
      <c r="E241" t="s">
        <v>16</v>
      </c>
      <c r="F241" t="s">
        <v>39</v>
      </c>
      <c r="G241">
        <v>6.8</v>
      </c>
    </row>
    <row r="242" spans="1:7" x14ac:dyDescent="0.25">
      <c r="A242" t="s">
        <v>269</v>
      </c>
      <c r="B242" s="1">
        <v>45856</v>
      </c>
      <c r="C242" t="s">
        <v>41</v>
      </c>
      <c r="D242" t="s">
        <v>36</v>
      </c>
      <c r="E242" t="s">
        <v>37</v>
      </c>
      <c r="F242" t="s">
        <v>17</v>
      </c>
      <c r="G242">
        <v>12.9</v>
      </c>
    </row>
    <row r="243" spans="1:7" x14ac:dyDescent="0.25">
      <c r="A243" t="s">
        <v>270</v>
      </c>
      <c r="B243" s="1">
        <v>45691</v>
      </c>
      <c r="C243" t="s">
        <v>27</v>
      </c>
      <c r="D243" t="s">
        <v>9</v>
      </c>
      <c r="E243" t="s">
        <v>10</v>
      </c>
      <c r="F243" t="s">
        <v>14</v>
      </c>
      <c r="G243">
        <v>5.6</v>
      </c>
    </row>
    <row r="244" spans="1:7" x14ac:dyDescent="0.25">
      <c r="A244" t="s">
        <v>271</v>
      </c>
      <c r="B244" s="1">
        <v>45994</v>
      </c>
      <c r="C244" t="s">
        <v>13</v>
      </c>
      <c r="D244" t="s">
        <v>31</v>
      </c>
      <c r="E244" t="s">
        <v>32</v>
      </c>
      <c r="F244" t="s">
        <v>24</v>
      </c>
      <c r="G244">
        <v>2.7</v>
      </c>
    </row>
    <row r="245" spans="1:7" x14ac:dyDescent="0.25">
      <c r="A245" t="s">
        <v>272</v>
      </c>
      <c r="B245" s="1">
        <v>45837</v>
      </c>
      <c r="C245" t="s">
        <v>27</v>
      </c>
      <c r="D245" t="s">
        <v>19</v>
      </c>
      <c r="E245" t="s">
        <v>20</v>
      </c>
      <c r="F245" t="s">
        <v>39</v>
      </c>
      <c r="G245">
        <v>10.1</v>
      </c>
    </row>
    <row r="246" spans="1:7" x14ac:dyDescent="0.25">
      <c r="A246" t="s">
        <v>273</v>
      </c>
      <c r="B246" s="1">
        <v>45816</v>
      </c>
      <c r="C246" t="s">
        <v>13</v>
      </c>
      <c r="D246" t="s">
        <v>19</v>
      </c>
      <c r="E246" t="s">
        <v>20</v>
      </c>
      <c r="F246" t="s">
        <v>24</v>
      </c>
      <c r="G246">
        <v>13.3</v>
      </c>
    </row>
    <row r="247" spans="1:7" x14ac:dyDescent="0.25">
      <c r="A247" t="s">
        <v>274</v>
      </c>
      <c r="B247" s="1">
        <v>46008</v>
      </c>
      <c r="C247" t="s">
        <v>13</v>
      </c>
      <c r="D247" t="s">
        <v>9</v>
      </c>
      <c r="E247" t="s">
        <v>10</v>
      </c>
      <c r="F247" t="s">
        <v>14</v>
      </c>
      <c r="G247">
        <v>8.9</v>
      </c>
    </row>
    <row r="248" spans="1:7" x14ac:dyDescent="0.25">
      <c r="A248" t="s">
        <v>275</v>
      </c>
      <c r="B248" s="1">
        <v>45816</v>
      </c>
      <c r="C248" t="s">
        <v>23</v>
      </c>
      <c r="D248" t="s">
        <v>31</v>
      </c>
      <c r="E248" t="s">
        <v>32</v>
      </c>
      <c r="F248" t="s">
        <v>24</v>
      </c>
      <c r="G248">
        <v>15.2</v>
      </c>
    </row>
    <row r="249" spans="1:7" x14ac:dyDescent="0.25">
      <c r="A249" t="s">
        <v>276</v>
      </c>
      <c r="B249" s="1">
        <v>45773</v>
      </c>
      <c r="C249" t="s">
        <v>23</v>
      </c>
      <c r="D249" t="s">
        <v>31</v>
      </c>
      <c r="E249" t="s">
        <v>32</v>
      </c>
      <c r="F249" t="s">
        <v>33</v>
      </c>
      <c r="G249">
        <v>5.8</v>
      </c>
    </row>
    <row r="250" spans="1:7" x14ac:dyDescent="0.25">
      <c r="A250" t="s">
        <v>277</v>
      </c>
      <c r="B250" s="1">
        <v>45917</v>
      </c>
      <c r="C250" t="s">
        <v>13</v>
      </c>
      <c r="D250" t="s">
        <v>16</v>
      </c>
      <c r="E250" t="s">
        <v>16</v>
      </c>
      <c r="F250" t="s">
        <v>17</v>
      </c>
      <c r="G250">
        <v>11.1</v>
      </c>
    </row>
    <row r="251" spans="1:7" x14ac:dyDescent="0.25">
      <c r="A251" t="s">
        <v>278</v>
      </c>
      <c r="B251" s="1">
        <v>45974</v>
      </c>
      <c r="C251" t="s">
        <v>23</v>
      </c>
      <c r="D251" t="s">
        <v>16</v>
      </c>
      <c r="E251" t="s">
        <v>16</v>
      </c>
      <c r="F251" t="s">
        <v>14</v>
      </c>
      <c r="G251">
        <v>3.7</v>
      </c>
    </row>
    <row r="252" spans="1:7" x14ac:dyDescent="0.25">
      <c r="A252" t="s">
        <v>279</v>
      </c>
      <c r="B252" s="1">
        <v>46012</v>
      </c>
      <c r="C252" t="s">
        <v>13</v>
      </c>
      <c r="D252" t="s">
        <v>31</v>
      </c>
      <c r="E252" t="s">
        <v>32</v>
      </c>
      <c r="F252" t="s">
        <v>28</v>
      </c>
      <c r="G252">
        <v>2.1</v>
      </c>
    </row>
    <row r="253" spans="1:7" x14ac:dyDescent="0.25">
      <c r="A253" t="s">
        <v>280</v>
      </c>
      <c r="B253" s="1">
        <v>45779</v>
      </c>
      <c r="C253" t="s">
        <v>41</v>
      </c>
      <c r="D253" t="s">
        <v>16</v>
      </c>
      <c r="E253" t="s">
        <v>16</v>
      </c>
      <c r="F253" t="s">
        <v>11</v>
      </c>
      <c r="G253">
        <v>12.4</v>
      </c>
    </row>
    <row r="254" spans="1:7" x14ac:dyDescent="0.25">
      <c r="A254" t="s">
        <v>281</v>
      </c>
      <c r="B254" s="1">
        <v>45777</v>
      </c>
      <c r="C254" t="s">
        <v>13</v>
      </c>
      <c r="D254" t="s">
        <v>31</v>
      </c>
      <c r="E254" t="s">
        <v>32</v>
      </c>
      <c r="F254" t="s">
        <v>11</v>
      </c>
      <c r="G254">
        <v>15.5</v>
      </c>
    </row>
    <row r="255" spans="1:7" x14ac:dyDescent="0.25">
      <c r="A255" t="s">
        <v>282</v>
      </c>
      <c r="B255" s="1">
        <v>45757</v>
      </c>
      <c r="C255" t="s">
        <v>27</v>
      </c>
      <c r="D255" t="s">
        <v>16</v>
      </c>
      <c r="E255" t="s">
        <v>16</v>
      </c>
      <c r="F255" t="s">
        <v>28</v>
      </c>
      <c r="G255">
        <v>8.1999999999999993</v>
      </c>
    </row>
    <row r="256" spans="1:7" x14ac:dyDescent="0.25">
      <c r="A256" t="s">
        <v>283</v>
      </c>
      <c r="B256" s="1">
        <v>45853</v>
      </c>
      <c r="C256" t="s">
        <v>13</v>
      </c>
      <c r="D256" t="s">
        <v>16</v>
      </c>
      <c r="E256" t="s">
        <v>16</v>
      </c>
      <c r="F256" t="s">
        <v>14</v>
      </c>
      <c r="G256">
        <v>15.5</v>
      </c>
    </row>
    <row r="257" spans="1:7" x14ac:dyDescent="0.25">
      <c r="A257" t="s">
        <v>284</v>
      </c>
      <c r="B257" s="1">
        <v>45967</v>
      </c>
      <c r="C257" t="s">
        <v>23</v>
      </c>
      <c r="D257" t="s">
        <v>36</v>
      </c>
      <c r="E257" t="s">
        <v>37</v>
      </c>
      <c r="F257" t="s">
        <v>17</v>
      </c>
      <c r="G257">
        <v>10.8</v>
      </c>
    </row>
    <row r="258" spans="1:7" x14ac:dyDescent="0.25">
      <c r="A258" t="s">
        <v>285</v>
      </c>
      <c r="B258" s="1">
        <v>45941</v>
      </c>
      <c r="C258" t="s">
        <v>8</v>
      </c>
      <c r="D258" t="s">
        <v>16</v>
      </c>
      <c r="E258" t="s">
        <v>16</v>
      </c>
      <c r="F258" t="s">
        <v>33</v>
      </c>
      <c r="G258">
        <v>5.6</v>
      </c>
    </row>
    <row r="259" spans="1:7" x14ac:dyDescent="0.25">
      <c r="A259" t="s">
        <v>286</v>
      </c>
      <c r="B259" s="1">
        <v>45797</v>
      </c>
      <c r="C259" t="s">
        <v>41</v>
      </c>
      <c r="D259" t="s">
        <v>16</v>
      </c>
      <c r="E259" t="s">
        <v>16</v>
      </c>
      <c r="F259" t="s">
        <v>39</v>
      </c>
      <c r="G259">
        <v>13.6</v>
      </c>
    </row>
    <row r="260" spans="1:7" x14ac:dyDescent="0.25">
      <c r="A260" t="s">
        <v>287</v>
      </c>
      <c r="B260" s="1">
        <v>45771</v>
      </c>
      <c r="C260" t="s">
        <v>41</v>
      </c>
      <c r="D260" t="s">
        <v>36</v>
      </c>
      <c r="E260" t="s">
        <v>37</v>
      </c>
      <c r="F260" t="s">
        <v>17</v>
      </c>
      <c r="G260">
        <v>7.5</v>
      </c>
    </row>
    <row r="261" spans="1:7" x14ac:dyDescent="0.25">
      <c r="A261" t="s">
        <v>288</v>
      </c>
      <c r="B261" s="1">
        <v>45849</v>
      </c>
      <c r="C261" t="s">
        <v>23</v>
      </c>
      <c r="D261" t="s">
        <v>19</v>
      </c>
      <c r="E261" t="s">
        <v>20</v>
      </c>
      <c r="F261" t="s">
        <v>33</v>
      </c>
      <c r="G261">
        <v>6.9</v>
      </c>
    </row>
    <row r="262" spans="1:7" x14ac:dyDescent="0.25">
      <c r="A262" t="s">
        <v>289</v>
      </c>
      <c r="B262" s="1">
        <v>45708</v>
      </c>
      <c r="C262" t="s">
        <v>27</v>
      </c>
      <c r="D262" t="s">
        <v>31</v>
      </c>
      <c r="E262" t="s">
        <v>32</v>
      </c>
      <c r="F262" t="s">
        <v>39</v>
      </c>
      <c r="G262">
        <v>2.1</v>
      </c>
    </row>
    <row r="263" spans="1:7" x14ac:dyDescent="0.25">
      <c r="A263" t="s">
        <v>290</v>
      </c>
      <c r="B263" s="1">
        <v>45899</v>
      </c>
      <c r="C263" t="s">
        <v>23</v>
      </c>
      <c r="D263" t="s">
        <v>19</v>
      </c>
      <c r="E263" t="s">
        <v>20</v>
      </c>
      <c r="F263" t="s">
        <v>28</v>
      </c>
      <c r="G263">
        <v>10.4</v>
      </c>
    </row>
    <row r="264" spans="1:7" x14ac:dyDescent="0.25">
      <c r="A264" t="s">
        <v>291</v>
      </c>
      <c r="B264" s="1">
        <v>45667</v>
      </c>
      <c r="C264" t="s">
        <v>27</v>
      </c>
      <c r="D264" t="s">
        <v>31</v>
      </c>
      <c r="E264" t="s">
        <v>32</v>
      </c>
      <c r="F264" t="s">
        <v>39</v>
      </c>
      <c r="G264">
        <v>9.5</v>
      </c>
    </row>
    <row r="265" spans="1:7" x14ac:dyDescent="0.25">
      <c r="A265" t="s">
        <v>292</v>
      </c>
      <c r="B265" s="1">
        <v>45928</v>
      </c>
      <c r="C265" t="s">
        <v>41</v>
      </c>
      <c r="D265" t="s">
        <v>9</v>
      </c>
      <c r="E265" t="s">
        <v>10</v>
      </c>
      <c r="F265" t="s">
        <v>11</v>
      </c>
      <c r="G265">
        <v>4.9000000000000004</v>
      </c>
    </row>
    <row r="266" spans="1:7" x14ac:dyDescent="0.25">
      <c r="A266" t="s">
        <v>293</v>
      </c>
      <c r="B266" s="1">
        <v>45780</v>
      </c>
      <c r="C266" t="s">
        <v>41</v>
      </c>
      <c r="D266" t="s">
        <v>16</v>
      </c>
      <c r="E266" t="s">
        <v>16</v>
      </c>
      <c r="F266" t="s">
        <v>28</v>
      </c>
      <c r="G266">
        <v>2.4</v>
      </c>
    </row>
    <row r="267" spans="1:7" x14ac:dyDescent="0.25">
      <c r="A267" t="s">
        <v>294</v>
      </c>
      <c r="B267" s="1">
        <v>45913</v>
      </c>
      <c r="C267" t="s">
        <v>13</v>
      </c>
      <c r="D267" t="s">
        <v>16</v>
      </c>
      <c r="E267" t="s">
        <v>16</v>
      </c>
      <c r="F267" t="s">
        <v>17</v>
      </c>
      <c r="G267">
        <v>10.7</v>
      </c>
    </row>
    <row r="268" spans="1:7" x14ac:dyDescent="0.25">
      <c r="A268" t="s">
        <v>295</v>
      </c>
      <c r="B268" s="1">
        <v>45731</v>
      </c>
      <c r="C268" t="s">
        <v>27</v>
      </c>
      <c r="D268" t="s">
        <v>19</v>
      </c>
      <c r="E268" t="s">
        <v>20</v>
      </c>
      <c r="F268" t="s">
        <v>17</v>
      </c>
      <c r="G268">
        <v>10.4</v>
      </c>
    </row>
    <row r="269" spans="1:7" x14ac:dyDescent="0.25">
      <c r="A269" t="s">
        <v>296</v>
      </c>
      <c r="B269" s="1">
        <v>45871</v>
      </c>
      <c r="C269" t="s">
        <v>23</v>
      </c>
      <c r="D269" t="s">
        <v>9</v>
      </c>
      <c r="E269" t="s">
        <v>10</v>
      </c>
      <c r="F269" t="s">
        <v>24</v>
      </c>
      <c r="G269">
        <v>2.5</v>
      </c>
    </row>
    <row r="270" spans="1:7" x14ac:dyDescent="0.25">
      <c r="A270" t="s">
        <v>297</v>
      </c>
      <c r="B270" s="1">
        <v>45917</v>
      </c>
      <c r="C270" t="s">
        <v>13</v>
      </c>
      <c r="D270" t="s">
        <v>16</v>
      </c>
      <c r="E270" t="s">
        <v>16</v>
      </c>
      <c r="F270" t="s">
        <v>17</v>
      </c>
      <c r="G270">
        <v>7.2</v>
      </c>
    </row>
    <row r="271" spans="1:7" x14ac:dyDescent="0.25">
      <c r="A271" t="s">
        <v>298</v>
      </c>
      <c r="B271" s="1">
        <v>45983</v>
      </c>
      <c r="C271" t="s">
        <v>41</v>
      </c>
      <c r="D271" t="s">
        <v>36</v>
      </c>
      <c r="E271" t="s">
        <v>37</v>
      </c>
      <c r="F271" t="s">
        <v>11</v>
      </c>
      <c r="G271">
        <v>12.3</v>
      </c>
    </row>
    <row r="272" spans="1:7" x14ac:dyDescent="0.25">
      <c r="A272" t="s">
        <v>299</v>
      </c>
      <c r="B272" s="1">
        <v>45692</v>
      </c>
      <c r="C272" t="s">
        <v>27</v>
      </c>
      <c r="D272" t="s">
        <v>31</v>
      </c>
      <c r="E272" t="s">
        <v>32</v>
      </c>
      <c r="F272" t="s">
        <v>33</v>
      </c>
      <c r="G272">
        <v>12.7</v>
      </c>
    </row>
    <row r="273" spans="1:7" x14ac:dyDescent="0.25">
      <c r="A273" t="s">
        <v>300</v>
      </c>
      <c r="B273" s="1">
        <v>45828</v>
      </c>
      <c r="C273" t="s">
        <v>23</v>
      </c>
      <c r="D273" t="s">
        <v>9</v>
      </c>
      <c r="E273" t="s">
        <v>10</v>
      </c>
      <c r="F273" t="s">
        <v>24</v>
      </c>
      <c r="G273">
        <v>9.4</v>
      </c>
    </row>
    <row r="274" spans="1:7" x14ac:dyDescent="0.25">
      <c r="A274" t="s">
        <v>301</v>
      </c>
      <c r="B274" s="1">
        <v>45747</v>
      </c>
      <c r="C274" t="s">
        <v>41</v>
      </c>
      <c r="D274" t="s">
        <v>19</v>
      </c>
      <c r="E274" t="s">
        <v>20</v>
      </c>
      <c r="F274" t="s">
        <v>39</v>
      </c>
      <c r="G274">
        <v>13.3</v>
      </c>
    </row>
    <row r="275" spans="1:7" x14ac:dyDescent="0.25">
      <c r="A275" t="s">
        <v>302</v>
      </c>
      <c r="B275" s="1">
        <v>45892</v>
      </c>
      <c r="C275" t="s">
        <v>8</v>
      </c>
      <c r="D275" t="s">
        <v>36</v>
      </c>
      <c r="E275" t="s">
        <v>37</v>
      </c>
      <c r="F275" t="s">
        <v>21</v>
      </c>
      <c r="G275">
        <v>2.1</v>
      </c>
    </row>
    <row r="276" spans="1:7" x14ac:dyDescent="0.25">
      <c r="A276" t="s">
        <v>303</v>
      </c>
      <c r="B276" s="1">
        <v>45679</v>
      </c>
      <c r="C276" t="s">
        <v>27</v>
      </c>
      <c r="D276" t="s">
        <v>36</v>
      </c>
      <c r="E276" t="s">
        <v>37</v>
      </c>
      <c r="F276" t="s">
        <v>14</v>
      </c>
      <c r="G276">
        <v>15.8</v>
      </c>
    </row>
    <row r="277" spans="1:7" x14ac:dyDescent="0.25">
      <c r="A277" t="s">
        <v>304</v>
      </c>
      <c r="B277" s="1">
        <v>45787</v>
      </c>
      <c r="C277" t="s">
        <v>8</v>
      </c>
      <c r="D277" t="s">
        <v>31</v>
      </c>
      <c r="E277" t="s">
        <v>32</v>
      </c>
      <c r="F277" t="s">
        <v>11</v>
      </c>
      <c r="G277">
        <v>6.7</v>
      </c>
    </row>
    <row r="278" spans="1:7" x14ac:dyDescent="0.25">
      <c r="A278" t="s">
        <v>305</v>
      </c>
      <c r="B278" s="1">
        <v>45993</v>
      </c>
      <c r="C278" t="s">
        <v>27</v>
      </c>
      <c r="D278" t="s">
        <v>36</v>
      </c>
      <c r="E278" t="s">
        <v>37</v>
      </c>
      <c r="F278" t="s">
        <v>33</v>
      </c>
      <c r="G278">
        <v>13.1</v>
      </c>
    </row>
    <row r="279" spans="1:7" x14ac:dyDescent="0.25">
      <c r="A279" t="s">
        <v>306</v>
      </c>
      <c r="B279" s="1">
        <v>45862</v>
      </c>
      <c r="C279" t="s">
        <v>41</v>
      </c>
      <c r="D279" t="s">
        <v>19</v>
      </c>
      <c r="E279" t="s">
        <v>20</v>
      </c>
      <c r="F279" t="s">
        <v>24</v>
      </c>
      <c r="G279">
        <v>15.6</v>
      </c>
    </row>
    <row r="280" spans="1:7" x14ac:dyDescent="0.25">
      <c r="A280" t="s">
        <v>307</v>
      </c>
      <c r="B280" s="1">
        <v>45912</v>
      </c>
      <c r="C280" t="s">
        <v>27</v>
      </c>
      <c r="D280" t="s">
        <v>16</v>
      </c>
      <c r="E280" t="s">
        <v>16</v>
      </c>
      <c r="F280" t="s">
        <v>11</v>
      </c>
      <c r="G280">
        <v>13.1</v>
      </c>
    </row>
    <row r="281" spans="1:7" x14ac:dyDescent="0.25">
      <c r="A281" t="s">
        <v>308</v>
      </c>
      <c r="B281" s="1">
        <v>45698</v>
      </c>
      <c r="C281" t="s">
        <v>41</v>
      </c>
      <c r="D281" t="s">
        <v>16</v>
      </c>
      <c r="E281" t="s">
        <v>16</v>
      </c>
      <c r="F281" t="s">
        <v>39</v>
      </c>
      <c r="G281">
        <v>9.4</v>
      </c>
    </row>
    <row r="282" spans="1:7" x14ac:dyDescent="0.25">
      <c r="A282" t="s">
        <v>309</v>
      </c>
      <c r="B282" s="1">
        <v>45698</v>
      </c>
      <c r="C282" t="s">
        <v>27</v>
      </c>
      <c r="D282" t="s">
        <v>36</v>
      </c>
      <c r="E282" t="s">
        <v>37</v>
      </c>
      <c r="F282" t="s">
        <v>11</v>
      </c>
      <c r="G282">
        <v>8</v>
      </c>
    </row>
    <row r="283" spans="1:7" x14ac:dyDescent="0.25">
      <c r="A283" t="s">
        <v>310</v>
      </c>
      <c r="B283" s="1">
        <v>45743</v>
      </c>
      <c r="C283" t="s">
        <v>41</v>
      </c>
      <c r="D283" t="s">
        <v>36</v>
      </c>
      <c r="E283" t="s">
        <v>37</v>
      </c>
      <c r="F283" t="s">
        <v>28</v>
      </c>
      <c r="G283">
        <v>2.1</v>
      </c>
    </row>
    <row r="284" spans="1:7" x14ac:dyDescent="0.25">
      <c r="A284" t="s">
        <v>311</v>
      </c>
      <c r="B284" s="1">
        <v>45838</v>
      </c>
      <c r="C284" t="s">
        <v>13</v>
      </c>
      <c r="D284" t="s">
        <v>19</v>
      </c>
      <c r="E284" t="s">
        <v>20</v>
      </c>
      <c r="F284" t="s">
        <v>11</v>
      </c>
      <c r="G284">
        <v>10.8</v>
      </c>
    </row>
    <row r="285" spans="1:7" x14ac:dyDescent="0.25">
      <c r="A285" t="s">
        <v>312</v>
      </c>
      <c r="B285" s="1">
        <v>45687</v>
      </c>
      <c r="C285" t="s">
        <v>8</v>
      </c>
      <c r="D285" t="s">
        <v>19</v>
      </c>
      <c r="E285" t="s">
        <v>20</v>
      </c>
      <c r="F285" t="s">
        <v>24</v>
      </c>
      <c r="G285">
        <v>8.9</v>
      </c>
    </row>
    <row r="286" spans="1:7" x14ac:dyDescent="0.25">
      <c r="A286" t="s">
        <v>313</v>
      </c>
      <c r="B286" s="1">
        <v>45739</v>
      </c>
      <c r="C286" t="s">
        <v>8</v>
      </c>
      <c r="D286" t="s">
        <v>31</v>
      </c>
      <c r="E286" t="s">
        <v>32</v>
      </c>
      <c r="F286" t="s">
        <v>28</v>
      </c>
      <c r="G286">
        <v>2</v>
      </c>
    </row>
    <row r="287" spans="1:7" x14ac:dyDescent="0.25">
      <c r="A287" t="s">
        <v>314</v>
      </c>
      <c r="B287" s="1">
        <v>45988</v>
      </c>
      <c r="C287" t="s">
        <v>27</v>
      </c>
      <c r="D287" t="s">
        <v>36</v>
      </c>
      <c r="E287" t="s">
        <v>37</v>
      </c>
      <c r="F287" t="s">
        <v>14</v>
      </c>
      <c r="G287">
        <v>15.3</v>
      </c>
    </row>
    <row r="288" spans="1:7" x14ac:dyDescent="0.25">
      <c r="A288" t="s">
        <v>315</v>
      </c>
      <c r="B288" s="1">
        <v>45736</v>
      </c>
      <c r="C288" t="s">
        <v>41</v>
      </c>
      <c r="D288" t="s">
        <v>36</v>
      </c>
      <c r="E288" t="s">
        <v>37</v>
      </c>
      <c r="F288" t="s">
        <v>24</v>
      </c>
      <c r="G288">
        <v>7.9</v>
      </c>
    </row>
    <row r="289" spans="1:7" x14ac:dyDescent="0.25">
      <c r="A289" t="s">
        <v>316</v>
      </c>
      <c r="B289" s="1">
        <v>45728</v>
      </c>
      <c r="C289" t="s">
        <v>13</v>
      </c>
      <c r="D289" t="s">
        <v>36</v>
      </c>
      <c r="E289" t="s">
        <v>37</v>
      </c>
      <c r="F289" t="s">
        <v>14</v>
      </c>
      <c r="G289">
        <v>6.1</v>
      </c>
    </row>
    <row r="290" spans="1:7" x14ac:dyDescent="0.25">
      <c r="A290" t="s">
        <v>317</v>
      </c>
      <c r="B290" s="1">
        <v>45716</v>
      </c>
      <c r="C290" t="s">
        <v>8</v>
      </c>
      <c r="D290" t="s">
        <v>31</v>
      </c>
      <c r="E290" t="s">
        <v>32</v>
      </c>
      <c r="F290" t="s">
        <v>28</v>
      </c>
      <c r="G290">
        <v>9</v>
      </c>
    </row>
    <row r="291" spans="1:7" x14ac:dyDescent="0.25">
      <c r="A291" t="s">
        <v>318</v>
      </c>
      <c r="B291" s="1">
        <v>45718</v>
      </c>
      <c r="C291" t="s">
        <v>27</v>
      </c>
      <c r="D291" t="s">
        <v>36</v>
      </c>
      <c r="E291" t="s">
        <v>37</v>
      </c>
      <c r="F291" t="s">
        <v>28</v>
      </c>
      <c r="G291">
        <v>4.5999999999999996</v>
      </c>
    </row>
    <row r="292" spans="1:7" x14ac:dyDescent="0.25">
      <c r="A292" t="s">
        <v>319</v>
      </c>
      <c r="B292" s="1">
        <v>46013</v>
      </c>
      <c r="C292" t="s">
        <v>41</v>
      </c>
      <c r="D292" t="s">
        <v>31</v>
      </c>
      <c r="E292" t="s">
        <v>32</v>
      </c>
      <c r="F292" t="s">
        <v>33</v>
      </c>
      <c r="G292">
        <v>3.5</v>
      </c>
    </row>
    <row r="293" spans="1:7" x14ac:dyDescent="0.25">
      <c r="A293" t="s">
        <v>320</v>
      </c>
      <c r="B293" s="1">
        <v>45746</v>
      </c>
      <c r="C293" t="s">
        <v>41</v>
      </c>
      <c r="D293" t="s">
        <v>9</v>
      </c>
      <c r="E293" t="s">
        <v>10</v>
      </c>
      <c r="F293" t="s">
        <v>24</v>
      </c>
      <c r="G293">
        <v>11.2</v>
      </c>
    </row>
    <row r="294" spans="1:7" x14ac:dyDescent="0.25">
      <c r="A294" t="s">
        <v>321</v>
      </c>
      <c r="B294" s="1">
        <v>45939</v>
      </c>
      <c r="C294" t="s">
        <v>13</v>
      </c>
      <c r="D294" t="s">
        <v>36</v>
      </c>
      <c r="E294" t="s">
        <v>37</v>
      </c>
      <c r="F294" t="s">
        <v>11</v>
      </c>
      <c r="G294">
        <v>13.8</v>
      </c>
    </row>
    <row r="295" spans="1:7" x14ac:dyDescent="0.25">
      <c r="A295" t="s">
        <v>322</v>
      </c>
      <c r="B295" s="1">
        <v>46016</v>
      </c>
      <c r="C295" t="s">
        <v>23</v>
      </c>
      <c r="D295" t="s">
        <v>36</v>
      </c>
      <c r="E295" t="s">
        <v>37</v>
      </c>
      <c r="F295" t="s">
        <v>21</v>
      </c>
      <c r="G295">
        <v>3.3</v>
      </c>
    </row>
    <row r="296" spans="1:7" x14ac:dyDescent="0.25">
      <c r="A296" t="s">
        <v>323</v>
      </c>
      <c r="B296" s="1">
        <v>45729</v>
      </c>
      <c r="C296" t="s">
        <v>23</v>
      </c>
      <c r="D296" t="s">
        <v>19</v>
      </c>
      <c r="E296" t="s">
        <v>20</v>
      </c>
      <c r="F296" t="s">
        <v>17</v>
      </c>
      <c r="G296">
        <v>6.7</v>
      </c>
    </row>
    <row r="297" spans="1:7" x14ac:dyDescent="0.25">
      <c r="A297" t="s">
        <v>324</v>
      </c>
      <c r="B297" s="1">
        <v>45897</v>
      </c>
      <c r="C297" t="s">
        <v>13</v>
      </c>
      <c r="D297" t="s">
        <v>31</v>
      </c>
      <c r="E297" t="s">
        <v>32</v>
      </c>
      <c r="F297" t="s">
        <v>33</v>
      </c>
      <c r="G297">
        <v>2.5</v>
      </c>
    </row>
    <row r="298" spans="1:7" x14ac:dyDescent="0.25">
      <c r="A298" t="s">
        <v>325</v>
      </c>
      <c r="B298" s="1">
        <v>45903</v>
      </c>
      <c r="C298" t="s">
        <v>13</v>
      </c>
      <c r="D298" t="s">
        <v>19</v>
      </c>
      <c r="E298" t="s">
        <v>20</v>
      </c>
      <c r="F298" t="s">
        <v>14</v>
      </c>
      <c r="G298">
        <v>13.4</v>
      </c>
    </row>
    <row r="299" spans="1:7" x14ac:dyDescent="0.25">
      <c r="A299" t="s">
        <v>326</v>
      </c>
      <c r="B299" s="1">
        <v>45820</v>
      </c>
      <c r="C299" t="s">
        <v>8</v>
      </c>
      <c r="D299" t="s">
        <v>19</v>
      </c>
      <c r="E299" t="s">
        <v>20</v>
      </c>
      <c r="F299" t="s">
        <v>28</v>
      </c>
      <c r="G299">
        <v>11.4</v>
      </c>
    </row>
    <row r="300" spans="1:7" x14ac:dyDescent="0.25">
      <c r="A300" t="s">
        <v>327</v>
      </c>
      <c r="B300" s="1">
        <v>45940</v>
      </c>
      <c r="C300" t="s">
        <v>13</v>
      </c>
      <c r="D300" t="s">
        <v>31</v>
      </c>
      <c r="E300" t="s">
        <v>32</v>
      </c>
      <c r="F300" t="s">
        <v>39</v>
      </c>
      <c r="G300">
        <v>7.8</v>
      </c>
    </row>
    <row r="301" spans="1:7" x14ac:dyDescent="0.25">
      <c r="A301" t="s">
        <v>328</v>
      </c>
      <c r="B301" s="1">
        <v>45686</v>
      </c>
      <c r="C301" t="s">
        <v>8</v>
      </c>
      <c r="D301" t="s">
        <v>16</v>
      </c>
      <c r="E301" t="s">
        <v>16</v>
      </c>
      <c r="F301" t="s">
        <v>39</v>
      </c>
      <c r="G301">
        <v>5.9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96AC-DFB0-4DBB-8138-1B64070A075E}">
  <dimension ref="A1:K301"/>
  <sheetViews>
    <sheetView topLeftCell="A2" zoomScale="90" zoomScaleNormal="90" workbookViewId="0">
      <selection activeCell="D23" sqref="D23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21.42578125" customWidth="1"/>
    <col min="4" max="5" width="20" bestFit="1" customWidth="1"/>
    <col min="6" max="6" width="21.5703125" bestFit="1" customWidth="1"/>
    <col min="7" max="7" width="14.140625" bestFit="1" customWidth="1"/>
    <col min="8" max="8" width="15.42578125" bestFit="1" customWidth="1"/>
    <col min="9" max="9" width="13" bestFit="1" customWidth="1"/>
    <col min="10" max="10" width="14.42578125" bestFit="1" customWidth="1"/>
    <col min="11" max="11" width="15" bestFit="1" customWidth="1"/>
  </cols>
  <sheetData>
    <row r="1" spans="1:11" ht="16.5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329</v>
      </c>
      <c r="I1" t="s">
        <v>331</v>
      </c>
      <c r="J1" t="s">
        <v>330</v>
      </c>
      <c r="K1" s="3" t="s">
        <v>332</v>
      </c>
    </row>
    <row r="2" spans="1:11" x14ac:dyDescent="0.25">
      <c r="A2" t="s">
        <v>7</v>
      </c>
      <c r="B2" s="1">
        <v>45985</v>
      </c>
      <c r="C2" t="s">
        <v>8</v>
      </c>
      <c r="D2" t="s">
        <v>9</v>
      </c>
      <c r="E2" t="s">
        <v>10</v>
      </c>
      <c r="F2" t="s">
        <v>11</v>
      </c>
      <c r="G2">
        <v>5.0999999999999996</v>
      </c>
      <c r="H2" s="4">
        <f>_xlfn.XLOOKUP(tblWorkOrders5[[#This Row],[Trade]],tblLaborRates[Trade],tblLaborRates[Hourly Rate])</f>
        <v>75</v>
      </c>
      <c r="I2" s="4">
        <f>tblWorkOrders5[[#This Row],[Labor Hours]]*tblWorkOrders5[[#This Row],[Hourly Rate]]</f>
        <v>382.5</v>
      </c>
      <c r="J2" s="4">
        <f>_xlfn.XLOOKUP(tblWorkOrders5[[#This Row],[WO Number]],tblInvoices[WO Number],tblInvoices[Vendor Cost])</f>
        <v>617.45000000000005</v>
      </c>
      <c r="K2" s="4">
        <f>tblWorkOrders5[[#This Row],[Labor Cost]]+tblWorkOrders5[[#This Row],[Vendor Cost]]</f>
        <v>999.95</v>
      </c>
    </row>
    <row r="3" spans="1:11" x14ac:dyDescent="0.25">
      <c r="A3" t="s">
        <v>12</v>
      </c>
      <c r="B3" s="1">
        <v>45710</v>
      </c>
      <c r="C3" t="s">
        <v>13</v>
      </c>
      <c r="D3" t="s">
        <v>9</v>
      </c>
      <c r="E3" t="s">
        <v>10</v>
      </c>
      <c r="F3" t="s">
        <v>14</v>
      </c>
      <c r="G3">
        <v>2</v>
      </c>
      <c r="H3" s="4">
        <f>_xlfn.XLOOKUP(tblWorkOrders5[[#This Row],[Trade]],tblLaborRates[Trade],tblLaborRates[Hourly Rate])</f>
        <v>75</v>
      </c>
      <c r="I3" s="4">
        <f>tblWorkOrders5[[#This Row],[Labor Hours]]*tblWorkOrders5[[#This Row],[Hourly Rate]]</f>
        <v>150</v>
      </c>
      <c r="J3" s="4">
        <f>_xlfn.XLOOKUP(tblWorkOrders5[[#This Row],[WO Number]],tblInvoices[WO Number],tblInvoices[Vendor Cost])</f>
        <v>463.88</v>
      </c>
      <c r="K3" s="4">
        <f>tblWorkOrders5[[#This Row],[Labor Cost]]+tblWorkOrders5[[#This Row],[Vendor Cost]]</f>
        <v>613.88</v>
      </c>
    </row>
    <row r="4" spans="1:11" x14ac:dyDescent="0.25">
      <c r="A4" t="s">
        <v>15</v>
      </c>
      <c r="B4" s="1">
        <v>45777</v>
      </c>
      <c r="C4" t="s">
        <v>13</v>
      </c>
      <c r="D4" t="s">
        <v>16</v>
      </c>
      <c r="E4" t="s">
        <v>16</v>
      </c>
      <c r="F4" t="s">
        <v>17</v>
      </c>
      <c r="G4">
        <v>9.6</v>
      </c>
      <c r="H4" s="4">
        <f>_xlfn.XLOOKUP(tblWorkOrders5[[#This Row],[Trade]],tblLaborRates[Trade],tblLaborRates[Hourly Rate])</f>
        <v>52</v>
      </c>
      <c r="I4" s="4">
        <f>tblWorkOrders5[[#This Row],[Labor Hours]]*tblWorkOrders5[[#This Row],[Hourly Rate]]</f>
        <v>499.2</v>
      </c>
      <c r="J4" s="4">
        <f>_xlfn.XLOOKUP(tblWorkOrders5[[#This Row],[WO Number]],tblInvoices[WO Number],tblInvoices[Vendor Cost])</f>
        <v>2548.67</v>
      </c>
      <c r="K4" s="4">
        <f>tblWorkOrders5[[#This Row],[Labor Cost]]+tblWorkOrders5[[#This Row],[Vendor Cost]]</f>
        <v>3047.87</v>
      </c>
    </row>
    <row r="5" spans="1:11" x14ac:dyDescent="0.25">
      <c r="A5" t="s">
        <v>18</v>
      </c>
      <c r="B5" s="1">
        <v>46017</v>
      </c>
      <c r="C5" t="s">
        <v>13</v>
      </c>
      <c r="D5" t="s">
        <v>19</v>
      </c>
      <c r="E5" t="s">
        <v>20</v>
      </c>
      <c r="F5" t="s">
        <v>21</v>
      </c>
      <c r="G5">
        <v>8</v>
      </c>
      <c r="H5" s="4">
        <f>_xlfn.XLOOKUP(tblWorkOrders5[[#This Row],[Trade]],tblLaborRates[Trade],tblLaborRates[Hourly Rate])</f>
        <v>68</v>
      </c>
      <c r="I5" s="4">
        <f>tblWorkOrders5[[#This Row],[Labor Hours]]*tblWorkOrders5[[#This Row],[Hourly Rate]]</f>
        <v>544</v>
      </c>
      <c r="J5" s="4">
        <f>_xlfn.XLOOKUP(tblWorkOrders5[[#This Row],[WO Number]],tblInvoices[WO Number],tblInvoices[Vendor Cost])</f>
        <v>1081.94</v>
      </c>
      <c r="K5" s="4">
        <f>tblWorkOrders5[[#This Row],[Labor Cost]]+tblWorkOrders5[[#This Row],[Vendor Cost]]</f>
        <v>1625.94</v>
      </c>
    </row>
    <row r="6" spans="1:11" x14ac:dyDescent="0.25">
      <c r="A6" t="s">
        <v>22</v>
      </c>
      <c r="B6" s="1">
        <v>45661</v>
      </c>
      <c r="C6" t="s">
        <v>23</v>
      </c>
      <c r="D6" t="s">
        <v>19</v>
      </c>
      <c r="E6" t="s">
        <v>20</v>
      </c>
      <c r="F6" t="s">
        <v>24</v>
      </c>
      <c r="G6">
        <v>5.5</v>
      </c>
      <c r="H6" s="4">
        <f>_xlfn.XLOOKUP(tblWorkOrders5[[#This Row],[Trade]],tblLaborRates[Trade],tblLaborRates[Hourly Rate])</f>
        <v>68</v>
      </c>
      <c r="I6" s="4">
        <f>tblWorkOrders5[[#This Row],[Labor Hours]]*tblWorkOrders5[[#This Row],[Hourly Rate]]</f>
        <v>374</v>
      </c>
      <c r="J6" s="4">
        <f>_xlfn.XLOOKUP(tblWorkOrders5[[#This Row],[WO Number]],tblInvoices[WO Number],tblInvoices[Vendor Cost])</f>
        <v>871.3</v>
      </c>
      <c r="K6" s="4">
        <f>tblWorkOrders5[[#This Row],[Labor Cost]]+tblWorkOrders5[[#This Row],[Vendor Cost]]</f>
        <v>1245.3</v>
      </c>
    </row>
    <row r="7" spans="1:11" x14ac:dyDescent="0.25">
      <c r="A7" t="s">
        <v>25</v>
      </c>
      <c r="B7" s="1">
        <v>45830</v>
      </c>
      <c r="C7" t="s">
        <v>8</v>
      </c>
      <c r="D7" t="s">
        <v>9</v>
      </c>
      <c r="E7" t="s">
        <v>10</v>
      </c>
      <c r="F7" t="s">
        <v>14</v>
      </c>
      <c r="G7">
        <v>2.9</v>
      </c>
      <c r="H7" s="4">
        <f>_xlfn.XLOOKUP(tblWorkOrders5[[#This Row],[Trade]],tblLaborRates[Trade],tblLaborRates[Hourly Rate])</f>
        <v>75</v>
      </c>
      <c r="I7" s="4">
        <f>tblWorkOrders5[[#This Row],[Labor Hours]]*tblWorkOrders5[[#This Row],[Hourly Rate]]</f>
        <v>217.5</v>
      </c>
      <c r="J7" s="4">
        <f>_xlfn.XLOOKUP(tblWorkOrders5[[#This Row],[WO Number]],tblInvoices[WO Number],tblInvoices[Vendor Cost])</f>
        <v>2989.11</v>
      </c>
      <c r="K7" s="4">
        <f>tblWorkOrders5[[#This Row],[Labor Cost]]+tblWorkOrders5[[#This Row],[Vendor Cost]]</f>
        <v>3206.61</v>
      </c>
    </row>
    <row r="8" spans="1:11" x14ac:dyDescent="0.25">
      <c r="A8" t="s">
        <v>26</v>
      </c>
      <c r="B8" s="1">
        <v>45967</v>
      </c>
      <c r="C8" t="s">
        <v>27</v>
      </c>
      <c r="D8" t="s">
        <v>9</v>
      </c>
      <c r="E8" t="s">
        <v>10</v>
      </c>
      <c r="F8" t="s">
        <v>28</v>
      </c>
      <c r="G8">
        <v>9.3000000000000007</v>
      </c>
      <c r="H8" s="4">
        <f>_xlfn.XLOOKUP(tblWorkOrders5[[#This Row],[Trade]],tblLaborRates[Trade],tblLaborRates[Hourly Rate])</f>
        <v>75</v>
      </c>
      <c r="I8" s="4">
        <f>tblWorkOrders5[[#This Row],[Labor Hours]]*tblWorkOrders5[[#This Row],[Hourly Rate]]</f>
        <v>697.5</v>
      </c>
      <c r="J8" s="4">
        <f>_xlfn.XLOOKUP(tblWorkOrders5[[#This Row],[WO Number]],tblInvoices[WO Number],tblInvoices[Vendor Cost])</f>
        <v>3409.94</v>
      </c>
      <c r="K8" s="4">
        <f>tblWorkOrders5[[#This Row],[Labor Cost]]+tblWorkOrders5[[#This Row],[Vendor Cost]]</f>
        <v>4107.4400000000005</v>
      </c>
    </row>
    <row r="9" spans="1:11" x14ac:dyDescent="0.25">
      <c r="A9" t="s">
        <v>29</v>
      </c>
      <c r="B9" s="1">
        <v>45851</v>
      </c>
      <c r="C9" t="s">
        <v>8</v>
      </c>
      <c r="D9" t="s">
        <v>16</v>
      </c>
      <c r="E9" t="s">
        <v>16</v>
      </c>
      <c r="F9" t="s">
        <v>11</v>
      </c>
      <c r="G9">
        <v>13.5</v>
      </c>
      <c r="H9" s="4">
        <f>_xlfn.XLOOKUP(tblWorkOrders5[[#This Row],[Trade]],tblLaborRates[Trade],tblLaborRates[Hourly Rate])</f>
        <v>52</v>
      </c>
      <c r="I9" s="4">
        <f>tblWorkOrders5[[#This Row],[Labor Hours]]*tblWorkOrders5[[#This Row],[Hourly Rate]]</f>
        <v>702</v>
      </c>
      <c r="J9" s="4">
        <f>_xlfn.XLOOKUP(tblWorkOrders5[[#This Row],[WO Number]],tblInvoices[WO Number],tblInvoices[Vendor Cost])</f>
        <v>2222.04</v>
      </c>
      <c r="K9" s="4">
        <f>tblWorkOrders5[[#This Row],[Labor Cost]]+tblWorkOrders5[[#This Row],[Vendor Cost]]</f>
        <v>2924.04</v>
      </c>
    </row>
    <row r="10" spans="1:11" x14ac:dyDescent="0.25">
      <c r="A10" t="s">
        <v>30</v>
      </c>
      <c r="B10" s="1">
        <v>45843</v>
      </c>
      <c r="C10" t="s">
        <v>13</v>
      </c>
      <c r="D10" t="s">
        <v>31</v>
      </c>
      <c r="E10" t="s">
        <v>32</v>
      </c>
      <c r="F10" t="s">
        <v>33</v>
      </c>
      <c r="G10">
        <v>2.2000000000000002</v>
      </c>
      <c r="H10" s="4">
        <f>_xlfn.XLOOKUP(tblWorkOrders5[[#This Row],[Trade]],tblLaborRates[Trade],tblLaborRates[Hourly Rate])</f>
        <v>82</v>
      </c>
      <c r="I10" s="4">
        <f>tblWorkOrders5[[#This Row],[Labor Hours]]*tblWorkOrders5[[#This Row],[Hourly Rate]]</f>
        <v>180.4</v>
      </c>
      <c r="J10" s="4">
        <f>_xlfn.XLOOKUP(tblWorkOrders5[[#This Row],[WO Number]],tblInvoices[WO Number],tblInvoices[Vendor Cost])</f>
        <v>913.46</v>
      </c>
      <c r="K10" s="4">
        <f>tblWorkOrders5[[#This Row],[Labor Cost]]+tblWorkOrders5[[#This Row],[Vendor Cost]]</f>
        <v>1093.8600000000001</v>
      </c>
    </row>
    <row r="11" spans="1:11" x14ac:dyDescent="0.25">
      <c r="A11" t="s">
        <v>34</v>
      </c>
      <c r="B11" s="1">
        <v>45806</v>
      </c>
      <c r="C11" t="s">
        <v>8</v>
      </c>
      <c r="D11" t="s">
        <v>31</v>
      </c>
      <c r="E11" t="s">
        <v>32</v>
      </c>
      <c r="F11" t="s">
        <v>33</v>
      </c>
      <c r="G11">
        <v>7</v>
      </c>
      <c r="H11" s="4">
        <f>_xlfn.XLOOKUP(tblWorkOrders5[[#This Row],[Trade]],tblLaborRates[Trade],tblLaborRates[Hourly Rate])</f>
        <v>82</v>
      </c>
      <c r="I11" s="4">
        <f>tblWorkOrders5[[#This Row],[Labor Hours]]*tblWorkOrders5[[#This Row],[Hourly Rate]]</f>
        <v>574</v>
      </c>
      <c r="J11" s="4">
        <f>_xlfn.XLOOKUP(tblWorkOrders5[[#This Row],[WO Number]],tblInvoices[WO Number],tblInvoices[Vendor Cost])</f>
        <v>1668.92</v>
      </c>
      <c r="K11" s="4">
        <f>tblWorkOrders5[[#This Row],[Labor Cost]]+tblWorkOrders5[[#This Row],[Vendor Cost]]</f>
        <v>2242.92</v>
      </c>
    </row>
    <row r="12" spans="1:11" x14ac:dyDescent="0.25">
      <c r="A12" t="s">
        <v>35</v>
      </c>
      <c r="B12" s="1">
        <v>45844</v>
      </c>
      <c r="C12" t="s">
        <v>23</v>
      </c>
      <c r="D12" t="s">
        <v>36</v>
      </c>
      <c r="E12" t="s">
        <v>37</v>
      </c>
      <c r="F12" t="s">
        <v>24</v>
      </c>
      <c r="G12">
        <v>4.5</v>
      </c>
      <c r="H12" s="4">
        <f>_xlfn.XLOOKUP(tblWorkOrders5[[#This Row],[Trade]],tblLaborRates[Trade],tblLaborRates[Hourly Rate])</f>
        <v>79</v>
      </c>
      <c r="I12" s="4">
        <f>tblWorkOrders5[[#This Row],[Labor Hours]]*tblWorkOrders5[[#This Row],[Hourly Rate]]</f>
        <v>355.5</v>
      </c>
      <c r="J12" s="4">
        <f>_xlfn.XLOOKUP(tblWorkOrders5[[#This Row],[WO Number]],tblInvoices[WO Number],tblInvoices[Vendor Cost])</f>
        <v>1044.3800000000001</v>
      </c>
      <c r="K12" s="4">
        <f>tblWorkOrders5[[#This Row],[Labor Cost]]+tblWorkOrders5[[#This Row],[Vendor Cost]]</f>
        <v>1399.88</v>
      </c>
    </row>
    <row r="13" spans="1:11" x14ac:dyDescent="0.25">
      <c r="A13" t="s">
        <v>38</v>
      </c>
      <c r="B13" s="1">
        <v>46007</v>
      </c>
      <c r="C13" t="s">
        <v>8</v>
      </c>
      <c r="D13" t="s">
        <v>16</v>
      </c>
      <c r="E13" t="s">
        <v>16</v>
      </c>
      <c r="F13" t="s">
        <v>39</v>
      </c>
      <c r="G13">
        <v>9.1999999999999993</v>
      </c>
      <c r="H13" s="4">
        <f>_xlfn.XLOOKUP(tblWorkOrders5[[#This Row],[Trade]],tblLaborRates[Trade],tblLaborRates[Hourly Rate])</f>
        <v>52</v>
      </c>
      <c r="I13" s="4">
        <f>tblWorkOrders5[[#This Row],[Labor Hours]]*tblWorkOrders5[[#This Row],[Hourly Rate]]</f>
        <v>478.4</v>
      </c>
      <c r="J13" s="4">
        <f>_xlfn.XLOOKUP(tblWorkOrders5[[#This Row],[WO Number]],tblInvoices[WO Number],tblInvoices[Vendor Cost])</f>
        <v>970.12</v>
      </c>
      <c r="K13" s="4">
        <f>tblWorkOrders5[[#This Row],[Labor Cost]]+tblWorkOrders5[[#This Row],[Vendor Cost]]</f>
        <v>1448.52</v>
      </c>
    </row>
    <row r="14" spans="1:11" x14ac:dyDescent="0.25">
      <c r="A14" t="s">
        <v>40</v>
      </c>
      <c r="B14" s="1">
        <v>45894</v>
      </c>
      <c r="C14" t="s">
        <v>41</v>
      </c>
      <c r="D14" t="s">
        <v>36</v>
      </c>
      <c r="E14" t="s">
        <v>37</v>
      </c>
      <c r="F14" t="s">
        <v>21</v>
      </c>
      <c r="G14">
        <v>11.4</v>
      </c>
      <c r="H14" s="4">
        <f>_xlfn.XLOOKUP(tblWorkOrders5[[#This Row],[Trade]],tblLaborRates[Trade],tblLaborRates[Hourly Rate])</f>
        <v>79</v>
      </c>
      <c r="I14" s="4">
        <f>tblWorkOrders5[[#This Row],[Labor Hours]]*tblWorkOrders5[[#This Row],[Hourly Rate]]</f>
        <v>900.6</v>
      </c>
      <c r="J14" s="4">
        <f>_xlfn.XLOOKUP(tblWorkOrders5[[#This Row],[WO Number]],tblInvoices[WO Number],tblInvoices[Vendor Cost])</f>
        <v>2973.55</v>
      </c>
      <c r="K14" s="4">
        <f>tblWorkOrders5[[#This Row],[Labor Cost]]+tblWorkOrders5[[#This Row],[Vendor Cost]]</f>
        <v>3874.15</v>
      </c>
    </row>
    <row r="15" spans="1:11" x14ac:dyDescent="0.25">
      <c r="A15" t="s">
        <v>42</v>
      </c>
      <c r="B15" s="1">
        <v>45686</v>
      </c>
      <c r="C15" t="s">
        <v>23</v>
      </c>
      <c r="D15" t="s">
        <v>9</v>
      </c>
      <c r="E15" t="s">
        <v>10</v>
      </c>
      <c r="F15" t="s">
        <v>24</v>
      </c>
      <c r="G15">
        <v>7.3</v>
      </c>
      <c r="H15" s="4">
        <f>_xlfn.XLOOKUP(tblWorkOrders5[[#This Row],[Trade]],tblLaborRates[Trade],tblLaborRates[Hourly Rate])</f>
        <v>75</v>
      </c>
      <c r="I15" s="4">
        <f>tblWorkOrders5[[#This Row],[Labor Hours]]*tblWorkOrders5[[#This Row],[Hourly Rate]]</f>
        <v>547.5</v>
      </c>
      <c r="J15" s="4">
        <f>_xlfn.XLOOKUP(tblWorkOrders5[[#This Row],[WO Number]],tblInvoices[WO Number],tblInvoices[Vendor Cost])</f>
        <v>371.73</v>
      </c>
      <c r="K15" s="4">
        <f>tblWorkOrders5[[#This Row],[Labor Cost]]+tblWorkOrders5[[#This Row],[Vendor Cost]]</f>
        <v>919.23</v>
      </c>
    </row>
    <row r="16" spans="1:11" x14ac:dyDescent="0.25">
      <c r="A16" t="s">
        <v>43</v>
      </c>
      <c r="B16" s="1">
        <v>45948</v>
      </c>
      <c r="C16" t="s">
        <v>27</v>
      </c>
      <c r="D16" t="s">
        <v>31</v>
      </c>
      <c r="E16" t="s">
        <v>32</v>
      </c>
      <c r="F16" t="s">
        <v>28</v>
      </c>
      <c r="G16">
        <v>7.2</v>
      </c>
      <c r="H16" s="4">
        <f>_xlfn.XLOOKUP(tblWorkOrders5[[#This Row],[Trade]],tblLaborRates[Trade],tblLaborRates[Hourly Rate])</f>
        <v>82</v>
      </c>
      <c r="I16" s="4">
        <f>tblWorkOrders5[[#This Row],[Labor Hours]]*tblWorkOrders5[[#This Row],[Hourly Rate]]</f>
        <v>590.4</v>
      </c>
      <c r="J16" s="4">
        <f>_xlfn.XLOOKUP(tblWorkOrders5[[#This Row],[WO Number]],tblInvoices[WO Number],tblInvoices[Vendor Cost])</f>
        <v>3213.73</v>
      </c>
      <c r="K16" s="4">
        <f>tblWorkOrders5[[#This Row],[Labor Cost]]+tblWorkOrders5[[#This Row],[Vendor Cost]]</f>
        <v>3804.13</v>
      </c>
    </row>
    <row r="17" spans="1:11" x14ac:dyDescent="0.25">
      <c r="A17" t="s">
        <v>44</v>
      </c>
      <c r="B17" s="1">
        <v>45892</v>
      </c>
      <c r="C17" t="s">
        <v>23</v>
      </c>
      <c r="D17" t="s">
        <v>36</v>
      </c>
      <c r="E17" t="s">
        <v>37</v>
      </c>
      <c r="F17" t="s">
        <v>39</v>
      </c>
      <c r="G17">
        <v>5.0999999999999996</v>
      </c>
      <c r="H17" s="4">
        <f>_xlfn.XLOOKUP(tblWorkOrders5[[#This Row],[Trade]],tblLaborRates[Trade],tblLaborRates[Hourly Rate])</f>
        <v>79</v>
      </c>
      <c r="I17" s="4">
        <f>tblWorkOrders5[[#This Row],[Labor Hours]]*tblWorkOrders5[[#This Row],[Hourly Rate]]</f>
        <v>402.9</v>
      </c>
      <c r="J17" s="4">
        <f>_xlfn.XLOOKUP(tblWorkOrders5[[#This Row],[WO Number]],tblInvoices[WO Number],tblInvoices[Vendor Cost])</f>
        <v>2030.58</v>
      </c>
      <c r="K17" s="4">
        <f>tblWorkOrders5[[#This Row],[Labor Cost]]+tblWorkOrders5[[#This Row],[Vendor Cost]]</f>
        <v>2433.48</v>
      </c>
    </row>
    <row r="18" spans="1:11" x14ac:dyDescent="0.25">
      <c r="A18" t="s">
        <v>45</v>
      </c>
      <c r="B18" s="1">
        <v>45792</v>
      </c>
      <c r="C18" t="s">
        <v>13</v>
      </c>
      <c r="D18" t="s">
        <v>19</v>
      </c>
      <c r="E18" t="s">
        <v>20</v>
      </c>
      <c r="F18" t="s">
        <v>14</v>
      </c>
      <c r="G18">
        <v>6.7</v>
      </c>
      <c r="H18" s="4">
        <f>_xlfn.XLOOKUP(tblWorkOrders5[[#This Row],[Trade]],tblLaborRates[Trade],tblLaborRates[Hourly Rate])</f>
        <v>68</v>
      </c>
      <c r="I18" s="4">
        <f>tblWorkOrders5[[#This Row],[Labor Hours]]*tblWorkOrders5[[#This Row],[Hourly Rate]]</f>
        <v>455.6</v>
      </c>
      <c r="J18" s="4">
        <f>_xlfn.XLOOKUP(tblWorkOrders5[[#This Row],[WO Number]],tblInvoices[WO Number],tblInvoices[Vendor Cost])</f>
        <v>3491.04</v>
      </c>
      <c r="K18" s="4">
        <f>tblWorkOrders5[[#This Row],[Labor Cost]]+tblWorkOrders5[[#This Row],[Vendor Cost]]</f>
        <v>3946.64</v>
      </c>
    </row>
    <row r="19" spans="1:11" x14ac:dyDescent="0.25">
      <c r="A19" t="s">
        <v>46</v>
      </c>
      <c r="B19" s="1">
        <v>45728</v>
      </c>
      <c r="C19" t="s">
        <v>13</v>
      </c>
      <c r="D19" t="s">
        <v>19</v>
      </c>
      <c r="E19" t="s">
        <v>20</v>
      </c>
      <c r="F19" t="s">
        <v>33</v>
      </c>
      <c r="G19">
        <v>12.5</v>
      </c>
      <c r="H19" s="4">
        <f>_xlfn.XLOOKUP(tblWorkOrders5[[#This Row],[Trade]],tblLaborRates[Trade],tblLaborRates[Hourly Rate])</f>
        <v>68</v>
      </c>
      <c r="I19" s="4">
        <f>tblWorkOrders5[[#This Row],[Labor Hours]]*tblWorkOrders5[[#This Row],[Hourly Rate]]</f>
        <v>850</v>
      </c>
      <c r="J19" s="4">
        <f>_xlfn.XLOOKUP(tblWorkOrders5[[#This Row],[WO Number]],tblInvoices[WO Number],tblInvoices[Vendor Cost])</f>
        <v>3034.69</v>
      </c>
      <c r="K19" s="4">
        <f>tblWorkOrders5[[#This Row],[Labor Cost]]+tblWorkOrders5[[#This Row],[Vendor Cost]]</f>
        <v>3884.69</v>
      </c>
    </row>
    <row r="20" spans="1:11" x14ac:dyDescent="0.25">
      <c r="A20" t="s">
        <v>47</v>
      </c>
      <c r="B20" s="1">
        <v>45736</v>
      </c>
      <c r="C20" t="s">
        <v>23</v>
      </c>
      <c r="D20" t="s">
        <v>19</v>
      </c>
      <c r="E20" t="s">
        <v>20</v>
      </c>
      <c r="F20" t="s">
        <v>33</v>
      </c>
      <c r="G20">
        <v>7.1</v>
      </c>
      <c r="H20" s="4">
        <f>_xlfn.XLOOKUP(tblWorkOrders5[[#This Row],[Trade]],tblLaborRates[Trade],tblLaborRates[Hourly Rate])</f>
        <v>68</v>
      </c>
      <c r="I20" s="4">
        <f>tblWorkOrders5[[#This Row],[Labor Hours]]*tblWorkOrders5[[#This Row],[Hourly Rate]]</f>
        <v>482.79999999999995</v>
      </c>
      <c r="J20" s="4">
        <f>_xlfn.XLOOKUP(tblWorkOrders5[[#This Row],[WO Number]],tblInvoices[WO Number],tblInvoices[Vendor Cost])</f>
        <v>2146.23</v>
      </c>
      <c r="K20" s="4">
        <f>tblWorkOrders5[[#This Row],[Labor Cost]]+tblWorkOrders5[[#This Row],[Vendor Cost]]</f>
        <v>2629.0299999999997</v>
      </c>
    </row>
    <row r="21" spans="1:11" x14ac:dyDescent="0.25">
      <c r="A21" t="s">
        <v>48</v>
      </c>
      <c r="B21" s="1">
        <v>45897</v>
      </c>
      <c r="C21" t="s">
        <v>13</v>
      </c>
      <c r="D21" t="s">
        <v>36</v>
      </c>
      <c r="E21" t="s">
        <v>37</v>
      </c>
      <c r="F21" t="s">
        <v>17</v>
      </c>
      <c r="G21">
        <v>11.4</v>
      </c>
      <c r="H21" s="4">
        <f>_xlfn.XLOOKUP(tblWorkOrders5[[#This Row],[Trade]],tblLaborRates[Trade],tblLaborRates[Hourly Rate])</f>
        <v>79</v>
      </c>
      <c r="I21" s="4">
        <f>tblWorkOrders5[[#This Row],[Labor Hours]]*tblWorkOrders5[[#This Row],[Hourly Rate]]</f>
        <v>900.6</v>
      </c>
      <c r="J21" s="4">
        <f>_xlfn.XLOOKUP(tblWorkOrders5[[#This Row],[WO Number]],tblInvoices[WO Number],tblInvoices[Vendor Cost])</f>
        <v>533.75</v>
      </c>
      <c r="K21" s="4">
        <f>tblWorkOrders5[[#This Row],[Labor Cost]]+tblWorkOrders5[[#This Row],[Vendor Cost]]</f>
        <v>1434.35</v>
      </c>
    </row>
    <row r="22" spans="1:11" x14ac:dyDescent="0.25">
      <c r="A22" t="s">
        <v>49</v>
      </c>
      <c r="B22" s="1">
        <v>45932</v>
      </c>
      <c r="C22" t="s">
        <v>27</v>
      </c>
      <c r="D22" t="s">
        <v>36</v>
      </c>
      <c r="E22" t="s">
        <v>37</v>
      </c>
      <c r="F22" t="s">
        <v>33</v>
      </c>
      <c r="G22">
        <v>5.8</v>
      </c>
      <c r="H22" s="4">
        <f>_xlfn.XLOOKUP(tblWorkOrders5[[#This Row],[Trade]],tblLaborRates[Trade],tblLaborRates[Hourly Rate])</f>
        <v>79</v>
      </c>
      <c r="I22" s="4">
        <f>tblWorkOrders5[[#This Row],[Labor Hours]]*tblWorkOrders5[[#This Row],[Hourly Rate]]</f>
        <v>458.2</v>
      </c>
      <c r="J22" s="4">
        <f>_xlfn.XLOOKUP(tblWorkOrders5[[#This Row],[WO Number]],tblInvoices[WO Number],tblInvoices[Vendor Cost])</f>
        <v>679.83</v>
      </c>
      <c r="K22" s="4">
        <f>tblWorkOrders5[[#This Row],[Labor Cost]]+tblWorkOrders5[[#This Row],[Vendor Cost]]</f>
        <v>1138.03</v>
      </c>
    </row>
    <row r="23" spans="1:11" x14ac:dyDescent="0.25">
      <c r="A23" t="s">
        <v>50</v>
      </c>
      <c r="B23" s="1">
        <v>45659</v>
      </c>
      <c r="C23" t="s">
        <v>27</v>
      </c>
      <c r="D23" t="s">
        <v>16</v>
      </c>
      <c r="E23" t="s">
        <v>16</v>
      </c>
      <c r="F23" t="s">
        <v>39</v>
      </c>
      <c r="G23">
        <v>8.9</v>
      </c>
      <c r="H23" s="4">
        <f>_xlfn.XLOOKUP(tblWorkOrders5[[#This Row],[Trade]],tblLaborRates[Trade],tblLaborRates[Hourly Rate])</f>
        <v>52</v>
      </c>
      <c r="I23" s="4">
        <f>tblWorkOrders5[[#This Row],[Labor Hours]]*tblWorkOrders5[[#This Row],[Hourly Rate]]</f>
        <v>462.8</v>
      </c>
      <c r="J23" s="4">
        <f>_xlfn.XLOOKUP(tblWorkOrders5[[#This Row],[WO Number]],tblInvoices[WO Number],tblInvoices[Vendor Cost])</f>
        <v>506.48</v>
      </c>
      <c r="K23" s="4">
        <f>tblWorkOrders5[[#This Row],[Labor Cost]]+tblWorkOrders5[[#This Row],[Vendor Cost]]</f>
        <v>969.28</v>
      </c>
    </row>
    <row r="24" spans="1:11" x14ac:dyDescent="0.25">
      <c r="A24" t="s">
        <v>51</v>
      </c>
      <c r="B24" s="1">
        <v>45978</v>
      </c>
      <c r="C24" t="s">
        <v>27</v>
      </c>
      <c r="D24" t="s">
        <v>16</v>
      </c>
      <c r="E24" t="s">
        <v>16</v>
      </c>
      <c r="F24" t="s">
        <v>21</v>
      </c>
      <c r="G24">
        <v>3.7</v>
      </c>
      <c r="H24" s="4">
        <f>_xlfn.XLOOKUP(tblWorkOrders5[[#This Row],[Trade]],tblLaborRates[Trade],tblLaborRates[Hourly Rate])</f>
        <v>52</v>
      </c>
      <c r="I24" s="4">
        <f>tblWorkOrders5[[#This Row],[Labor Hours]]*tblWorkOrders5[[#This Row],[Hourly Rate]]</f>
        <v>192.4</v>
      </c>
      <c r="J24" s="4">
        <f>_xlfn.XLOOKUP(tblWorkOrders5[[#This Row],[WO Number]],tblInvoices[WO Number],tblInvoices[Vendor Cost])</f>
        <v>2704.41</v>
      </c>
      <c r="K24" s="4">
        <f>tblWorkOrders5[[#This Row],[Labor Cost]]+tblWorkOrders5[[#This Row],[Vendor Cost]]</f>
        <v>2896.81</v>
      </c>
    </row>
    <row r="25" spans="1:11" x14ac:dyDescent="0.25">
      <c r="A25" t="s">
        <v>52</v>
      </c>
      <c r="B25" s="1">
        <v>45934</v>
      </c>
      <c r="C25" t="s">
        <v>13</v>
      </c>
      <c r="D25" t="s">
        <v>9</v>
      </c>
      <c r="E25" t="s">
        <v>10</v>
      </c>
      <c r="F25" t="s">
        <v>24</v>
      </c>
      <c r="G25">
        <v>8.6</v>
      </c>
      <c r="H25" s="4">
        <f>_xlfn.XLOOKUP(tblWorkOrders5[[#This Row],[Trade]],tblLaborRates[Trade],tblLaborRates[Hourly Rate])</f>
        <v>75</v>
      </c>
      <c r="I25" s="4">
        <f>tblWorkOrders5[[#This Row],[Labor Hours]]*tblWorkOrders5[[#This Row],[Hourly Rate]]</f>
        <v>645</v>
      </c>
      <c r="J25" s="4">
        <f>_xlfn.XLOOKUP(tblWorkOrders5[[#This Row],[WO Number]],tblInvoices[WO Number],tblInvoices[Vendor Cost])</f>
        <v>524.76</v>
      </c>
      <c r="K25" s="4">
        <f>tblWorkOrders5[[#This Row],[Labor Cost]]+tblWorkOrders5[[#This Row],[Vendor Cost]]</f>
        <v>1169.76</v>
      </c>
    </row>
    <row r="26" spans="1:11" x14ac:dyDescent="0.25">
      <c r="A26" t="s">
        <v>53</v>
      </c>
      <c r="B26" s="1">
        <v>45843</v>
      </c>
      <c r="C26" t="s">
        <v>27</v>
      </c>
      <c r="D26" t="s">
        <v>31</v>
      </c>
      <c r="E26" t="s">
        <v>32</v>
      </c>
      <c r="F26" t="s">
        <v>17</v>
      </c>
      <c r="G26">
        <v>5</v>
      </c>
      <c r="H26" s="4">
        <f>_xlfn.XLOOKUP(tblWorkOrders5[[#This Row],[Trade]],tblLaborRates[Trade],tblLaborRates[Hourly Rate])</f>
        <v>82</v>
      </c>
      <c r="I26" s="4">
        <f>tblWorkOrders5[[#This Row],[Labor Hours]]*tblWorkOrders5[[#This Row],[Hourly Rate]]</f>
        <v>410</v>
      </c>
      <c r="J26" s="4">
        <f>_xlfn.XLOOKUP(tblWorkOrders5[[#This Row],[WO Number]],tblInvoices[WO Number],tblInvoices[Vendor Cost])</f>
        <v>2050.65</v>
      </c>
      <c r="K26" s="4">
        <f>tblWorkOrders5[[#This Row],[Labor Cost]]+tblWorkOrders5[[#This Row],[Vendor Cost]]</f>
        <v>2460.65</v>
      </c>
    </row>
    <row r="27" spans="1:11" x14ac:dyDescent="0.25">
      <c r="A27" t="s">
        <v>54</v>
      </c>
      <c r="B27" s="1">
        <v>45698</v>
      </c>
      <c r="C27" t="s">
        <v>8</v>
      </c>
      <c r="D27" t="s">
        <v>19</v>
      </c>
      <c r="E27" t="s">
        <v>20</v>
      </c>
      <c r="F27" t="s">
        <v>33</v>
      </c>
      <c r="G27">
        <v>15.7</v>
      </c>
      <c r="H27" s="4">
        <f>_xlfn.XLOOKUP(tblWorkOrders5[[#This Row],[Trade]],tblLaborRates[Trade],tblLaborRates[Hourly Rate])</f>
        <v>68</v>
      </c>
      <c r="I27" s="4">
        <f>tblWorkOrders5[[#This Row],[Labor Hours]]*tblWorkOrders5[[#This Row],[Hourly Rate]]</f>
        <v>1067.5999999999999</v>
      </c>
      <c r="J27" s="4">
        <f>_xlfn.XLOOKUP(tblWorkOrders5[[#This Row],[WO Number]],tblInvoices[WO Number],tblInvoices[Vendor Cost])</f>
        <v>1934.57</v>
      </c>
      <c r="K27" s="4">
        <f>tblWorkOrders5[[#This Row],[Labor Cost]]+tblWorkOrders5[[#This Row],[Vendor Cost]]</f>
        <v>3002.17</v>
      </c>
    </row>
    <row r="28" spans="1:11" x14ac:dyDescent="0.25">
      <c r="A28" t="s">
        <v>55</v>
      </c>
      <c r="B28" s="1">
        <v>45722</v>
      </c>
      <c r="C28" t="s">
        <v>23</v>
      </c>
      <c r="D28" t="s">
        <v>19</v>
      </c>
      <c r="E28" t="s">
        <v>20</v>
      </c>
      <c r="F28" t="s">
        <v>39</v>
      </c>
      <c r="G28">
        <v>5.3</v>
      </c>
      <c r="H28" s="4">
        <f>_xlfn.XLOOKUP(tblWorkOrders5[[#This Row],[Trade]],tblLaborRates[Trade],tblLaborRates[Hourly Rate])</f>
        <v>68</v>
      </c>
      <c r="I28" s="4">
        <f>tblWorkOrders5[[#This Row],[Labor Hours]]*tblWorkOrders5[[#This Row],[Hourly Rate]]</f>
        <v>360.4</v>
      </c>
      <c r="J28" s="4">
        <f>_xlfn.XLOOKUP(tblWorkOrders5[[#This Row],[WO Number]],tblInvoices[WO Number],tblInvoices[Vendor Cost])</f>
        <v>3072.65</v>
      </c>
      <c r="K28" s="4">
        <f>tblWorkOrders5[[#This Row],[Labor Cost]]+tblWorkOrders5[[#This Row],[Vendor Cost]]</f>
        <v>3433.05</v>
      </c>
    </row>
    <row r="29" spans="1:11" x14ac:dyDescent="0.25">
      <c r="A29" t="s">
        <v>56</v>
      </c>
      <c r="B29" s="1">
        <v>45874</v>
      </c>
      <c r="C29" t="s">
        <v>23</v>
      </c>
      <c r="D29" t="s">
        <v>16</v>
      </c>
      <c r="E29" t="s">
        <v>16</v>
      </c>
      <c r="F29" t="s">
        <v>21</v>
      </c>
      <c r="G29">
        <v>11.8</v>
      </c>
      <c r="H29" s="4">
        <f>_xlfn.XLOOKUP(tblWorkOrders5[[#This Row],[Trade]],tblLaborRates[Trade],tblLaborRates[Hourly Rate])</f>
        <v>52</v>
      </c>
      <c r="I29" s="4">
        <f>tblWorkOrders5[[#This Row],[Labor Hours]]*tblWorkOrders5[[#This Row],[Hourly Rate]]</f>
        <v>613.6</v>
      </c>
      <c r="J29" s="4">
        <f>_xlfn.XLOOKUP(tblWorkOrders5[[#This Row],[WO Number]],tblInvoices[WO Number],tblInvoices[Vendor Cost])</f>
        <v>1486.62</v>
      </c>
      <c r="K29" s="4">
        <f>tblWorkOrders5[[#This Row],[Labor Cost]]+tblWorkOrders5[[#This Row],[Vendor Cost]]</f>
        <v>2100.2199999999998</v>
      </c>
    </row>
    <row r="30" spans="1:11" x14ac:dyDescent="0.25">
      <c r="A30" t="s">
        <v>57</v>
      </c>
      <c r="B30" s="1">
        <v>46001</v>
      </c>
      <c r="C30" t="s">
        <v>27</v>
      </c>
      <c r="D30" t="s">
        <v>19</v>
      </c>
      <c r="E30" t="s">
        <v>20</v>
      </c>
      <c r="F30" t="s">
        <v>28</v>
      </c>
      <c r="G30">
        <v>3.3</v>
      </c>
      <c r="H30" s="4">
        <f>_xlfn.XLOOKUP(tblWorkOrders5[[#This Row],[Trade]],tblLaborRates[Trade],tblLaborRates[Hourly Rate])</f>
        <v>68</v>
      </c>
      <c r="I30" s="4">
        <f>tblWorkOrders5[[#This Row],[Labor Hours]]*tblWorkOrders5[[#This Row],[Hourly Rate]]</f>
        <v>224.39999999999998</v>
      </c>
      <c r="J30" s="4">
        <f>_xlfn.XLOOKUP(tblWorkOrders5[[#This Row],[WO Number]],tblInvoices[WO Number],tblInvoices[Vendor Cost])</f>
        <v>902.74</v>
      </c>
      <c r="K30" s="4">
        <f>tblWorkOrders5[[#This Row],[Labor Cost]]+tblWorkOrders5[[#This Row],[Vendor Cost]]</f>
        <v>1127.1399999999999</v>
      </c>
    </row>
    <row r="31" spans="1:11" x14ac:dyDescent="0.25">
      <c r="A31" t="s">
        <v>58</v>
      </c>
      <c r="B31" s="1">
        <v>45831</v>
      </c>
      <c r="C31" t="s">
        <v>8</v>
      </c>
      <c r="D31" t="s">
        <v>16</v>
      </c>
      <c r="E31" t="s">
        <v>16</v>
      </c>
      <c r="F31" t="s">
        <v>21</v>
      </c>
      <c r="G31">
        <v>10</v>
      </c>
      <c r="H31" s="4">
        <f>_xlfn.XLOOKUP(tblWorkOrders5[[#This Row],[Trade]],tblLaborRates[Trade],tblLaborRates[Hourly Rate])</f>
        <v>52</v>
      </c>
      <c r="I31" s="4">
        <f>tblWorkOrders5[[#This Row],[Labor Hours]]*tblWorkOrders5[[#This Row],[Hourly Rate]]</f>
        <v>520</v>
      </c>
      <c r="J31" s="4">
        <f>_xlfn.XLOOKUP(tblWorkOrders5[[#This Row],[WO Number]],tblInvoices[WO Number],tblInvoices[Vendor Cost])</f>
        <v>174.09</v>
      </c>
      <c r="K31" s="4">
        <f>tblWorkOrders5[[#This Row],[Labor Cost]]+tblWorkOrders5[[#This Row],[Vendor Cost]]</f>
        <v>694.09</v>
      </c>
    </row>
    <row r="32" spans="1:11" x14ac:dyDescent="0.25">
      <c r="A32" t="s">
        <v>59</v>
      </c>
      <c r="B32" s="1">
        <v>46020</v>
      </c>
      <c r="C32" t="s">
        <v>8</v>
      </c>
      <c r="D32" t="s">
        <v>31</v>
      </c>
      <c r="E32" t="s">
        <v>32</v>
      </c>
      <c r="F32" t="s">
        <v>33</v>
      </c>
      <c r="G32">
        <v>14.6</v>
      </c>
      <c r="H32" s="4">
        <f>_xlfn.XLOOKUP(tblWorkOrders5[[#This Row],[Trade]],tblLaborRates[Trade],tblLaborRates[Hourly Rate])</f>
        <v>82</v>
      </c>
      <c r="I32" s="4">
        <f>tblWorkOrders5[[#This Row],[Labor Hours]]*tblWorkOrders5[[#This Row],[Hourly Rate]]</f>
        <v>1197.2</v>
      </c>
      <c r="J32" s="4">
        <f>_xlfn.XLOOKUP(tblWorkOrders5[[#This Row],[WO Number]],tblInvoices[WO Number],tblInvoices[Vendor Cost])</f>
        <v>3029.78</v>
      </c>
      <c r="K32" s="4">
        <f>tblWorkOrders5[[#This Row],[Labor Cost]]+tblWorkOrders5[[#This Row],[Vendor Cost]]</f>
        <v>4226.9800000000005</v>
      </c>
    </row>
    <row r="33" spans="1:11" x14ac:dyDescent="0.25">
      <c r="A33" t="s">
        <v>60</v>
      </c>
      <c r="B33" s="1">
        <v>45694</v>
      </c>
      <c r="C33" t="s">
        <v>13</v>
      </c>
      <c r="D33" t="s">
        <v>31</v>
      </c>
      <c r="E33" t="s">
        <v>32</v>
      </c>
      <c r="F33" t="s">
        <v>11</v>
      </c>
      <c r="G33">
        <v>11.2</v>
      </c>
      <c r="H33" s="4">
        <f>_xlfn.XLOOKUP(tblWorkOrders5[[#This Row],[Trade]],tblLaborRates[Trade],tblLaborRates[Hourly Rate])</f>
        <v>82</v>
      </c>
      <c r="I33" s="4">
        <f>tblWorkOrders5[[#This Row],[Labor Hours]]*tblWorkOrders5[[#This Row],[Hourly Rate]]</f>
        <v>918.4</v>
      </c>
      <c r="J33" s="4">
        <f>_xlfn.XLOOKUP(tblWorkOrders5[[#This Row],[WO Number]],tblInvoices[WO Number],tblInvoices[Vendor Cost])</f>
        <v>867.69</v>
      </c>
      <c r="K33" s="4">
        <f>tblWorkOrders5[[#This Row],[Labor Cost]]+tblWorkOrders5[[#This Row],[Vendor Cost]]</f>
        <v>1786.0900000000001</v>
      </c>
    </row>
    <row r="34" spans="1:11" x14ac:dyDescent="0.25">
      <c r="A34" t="s">
        <v>61</v>
      </c>
      <c r="B34" s="1">
        <v>45725</v>
      </c>
      <c r="C34" t="s">
        <v>13</v>
      </c>
      <c r="D34" t="s">
        <v>16</v>
      </c>
      <c r="E34" t="s">
        <v>16</v>
      </c>
      <c r="F34" t="s">
        <v>28</v>
      </c>
      <c r="G34">
        <v>5</v>
      </c>
      <c r="H34" s="4">
        <f>_xlfn.XLOOKUP(tblWorkOrders5[[#This Row],[Trade]],tblLaborRates[Trade],tblLaborRates[Hourly Rate])</f>
        <v>52</v>
      </c>
      <c r="I34" s="4">
        <f>tblWorkOrders5[[#This Row],[Labor Hours]]*tblWorkOrders5[[#This Row],[Hourly Rate]]</f>
        <v>260</v>
      </c>
      <c r="J34" s="4">
        <f>_xlfn.XLOOKUP(tblWorkOrders5[[#This Row],[WO Number]],tblInvoices[WO Number],tblInvoices[Vendor Cost])</f>
        <v>1734.46</v>
      </c>
      <c r="K34" s="4">
        <f>tblWorkOrders5[[#This Row],[Labor Cost]]+tblWorkOrders5[[#This Row],[Vendor Cost]]</f>
        <v>1994.46</v>
      </c>
    </row>
    <row r="35" spans="1:11" x14ac:dyDescent="0.25">
      <c r="A35" t="s">
        <v>62</v>
      </c>
      <c r="B35" s="1">
        <v>45866</v>
      </c>
      <c r="C35" t="s">
        <v>23</v>
      </c>
      <c r="D35" t="s">
        <v>9</v>
      </c>
      <c r="E35" t="s">
        <v>10</v>
      </c>
      <c r="F35" t="s">
        <v>33</v>
      </c>
      <c r="G35">
        <v>11.1</v>
      </c>
      <c r="H35" s="4">
        <f>_xlfn.XLOOKUP(tblWorkOrders5[[#This Row],[Trade]],tblLaborRates[Trade],tblLaborRates[Hourly Rate])</f>
        <v>75</v>
      </c>
      <c r="I35" s="4">
        <f>tblWorkOrders5[[#This Row],[Labor Hours]]*tblWorkOrders5[[#This Row],[Hourly Rate]]</f>
        <v>832.5</v>
      </c>
      <c r="J35" s="4">
        <f>_xlfn.XLOOKUP(tblWorkOrders5[[#This Row],[WO Number]],tblInvoices[WO Number],tblInvoices[Vendor Cost])</f>
        <v>1336.9</v>
      </c>
      <c r="K35" s="4">
        <f>tblWorkOrders5[[#This Row],[Labor Cost]]+tblWorkOrders5[[#This Row],[Vendor Cost]]</f>
        <v>2169.4</v>
      </c>
    </row>
    <row r="36" spans="1:11" x14ac:dyDescent="0.25">
      <c r="A36" t="s">
        <v>63</v>
      </c>
      <c r="B36" s="1">
        <v>45868</v>
      </c>
      <c r="C36" t="s">
        <v>41</v>
      </c>
      <c r="D36" t="s">
        <v>9</v>
      </c>
      <c r="E36" t="s">
        <v>10</v>
      </c>
      <c r="F36" t="s">
        <v>33</v>
      </c>
      <c r="G36">
        <v>2.4</v>
      </c>
      <c r="H36" s="4">
        <f>_xlfn.XLOOKUP(tblWorkOrders5[[#This Row],[Trade]],tblLaborRates[Trade],tblLaborRates[Hourly Rate])</f>
        <v>75</v>
      </c>
      <c r="I36" s="4">
        <f>tblWorkOrders5[[#This Row],[Labor Hours]]*tblWorkOrders5[[#This Row],[Hourly Rate]]</f>
        <v>180</v>
      </c>
      <c r="J36" s="4">
        <f>_xlfn.XLOOKUP(tblWorkOrders5[[#This Row],[WO Number]],tblInvoices[WO Number],tblInvoices[Vendor Cost])</f>
        <v>2589.52</v>
      </c>
      <c r="K36" s="4">
        <f>tblWorkOrders5[[#This Row],[Labor Cost]]+tblWorkOrders5[[#This Row],[Vendor Cost]]</f>
        <v>2769.52</v>
      </c>
    </row>
    <row r="37" spans="1:11" x14ac:dyDescent="0.25">
      <c r="A37" t="s">
        <v>64</v>
      </c>
      <c r="B37" s="1">
        <v>45713</v>
      </c>
      <c r="C37" t="s">
        <v>23</v>
      </c>
      <c r="D37" t="s">
        <v>31</v>
      </c>
      <c r="E37" t="s">
        <v>32</v>
      </c>
      <c r="F37" t="s">
        <v>21</v>
      </c>
      <c r="G37">
        <v>9.3000000000000007</v>
      </c>
      <c r="H37" s="4">
        <f>_xlfn.XLOOKUP(tblWorkOrders5[[#This Row],[Trade]],tblLaborRates[Trade],tblLaborRates[Hourly Rate])</f>
        <v>82</v>
      </c>
      <c r="I37" s="4">
        <f>tblWorkOrders5[[#This Row],[Labor Hours]]*tblWorkOrders5[[#This Row],[Hourly Rate]]</f>
        <v>762.6</v>
      </c>
      <c r="J37" s="4">
        <f>_xlfn.XLOOKUP(tblWorkOrders5[[#This Row],[WO Number]],tblInvoices[WO Number],tblInvoices[Vendor Cost])</f>
        <v>619.61</v>
      </c>
      <c r="K37" s="4">
        <f>tblWorkOrders5[[#This Row],[Labor Cost]]+tblWorkOrders5[[#This Row],[Vendor Cost]]</f>
        <v>1382.21</v>
      </c>
    </row>
    <row r="38" spans="1:11" x14ac:dyDescent="0.25">
      <c r="A38" t="s">
        <v>65</v>
      </c>
      <c r="B38" s="1">
        <v>45751</v>
      </c>
      <c r="C38" t="s">
        <v>27</v>
      </c>
      <c r="D38" t="s">
        <v>19</v>
      </c>
      <c r="E38" t="s">
        <v>20</v>
      </c>
      <c r="F38" t="s">
        <v>21</v>
      </c>
      <c r="G38">
        <v>14.2</v>
      </c>
      <c r="H38" s="4">
        <f>_xlfn.XLOOKUP(tblWorkOrders5[[#This Row],[Trade]],tblLaborRates[Trade],tblLaborRates[Hourly Rate])</f>
        <v>68</v>
      </c>
      <c r="I38" s="4">
        <f>tblWorkOrders5[[#This Row],[Labor Hours]]*tblWorkOrders5[[#This Row],[Hourly Rate]]</f>
        <v>965.59999999999991</v>
      </c>
      <c r="J38" s="4">
        <f>_xlfn.XLOOKUP(tblWorkOrders5[[#This Row],[WO Number]],tblInvoices[WO Number],tblInvoices[Vendor Cost])</f>
        <v>402.54</v>
      </c>
      <c r="K38" s="4">
        <f>tblWorkOrders5[[#This Row],[Labor Cost]]+tblWorkOrders5[[#This Row],[Vendor Cost]]</f>
        <v>1368.1399999999999</v>
      </c>
    </row>
    <row r="39" spans="1:11" x14ac:dyDescent="0.25">
      <c r="A39" t="s">
        <v>66</v>
      </c>
      <c r="B39" s="1">
        <v>45939</v>
      </c>
      <c r="C39" t="s">
        <v>8</v>
      </c>
      <c r="D39" t="s">
        <v>9</v>
      </c>
      <c r="E39" t="s">
        <v>10</v>
      </c>
      <c r="F39" t="s">
        <v>17</v>
      </c>
      <c r="G39">
        <v>15.6</v>
      </c>
      <c r="H39" s="4">
        <f>_xlfn.XLOOKUP(tblWorkOrders5[[#This Row],[Trade]],tblLaborRates[Trade],tblLaborRates[Hourly Rate])</f>
        <v>75</v>
      </c>
      <c r="I39" s="4">
        <f>tblWorkOrders5[[#This Row],[Labor Hours]]*tblWorkOrders5[[#This Row],[Hourly Rate]]</f>
        <v>1170</v>
      </c>
      <c r="J39" s="4">
        <f>_xlfn.XLOOKUP(tblWorkOrders5[[#This Row],[WO Number]],tblInvoices[WO Number],tblInvoices[Vendor Cost])</f>
        <v>3253.33</v>
      </c>
      <c r="K39" s="4">
        <f>tblWorkOrders5[[#This Row],[Labor Cost]]+tblWorkOrders5[[#This Row],[Vendor Cost]]</f>
        <v>4423.33</v>
      </c>
    </row>
    <row r="40" spans="1:11" x14ac:dyDescent="0.25">
      <c r="A40" t="s">
        <v>67</v>
      </c>
      <c r="B40" s="1">
        <v>45779</v>
      </c>
      <c r="C40" t="s">
        <v>23</v>
      </c>
      <c r="D40" t="s">
        <v>19</v>
      </c>
      <c r="E40" t="s">
        <v>20</v>
      </c>
      <c r="F40" t="s">
        <v>28</v>
      </c>
      <c r="G40">
        <v>8.5</v>
      </c>
      <c r="H40" s="4">
        <f>_xlfn.XLOOKUP(tblWorkOrders5[[#This Row],[Trade]],tblLaborRates[Trade],tblLaborRates[Hourly Rate])</f>
        <v>68</v>
      </c>
      <c r="I40" s="4">
        <f>tblWorkOrders5[[#This Row],[Labor Hours]]*tblWorkOrders5[[#This Row],[Hourly Rate]]</f>
        <v>578</v>
      </c>
      <c r="J40" s="4">
        <f>_xlfn.XLOOKUP(tblWorkOrders5[[#This Row],[WO Number]],tblInvoices[WO Number],tblInvoices[Vendor Cost])</f>
        <v>3046.58</v>
      </c>
      <c r="K40" s="4">
        <f>tblWorkOrders5[[#This Row],[Labor Cost]]+tblWorkOrders5[[#This Row],[Vendor Cost]]</f>
        <v>3624.58</v>
      </c>
    </row>
    <row r="41" spans="1:11" x14ac:dyDescent="0.25">
      <c r="A41" t="s">
        <v>68</v>
      </c>
      <c r="B41" s="1">
        <v>45688</v>
      </c>
      <c r="C41" t="s">
        <v>23</v>
      </c>
      <c r="D41" t="s">
        <v>19</v>
      </c>
      <c r="E41" t="s">
        <v>20</v>
      </c>
      <c r="F41" t="s">
        <v>17</v>
      </c>
      <c r="G41">
        <v>15.8</v>
      </c>
      <c r="H41" s="4">
        <f>_xlfn.XLOOKUP(tblWorkOrders5[[#This Row],[Trade]],tblLaborRates[Trade],tblLaborRates[Hourly Rate])</f>
        <v>68</v>
      </c>
      <c r="I41" s="4">
        <f>tblWorkOrders5[[#This Row],[Labor Hours]]*tblWorkOrders5[[#This Row],[Hourly Rate]]</f>
        <v>1074.4000000000001</v>
      </c>
      <c r="J41" s="4">
        <f>_xlfn.XLOOKUP(tblWorkOrders5[[#This Row],[WO Number]],tblInvoices[WO Number],tblInvoices[Vendor Cost])</f>
        <v>1038.43</v>
      </c>
      <c r="K41" s="4">
        <f>tblWorkOrders5[[#This Row],[Labor Cost]]+tblWorkOrders5[[#This Row],[Vendor Cost]]</f>
        <v>2112.83</v>
      </c>
    </row>
    <row r="42" spans="1:11" x14ac:dyDescent="0.25">
      <c r="A42" t="s">
        <v>69</v>
      </c>
      <c r="B42" s="1">
        <v>45890</v>
      </c>
      <c r="C42" t="s">
        <v>27</v>
      </c>
      <c r="D42" t="s">
        <v>19</v>
      </c>
      <c r="E42" t="s">
        <v>20</v>
      </c>
      <c r="F42" t="s">
        <v>28</v>
      </c>
      <c r="G42">
        <v>3.7</v>
      </c>
      <c r="H42" s="4">
        <f>_xlfn.XLOOKUP(tblWorkOrders5[[#This Row],[Trade]],tblLaborRates[Trade],tblLaborRates[Hourly Rate])</f>
        <v>68</v>
      </c>
      <c r="I42" s="4">
        <f>tblWorkOrders5[[#This Row],[Labor Hours]]*tblWorkOrders5[[#This Row],[Hourly Rate]]</f>
        <v>251.60000000000002</v>
      </c>
      <c r="J42" s="4">
        <f>_xlfn.XLOOKUP(tblWorkOrders5[[#This Row],[WO Number]],tblInvoices[WO Number],tblInvoices[Vendor Cost])</f>
        <v>1143.97</v>
      </c>
      <c r="K42" s="4">
        <f>tblWorkOrders5[[#This Row],[Labor Cost]]+tblWorkOrders5[[#This Row],[Vendor Cost]]</f>
        <v>1395.5700000000002</v>
      </c>
    </row>
    <row r="43" spans="1:11" x14ac:dyDescent="0.25">
      <c r="A43" t="s">
        <v>70</v>
      </c>
      <c r="B43" s="1">
        <v>45687</v>
      </c>
      <c r="C43" t="s">
        <v>13</v>
      </c>
      <c r="D43" t="s">
        <v>16</v>
      </c>
      <c r="E43" t="s">
        <v>16</v>
      </c>
      <c r="F43" t="s">
        <v>17</v>
      </c>
      <c r="G43">
        <v>12.3</v>
      </c>
      <c r="H43" s="4">
        <f>_xlfn.XLOOKUP(tblWorkOrders5[[#This Row],[Trade]],tblLaborRates[Trade],tblLaborRates[Hourly Rate])</f>
        <v>52</v>
      </c>
      <c r="I43" s="4">
        <f>tblWorkOrders5[[#This Row],[Labor Hours]]*tblWorkOrders5[[#This Row],[Hourly Rate]]</f>
        <v>639.6</v>
      </c>
      <c r="J43" s="4">
        <f>_xlfn.XLOOKUP(tblWorkOrders5[[#This Row],[WO Number]],tblInvoices[WO Number],tblInvoices[Vendor Cost])</f>
        <v>341.5</v>
      </c>
      <c r="K43" s="4">
        <f>tblWorkOrders5[[#This Row],[Labor Cost]]+tblWorkOrders5[[#This Row],[Vendor Cost]]</f>
        <v>981.1</v>
      </c>
    </row>
    <row r="44" spans="1:11" x14ac:dyDescent="0.25">
      <c r="A44" t="s">
        <v>71</v>
      </c>
      <c r="B44" s="1">
        <v>45957</v>
      </c>
      <c r="C44" t="s">
        <v>41</v>
      </c>
      <c r="D44" t="s">
        <v>16</v>
      </c>
      <c r="E44" t="s">
        <v>16</v>
      </c>
      <c r="F44" t="s">
        <v>39</v>
      </c>
      <c r="G44">
        <v>2.2999999999999998</v>
      </c>
      <c r="H44" s="4">
        <f>_xlfn.XLOOKUP(tblWorkOrders5[[#This Row],[Trade]],tblLaborRates[Trade],tblLaborRates[Hourly Rate])</f>
        <v>52</v>
      </c>
      <c r="I44" s="4">
        <f>tblWorkOrders5[[#This Row],[Labor Hours]]*tblWorkOrders5[[#This Row],[Hourly Rate]]</f>
        <v>119.6</v>
      </c>
      <c r="J44" s="4">
        <f>_xlfn.XLOOKUP(tblWorkOrders5[[#This Row],[WO Number]],tblInvoices[WO Number],tblInvoices[Vendor Cost])</f>
        <v>1851.23</v>
      </c>
      <c r="K44" s="4">
        <f>tblWorkOrders5[[#This Row],[Labor Cost]]+tblWorkOrders5[[#This Row],[Vendor Cost]]</f>
        <v>1970.83</v>
      </c>
    </row>
    <row r="45" spans="1:11" x14ac:dyDescent="0.25">
      <c r="A45" t="s">
        <v>72</v>
      </c>
      <c r="B45" s="1">
        <v>45753</v>
      </c>
      <c r="C45" t="s">
        <v>8</v>
      </c>
      <c r="D45" t="s">
        <v>16</v>
      </c>
      <c r="E45" t="s">
        <v>16</v>
      </c>
      <c r="F45" t="s">
        <v>33</v>
      </c>
      <c r="G45">
        <v>11.3</v>
      </c>
      <c r="H45" s="4">
        <f>_xlfn.XLOOKUP(tblWorkOrders5[[#This Row],[Trade]],tblLaborRates[Trade],tblLaborRates[Hourly Rate])</f>
        <v>52</v>
      </c>
      <c r="I45" s="4">
        <f>tblWorkOrders5[[#This Row],[Labor Hours]]*tblWorkOrders5[[#This Row],[Hourly Rate]]</f>
        <v>587.6</v>
      </c>
      <c r="J45" s="4">
        <f>_xlfn.XLOOKUP(tblWorkOrders5[[#This Row],[WO Number]],tblInvoices[WO Number],tblInvoices[Vendor Cost])</f>
        <v>937.93</v>
      </c>
      <c r="K45" s="4">
        <f>tblWorkOrders5[[#This Row],[Labor Cost]]+tblWorkOrders5[[#This Row],[Vendor Cost]]</f>
        <v>1525.53</v>
      </c>
    </row>
    <row r="46" spans="1:11" x14ac:dyDescent="0.25">
      <c r="A46" t="s">
        <v>73</v>
      </c>
      <c r="B46" s="1">
        <v>45719</v>
      </c>
      <c r="C46" t="s">
        <v>13</v>
      </c>
      <c r="D46" t="s">
        <v>31</v>
      </c>
      <c r="E46" t="s">
        <v>32</v>
      </c>
      <c r="F46" t="s">
        <v>17</v>
      </c>
      <c r="G46">
        <v>10.5</v>
      </c>
      <c r="H46" s="4">
        <f>_xlfn.XLOOKUP(tblWorkOrders5[[#This Row],[Trade]],tblLaborRates[Trade],tblLaborRates[Hourly Rate])</f>
        <v>82</v>
      </c>
      <c r="I46" s="4">
        <f>tblWorkOrders5[[#This Row],[Labor Hours]]*tblWorkOrders5[[#This Row],[Hourly Rate]]</f>
        <v>861</v>
      </c>
      <c r="J46" s="4">
        <f>_xlfn.XLOOKUP(tblWorkOrders5[[#This Row],[WO Number]],tblInvoices[WO Number],tblInvoices[Vendor Cost])</f>
        <v>1554.4</v>
      </c>
      <c r="K46" s="4">
        <f>tblWorkOrders5[[#This Row],[Labor Cost]]+tblWorkOrders5[[#This Row],[Vendor Cost]]</f>
        <v>2415.4</v>
      </c>
    </row>
    <row r="47" spans="1:11" x14ac:dyDescent="0.25">
      <c r="A47" t="s">
        <v>74</v>
      </c>
      <c r="B47" s="1">
        <v>45956</v>
      </c>
      <c r="C47" t="s">
        <v>13</v>
      </c>
      <c r="D47" t="s">
        <v>16</v>
      </c>
      <c r="E47" t="s">
        <v>16</v>
      </c>
      <c r="F47" t="s">
        <v>24</v>
      </c>
      <c r="G47">
        <v>15.1</v>
      </c>
      <c r="H47" s="4">
        <f>_xlfn.XLOOKUP(tblWorkOrders5[[#This Row],[Trade]],tblLaborRates[Trade],tblLaborRates[Hourly Rate])</f>
        <v>52</v>
      </c>
      <c r="I47" s="4">
        <f>tblWorkOrders5[[#This Row],[Labor Hours]]*tblWorkOrders5[[#This Row],[Hourly Rate]]</f>
        <v>785.19999999999993</v>
      </c>
      <c r="J47" s="4">
        <f>_xlfn.XLOOKUP(tblWorkOrders5[[#This Row],[WO Number]],tblInvoices[WO Number],tblInvoices[Vendor Cost])</f>
        <v>834.27</v>
      </c>
      <c r="K47" s="4">
        <f>tblWorkOrders5[[#This Row],[Labor Cost]]+tblWorkOrders5[[#This Row],[Vendor Cost]]</f>
        <v>1619.4699999999998</v>
      </c>
    </row>
    <row r="48" spans="1:11" x14ac:dyDescent="0.25">
      <c r="A48" t="s">
        <v>75</v>
      </c>
      <c r="B48" s="1">
        <v>45818</v>
      </c>
      <c r="C48" t="s">
        <v>23</v>
      </c>
      <c r="D48" t="s">
        <v>36</v>
      </c>
      <c r="E48" t="s">
        <v>37</v>
      </c>
      <c r="F48" t="s">
        <v>14</v>
      </c>
      <c r="G48">
        <v>3.4</v>
      </c>
      <c r="H48" s="4">
        <f>_xlfn.XLOOKUP(tblWorkOrders5[[#This Row],[Trade]],tblLaborRates[Trade],tblLaborRates[Hourly Rate])</f>
        <v>79</v>
      </c>
      <c r="I48" s="4">
        <f>tblWorkOrders5[[#This Row],[Labor Hours]]*tblWorkOrders5[[#This Row],[Hourly Rate]]</f>
        <v>268.59999999999997</v>
      </c>
      <c r="J48" s="4">
        <f>_xlfn.XLOOKUP(tblWorkOrders5[[#This Row],[WO Number]],tblInvoices[WO Number],tblInvoices[Vendor Cost])</f>
        <v>2312.4299999999998</v>
      </c>
      <c r="K48" s="4">
        <f>tblWorkOrders5[[#This Row],[Labor Cost]]+tblWorkOrders5[[#This Row],[Vendor Cost]]</f>
        <v>2581.0299999999997</v>
      </c>
    </row>
    <row r="49" spans="1:11" x14ac:dyDescent="0.25">
      <c r="A49" t="s">
        <v>76</v>
      </c>
      <c r="B49" s="1">
        <v>45892</v>
      </c>
      <c r="C49" t="s">
        <v>27</v>
      </c>
      <c r="D49" t="s">
        <v>9</v>
      </c>
      <c r="E49" t="s">
        <v>10</v>
      </c>
      <c r="F49" t="s">
        <v>17</v>
      </c>
      <c r="G49">
        <v>8.1</v>
      </c>
      <c r="H49" s="4">
        <f>_xlfn.XLOOKUP(tblWorkOrders5[[#This Row],[Trade]],tblLaborRates[Trade],tblLaborRates[Hourly Rate])</f>
        <v>75</v>
      </c>
      <c r="I49" s="4">
        <f>tblWorkOrders5[[#This Row],[Labor Hours]]*tblWorkOrders5[[#This Row],[Hourly Rate]]</f>
        <v>607.5</v>
      </c>
      <c r="J49" s="4">
        <f>_xlfn.XLOOKUP(tblWorkOrders5[[#This Row],[WO Number]],tblInvoices[WO Number],tblInvoices[Vendor Cost])</f>
        <v>3494.82</v>
      </c>
      <c r="K49" s="4">
        <f>tblWorkOrders5[[#This Row],[Labor Cost]]+tblWorkOrders5[[#This Row],[Vendor Cost]]</f>
        <v>4102.32</v>
      </c>
    </row>
    <row r="50" spans="1:11" x14ac:dyDescent="0.25">
      <c r="A50" t="s">
        <v>77</v>
      </c>
      <c r="B50" s="1">
        <v>45709</v>
      </c>
      <c r="C50" t="s">
        <v>8</v>
      </c>
      <c r="D50" t="s">
        <v>16</v>
      </c>
      <c r="E50" t="s">
        <v>16</v>
      </c>
      <c r="F50" t="s">
        <v>21</v>
      </c>
      <c r="G50">
        <v>8.8000000000000007</v>
      </c>
      <c r="H50" s="4">
        <f>_xlfn.XLOOKUP(tblWorkOrders5[[#This Row],[Trade]],tblLaborRates[Trade],tblLaborRates[Hourly Rate])</f>
        <v>52</v>
      </c>
      <c r="I50" s="4">
        <f>tblWorkOrders5[[#This Row],[Labor Hours]]*tblWorkOrders5[[#This Row],[Hourly Rate]]</f>
        <v>457.6</v>
      </c>
      <c r="J50" s="4">
        <f>_xlfn.XLOOKUP(tblWorkOrders5[[#This Row],[WO Number]],tblInvoices[WO Number],tblInvoices[Vendor Cost])</f>
        <v>593.73</v>
      </c>
      <c r="K50" s="4">
        <f>tblWorkOrders5[[#This Row],[Labor Cost]]+tblWorkOrders5[[#This Row],[Vendor Cost]]</f>
        <v>1051.33</v>
      </c>
    </row>
    <row r="51" spans="1:11" x14ac:dyDescent="0.25">
      <c r="A51" t="s">
        <v>78</v>
      </c>
      <c r="B51" s="1">
        <v>45836</v>
      </c>
      <c r="C51" t="s">
        <v>8</v>
      </c>
      <c r="D51" t="s">
        <v>31</v>
      </c>
      <c r="E51" t="s">
        <v>32</v>
      </c>
      <c r="F51" t="s">
        <v>24</v>
      </c>
      <c r="G51">
        <v>5.6</v>
      </c>
      <c r="H51" s="4">
        <f>_xlfn.XLOOKUP(tblWorkOrders5[[#This Row],[Trade]],tblLaborRates[Trade],tblLaborRates[Hourly Rate])</f>
        <v>82</v>
      </c>
      <c r="I51" s="4">
        <f>tblWorkOrders5[[#This Row],[Labor Hours]]*tblWorkOrders5[[#This Row],[Hourly Rate]]</f>
        <v>459.2</v>
      </c>
      <c r="J51" s="4">
        <f>_xlfn.XLOOKUP(tblWorkOrders5[[#This Row],[WO Number]],tblInvoices[WO Number],tblInvoices[Vendor Cost])</f>
        <v>1617.92</v>
      </c>
      <c r="K51" s="4">
        <f>tblWorkOrders5[[#This Row],[Labor Cost]]+tblWorkOrders5[[#This Row],[Vendor Cost]]</f>
        <v>2077.12</v>
      </c>
    </row>
    <row r="52" spans="1:11" x14ac:dyDescent="0.25">
      <c r="A52" t="s">
        <v>79</v>
      </c>
      <c r="B52" s="1">
        <v>45936</v>
      </c>
      <c r="C52" t="s">
        <v>27</v>
      </c>
      <c r="D52" t="s">
        <v>16</v>
      </c>
      <c r="E52" t="s">
        <v>16</v>
      </c>
      <c r="F52" t="s">
        <v>17</v>
      </c>
      <c r="G52">
        <v>11.2</v>
      </c>
      <c r="H52" s="4">
        <f>_xlfn.XLOOKUP(tblWorkOrders5[[#This Row],[Trade]],tblLaborRates[Trade],tblLaborRates[Hourly Rate])</f>
        <v>52</v>
      </c>
      <c r="I52" s="4">
        <f>tblWorkOrders5[[#This Row],[Labor Hours]]*tblWorkOrders5[[#This Row],[Hourly Rate]]</f>
        <v>582.4</v>
      </c>
      <c r="J52" s="4">
        <f>_xlfn.XLOOKUP(tblWorkOrders5[[#This Row],[WO Number]],tblInvoices[WO Number],tblInvoices[Vendor Cost])</f>
        <v>2007.92</v>
      </c>
      <c r="K52" s="4">
        <f>tblWorkOrders5[[#This Row],[Labor Cost]]+tblWorkOrders5[[#This Row],[Vendor Cost]]</f>
        <v>2590.3200000000002</v>
      </c>
    </row>
    <row r="53" spans="1:11" x14ac:dyDescent="0.25">
      <c r="A53" t="s">
        <v>80</v>
      </c>
      <c r="B53" s="1">
        <v>45997</v>
      </c>
      <c r="C53" t="s">
        <v>8</v>
      </c>
      <c r="D53" t="s">
        <v>31</v>
      </c>
      <c r="E53" t="s">
        <v>32</v>
      </c>
      <c r="F53" t="s">
        <v>11</v>
      </c>
      <c r="G53">
        <v>3.2</v>
      </c>
      <c r="H53" s="4">
        <f>_xlfn.XLOOKUP(tblWorkOrders5[[#This Row],[Trade]],tblLaborRates[Trade],tblLaborRates[Hourly Rate])</f>
        <v>82</v>
      </c>
      <c r="I53" s="4">
        <f>tblWorkOrders5[[#This Row],[Labor Hours]]*tblWorkOrders5[[#This Row],[Hourly Rate]]</f>
        <v>262.40000000000003</v>
      </c>
      <c r="J53" s="4">
        <f>_xlfn.XLOOKUP(tblWorkOrders5[[#This Row],[WO Number]],tblInvoices[WO Number],tblInvoices[Vendor Cost])</f>
        <v>508.57</v>
      </c>
      <c r="K53" s="4">
        <f>tblWorkOrders5[[#This Row],[Labor Cost]]+tblWorkOrders5[[#This Row],[Vendor Cost]]</f>
        <v>770.97</v>
      </c>
    </row>
    <row r="54" spans="1:11" x14ac:dyDescent="0.25">
      <c r="A54" t="s">
        <v>81</v>
      </c>
      <c r="B54" s="1">
        <v>45941</v>
      </c>
      <c r="C54" t="s">
        <v>23</v>
      </c>
      <c r="D54" t="s">
        <v>36</v>
      </c>
      <c r="E54" t="s">
        <v>37</v>
      </c>
      <c r="F54" t="s">
        <v>11</v>
      </c>
      <c r="G54">
        <v>10.3</v>
      </c>
      <c r="H54" s="4">
        <f>_xlfn.XLOOKUP(tblWorkOrders5[[#This Row],[Trade]],tblLaborRates[Trade],tblLaborRates[Hourly Rate])</f>
        <v>79</v>
      </c>
      <c r="I54" s="4">
        <f>tblWorkOrders5[[#This Row],[Labor Hours]]*tblWorkOrders5[[#This Row],[Hourly Rate]]</f>
        <v>813.7</v>
      </c>
      <c r="J54" s="4">
        <f>_xlfn.XLOOKUP(tblWorkOrders5[[#This Row],[WO Number]],tblInvoices[WO Number],tblInvoices[Vendor Cost])</f>
        <v>2554</v>
      </c>
      <c r="K54" s="4">
        <f>tblWorkOrders5[[#This Row],[Labor Cost]]+tblWorkOrders5[[#This Row],[Vendor Cost]]</f>
        <v>3367.7</v>
      </c>
    </row>
    <row r="55" spans="1:11" x14ac:dyDescent="0.25">
      <c r="A55" t="s">
        <v>82</v>
      </c>
      <c r="B55" s="1">
        <v>45762</v>
      </c>
      <c r="C55" t="s">
        <v>27</v>
      </c>
      <c r="D55" t="s">
        <v>16</v>
      </c>
      <c r="E55" t="s">
        <v>16</v>
      </c>
      <c r="F55" t="s">
        <v>28</v>
      </c>
      <c r="G55">
        <v>5.0999999999999996</v>
      </c>
      <c r="H55" s="4">
        <f>_xlfn.XLOOKUP(tblWorkOrders5[[#This Row],[Trade]],tblLaborRates[Trade],tblLaborRates[Hourly Rate])</f>
        <v>52</v>
      </c>
      <c r="I55" s="4">
        <f>tblWorkOrders5[[#This Row],[Labor Hours]]*tblWorkOrders5[[#This Row],[Hourly Rate]]</f>
        <v>265.2</v>
      </c>
      <c r="J55" s="4">
        <f>_xlfn.XLOOKUP(tblWorkOrders5[[#This Row],[WO Number]],tblInvoices[WO Number],tblInvoices[Vendor Cost])</f>
        <v>3192.33</v>
      </c>
      <c r="K55" s="4">
        <f>tblWorkOrders5[[#This Row],[Labor Cost]]+tblWorkOrders5[[#This Row],[Vendor Cost]]</f>
        <v>3457.5299999999997</v>
      </c>
    </row>
    <row r="56" spans="1:11" x14ac:dyDescent="0.25">
      <c r="A56" t="s">
        <v>83</v>
      </c>
      <c r="B56" s="1">
        <v>45684</v>
      </c>
      <c r="C56" t="s">
        <v>8</v>
      </c>
      <c r="D56" t="s">
        <v>19</v>
      </c>
      <c r="E56" t="s">
        <v>20</v>
      </c>
      <c r="F56" t="s">
        <v>11</v>
      </c>
      <c r="G56">
        <v>2.1</v>
      </c>
      <c r="H56" s="4">
        <f>_xlfn.XLOOKUP(tblWorkOrders5[[#This Row],[Trade]],tblLaborRates[Trade],tblLaborRates[Hourly Rate])</f>
        <v>68</v>
      </c>
      <c r="I56" s="4">
        <f>tblWorkOrders5[[#This Row],[Labor Hours]]*tblWorkOrders5[[#This Row],[Hourly Rate]]</f>
        <v>142.80000000000001</v>
      </c>
      <c r="J56" s="4">
        <f>_xlfn.XLOOKUP(tblWorkOrders5[[#This Row],[WO Number]],tblInvoices[WO Number],tblInvoices[Vendor Cost])</f>
        <v>1267.4100000000001</v>
      </c>
      <c r="K56" s="4">
        <f>tblWorkOrders5[[#This Row],[Labor Cost]]+tblWorkOrders5[[#This Row],[Vendor Cost]]</f>
        <v>1410.21</v>
      </c>
    </row>
    <row r="57" spans="1:11" x14ac:dyDescent="0.25">
      <c r="A57" t="s">
        <v>84</v>
      </c>
      <c r="B57" s="1">
        <v>45724</v>
      </c>
      <c r="C57" t="s">
        <v>27</v>
      </c>
      <c r="D57" t="s">
        <v>31</v>
      </c>
      <c r="E57" t="s">
        <v>32</v>
      </c>
      <c r="F57" t="s">
        <v>28</v>
      </c>
      <c r="G57">
        <v>9.5</v>
      </c>
      <c r="H57" s="4">
        <f>_xlfn.XLOOKUP(tblWorkOrders5[[#This Row],[Trade]],tblLaborRates[Trade],tblLaborRates[Hourly Rate])</f>
        <v>82</v>
      </c>
      <c r="I57" s="4">
        <f>tblWorkOrders5[[#This Row],[Labor Hours]]*tblWorkOrders5[[#This Row],[Hourly Rate]]</f>
        <v>779</v>
      </c>
      <c r="J57" s="4">
        <f>_xlfn.XLOOKUP(tblWorkOrders5[[#This Row],[WO Number]],tblInvoices[WO Number],tblInvoices[Vendor Cost])</f>
        <v>1582.75</v>
      </c>
      <c r="K57" s="4">
        <f>tblWorkOrders5[[#This Row],[Labor Cost]]+tblWorkOrders5[[#This Row],[Vendor Cost]]</f>
        <v>2361.75</v>
      </c>
    </row>
    <row r="58" spans="1:11" x14ac:dyDescent="0.25">
      <c r="A58" t="s">
        <v>85</v>
      </c>
      <c r="B58" s="1">
        <v>45662</v>
      </c>
      <c r="C58" t="s">
        <v>8</v>
      </c>
      <c r="D58" t="s">
        <v>9</v>
      </c>
      <c r="E58" t="s">
        <v>10</v>
      </c>
      <c r="F58" t="s">
        <v>39</v>
      </c>
      <c r="G58">
        <v>9.4</v>
      </c>
      <c r="H58" s="4">
        <f>_xlfn.XLOOKUP(tblWorkOrders5[[#This Row],[Trade]],tblLaborRates[Trade],tblLaborRates[Hourly Rate])</f>
        <v>75</v>
      </c>
      <c r="I58" s="4">
        <f>tblWorkOrders5[[#This Row],[Labor Hours]]*tblWorkOrders5[[#This Row],[Hourly Rate]]</f>
        <v>705</v>
      </c>
      <c r="J58" s="4">
        <f>_xlfn.XLOOKUP(tblWorkOrders5[[#This Row],[WO Number]],tblInvoices[WO Number],tblInvoices[Vendor Cost])</f>
        <v>2945.89</v>
      </c>
      <c r="K58" s="4">
        <f>tblWorkOrders5[[#This Row],[Labor Cost]]+tblWorkOrders5[[#This Row],[Vendor Cost]]</f>
        <v>3650.89</v>
      </c>
    </row>
    <row r="59" spans="1:11" x14ac:dyDescent="0.25">
      <c r="A59" t="s">
        <v>86</v>
      </c>
      <c r="B59" s="1">
        <v>45956</v>
      </c>
      <c r="C59" t="s">
        <v>13</v>
      </c>
      <c r="D59" t="s">
        <v>31</v>
      </c>
      <c r="E59" t="s">
        <v>32</v>
      </c>
      <c r="F59" t="s">
        <v>14</v>
      </c>
      <c r="G59">
        <v>3.3</v>
      </c>
      <c r="H59" s="4">
        <f>_xlfn.XLOOKUP(tblWorkOrders5[[#This Row],[Trade]],tblLaborRates[Trade],tblLaborRates[Hourly Rate])</f>
        <v>82</v>
      </c>
      <c r="I59" s="4">
        <f>tblWorkOrders5[[#This Row],[Labor Hours]]*tblWorkOrders5[[#This Row],[Hourly Rate]]</f>
        <v>270.59999999999997</v>
      </c>
      <c r="J59" s="4">
        <f>_xlfn.XLOOKUP(tblWorkOrders5[[#This Row],[WO Number]],tblInvoices[WO Number],tblInvoices[Vendor Cost])</f>
        <v>1182.67</v>
      </c>
      <c r="K59" s="4">
        <f>tblWorkOrders5[[#This Row],[Labor Cost]]+tblWorkOrders5[[#This Row],[Vendor Cost]]</f>
        <v>1453.27</v>
      </c>
    </row>
    <row r="60" spans="1:11" x14ac:dyDescent="0.25">
      <c r="A60" t="s">
        <v>87</v>
      </c>
      <c r="B60" s="1">
        <v>45678</v>
      </c>
      <c r="C60" t="s">
        <v>27</v>
      </c>
      <c r="D60" t="s">
        <v>31</v>
      </c>
      <c r="E60" t="s">
        <v>32</v>
      </c>
      <c r="F60" t="s">
        <v>21</v>
      </c>
      <c r="G60">
        <v>11.2</v>
      </c>
      <c r="H60" s="4">
        <f>_xlfn.XLOOKUP(tblWorkOrders5[[#This Row],[Trade]],tblLaborRates[Trade],tblLaborRates[Hourly Rate])</f>
        <v>82</v>
      </c>
      <c r="I60" s="4">
        <f>tblWorkOrders5[[#This Row],[Labor Hours]]*tblWorkOrders5[[#This Row],[Hourly Rate]]</f>
        <v>918.4</v>
      </c>
      <c r="J60" s="4">
        <f>_xlfn.XLOOKUP(tblWorkOrders5[[#This Row],[WO Number]],tblInvoices[WO Number],tblInvoices[Vendor Cost])</f>
        <v>1334.82</v>
      </c>
      <c r="K60" s="4">
        <f>tblWorkOrders5[[#This Row],[Labor Cost]]+tblWorkOrders5[[#This Row],[Vendor Cost]]</f>
        <v>2253.2199999999998</v>
      </c>
    </row>
    <row r="61" spans="1:11" x14ac:dyDescent="0.25">
      <c r="A61" t="s">
        <v>88</v>
      </c>
      <c r="B61" s="1">
        <v>45944</v>
      </c>
      <c r="C61" t="s">
        <v>41</v>
      </c>
      <c r="D61" t="s">
        <v>16</v>
      </c>
      <c r="E61" t="s">
        <v>16</v>
      </c>
      <c r="F61" t="s">
        <v>39</v>
      </c>
      <c r="G61">
        <v>14.9</v>
      </c>
      <c r="H61" s="4">
        <f>_xlfn.XLOOKUP(tblWorkOrders5[[#This Row],[Trade]],tblLaborRates[Trade],tblLaborRates[Hourly Rate])</f>
        <v>52</v>
      </c>
      <c r="I61" s="4">
        <f>tblWorkOrders5[[#This Row],[Labor Hours]]*tblWorkOrders5[[#This Row],[Hourly Rate]]</f>
        <v>774.80000000000007</v>
      </c>
      <c r="J61" s="4">
        <f>_xlfn.XLOOKUP(tblWorkOrders5[[#This Row],[WO Number]],tblInvoices[WO Number],tblInvoices[Vendor Cost])</f>
        <v>943.07</v>
      </c>
      <c r="K61" s="4">
        <f>tblWorkOrders5[[#This Row],[Labor Cost]]+tblWorkOrders5[[#This Row],[Vendor Cost]]</f>
        <v>1717.8700000000001</v>
      </c>
    </row>
    <row r="62" spans="1:11" x14ac:dyDescent="0.25">
      <c r="A62" t="s">
        <v>89</v>
      </c>
      <c r="B62" s="1">
        <v>45741</v>
      </c>
      <c r="C62" t="s">
        <v>23</v>
      </c>
      <c r="D62" t="s">
        <v>19</v>
      </c>
      <c r="E62" t="s">
        <v>20</v>
      </c>
      <c r="F62" t="s">
        <v>17</v>
      </c>
      <c r="G62">
        <v>4.0999999999999996</v>
      </c>
      <c r="H62" s="4">
        <f>_xlfn.XLOOKUP(tblWorkOrders5[[#This Row],[Trade]],tblLaborRates[Trade],tblLaborRates[Hourly Rate])</f>
        <v>68</v>
      </c>
      <c r="I62" s="4">
        <f>tblWorkOrders5[[#This Row],[Labor Hours]]*tblWorkOrders5[[#This Row],[Hourly Rate]]</f>
        <v>278.79999999999995</v>
      </c>
      <c r="J62" s="4">
        <f>_xlfn.XLOOKUP(tblWorkOrders5[[#This Row],[WO Number]],tblInvoices[WO Number],tblInvoices[Vendor Cost])</f>
        <v>3247.03</v>
      </c>
      <c r="K62" s="4">
        <f>tblWorkOrders5[[#This Row],[Labor Cost]]+tblWorkOrders5[[#This Row],[Vendor Cost]]</f>
        <v>3525.83</v>
      </c>
    </row>
    <row r="63" spans="1:11" x14ac:dyDescent="0.25">
      <c r="A63" t="s">
        <v>90</v>
      </c>
      <c r="B63" s="1">
        <v>45868</v>
      </c>
      <c r="C63" t="s">
        <v>23</v>
      </c>
      <c r="D63" t="s">
        <v>36</v>
      </c>
      <c r="E63" t="s">
        <v>37</v>
      </c>
      <c r="F63" t="s">
        <v>39</v>
      </c>
      <c r="G63">
        <v>12.9</v>
      </c>
      <c r="H63" s="4">
        <f>_xlfn.XLOOKUP(tblWorkOrders5[[#This Row],[Trade]],tblLaborRates[Trade],tblLaborRates[Hourly Rate])</f>
        <v>79</v>
      </c>
      <c r="I63" s="4">
        <f>tblWorkOrders5[[#This Row],[Labor Hours]]*tblWorkOrders5[[#This Row],[Hourly Rate]]</f>
        <v>1019.1</v>
      </c>
      <c r="J63" s="4">
        <f>_xlfn.XLOOKUP(tblWorkOrders5[[#This Row],[WO Number]],tblInvoices[WO Number],tblInvoices[Vendor Cost])</f>
        <v>512.12</v>
      </c>
      <c r="K63" s="4">
        <f>tblWorkOrders5[[#This Row],[Labor Cost]]+tblWorkOrders5[[#This Row],[Vendor Cost]]</f>
        <v>1531.22</v>
      </c>
    </row>
    <row r="64" spans="1:11" x14ac:dyDescent="0.25">
      <c r="A64" t="s">
        <v>91</v>
      </c>
      <c r="B64" s="1">
        <v>45677</v>
      </c>
      <c r="C64" t="s">
        <v>41</v>
      </c>
      <c r="D64" t="s">
        <v>31</v>
      </c>
      <c r="E64" t="s">
        <v>32</v>
      </c>
      <c r="F64" t="s">
        <v>21</v>
      </c>
      <c r="G64">
        <v>13.3</v>
      </c>
      <c r="H64" s="4">
        <f>_xlfn.XLOOKUP(tblWorkOrders5[[#This Row],[Trade]],tblLaborRates[Trade],tblLaborRates[Hourly Rate])</f>
        <v>82</v>
      </c>
      <c r="I64" s="4">
        <f>tblWorkOrders5[[#This Row],[Labor Hours]]*tblWorkOrders5[[#This Row],[Hourly Rate]]</f>
        <v>1090.6000000000001</v>
      </c>
      <c r="J64" s="4">
        <f>_xlfn.XLOOKUP(tblWorkOrders5[[#This Row],[WO Number]],tblInvoices[WO Number],tblInvoices[Vendor Cost])</f>
        <v>1692.02</v>
      </c>
      <c r="K64" s="4">
        <f>tblWorkOrders5[[#This Row],[Labor Cost]]+tblWorkOrders5[[#This Row],[Vendor Cost]]</f>
        <v>2782.62</v>
      </c>
    </row>
    <row r="65" spans="1:11" x14ac:dyDescent="0.25">
      <c r="A65" t="s">
        <v>92</v>
      </c>
      <c r="B65" s="1">
        <v>45814</v>
      </c>
      <c r="C65" t="s">
        <v>23</v>
      </c>
      <c r="D65" t="s">
        <v>31</v>
      </c>
      <c r="E65" t="s">
        <v>32</v>
      </c>
      <c r="F65" t="s">
        <v>17</v>
      </c>
      <c r="G65">
        <v>11.1</v>
      </c>
      <c r="H65" s="4">
        <f>_xlfn.XLOOKUP(tblWorkOrders5[[#This Row],[Trade]],tblLaborRates[Trade],tblLaborRates[Hourly Rate])</f>
        <v>82</v>
      </c>
      <c r="I65" s="4">
        <f>tblWorkOrders5[[#This Row],[Labor Hours]]*tblWorkOrders5[[#This Row],[Hourly Rate]]</f>
        <v>910.19999999999993</v>
      </c>
      <c r="J65" s="4">
        <f>_xlfn.XLOOKUP(tblWorkOrders5[[#This Row],[WO Number]],tblInvoices[WO Number],tblInvoices[Vendor Cost])</f>
        <v>1484.86</v>
      </c>
      <c r="K65" s="4">
        <f>tblWorkOrders5[[#This Row],[Labor Cost]]+tblWorkOrders5[[#This Row],[Vendor Cost]]</f>
        <v>2395.06</v>
      </c>
    </row>
    <row r="66" spans="1:11" x14ac:dyDescent="0.25">
      <c r="A66" t="s">
        <v>93</v>
      </c>
      <c r="B66" s="1">
        <v>45800</v>
      </c>
      <c r="C66" t="s">
        <v>8</v>
      </c>
      <c r="D66" t="s">
        <v>36</v>
      </c>
      <c r="E66" t="s">
        <v>37</v>
      </c>
      <c r="F66" t="s">
        <v>24</v>
      </c>
      <c r="G66">
        <v>10.8</v>
      </c>
      <c r="H66" s="4">
        <f>_xlfn.XLOOKUP(tblWorkOrders5[[#This Row],[Trade]],tblLaborRates[Trade],tblLaborRates[Hourly Rate])</f>
        <v>79</v>
      </c>
      <c r="I66" s="4">
        <f>tblWorkOrders5[[#This Row],[Labor Hours]]*tblWorkOrders5[[#This Row],[Hourly Rate]]</f>
        <v>853.2</v>
      </c>
      <c r="J66" s="4">
        <f>_xlfn.XLOOKUP(tblWorkOrders5[[#This Row],[WO Number]],tblInvoices[WO Number],tblInvoices[Vendor Cost])</f>
        <v>1488.92</v>
      </c>
      <c r="K66" s="4">
        <f>tblWorkOrders5[[#This Row],[Labor Cost]]+tblWorkOrders5[[#This Row],[Vendor Cost]]</f>
        <v>2342.12</v>
      </c>
    </row>
    <row r="67" spans="1:11" x14ac:dyDescent="0.25">
      <c r="A67" t="s">
        <v>94</v>
      </c>
      <c r="B67" s="1">
        <v>45932</v>
      </c>
      <c r="C67" t="s">
        <v>27</v>
      </c>
      <c r="D67" t="s">
        <v>9</v>
      </c>
      <c r="E67" t="s">
        <v>10</v>
      </c>
      <c r="F67" t="s">
        <v>33</v>
      </c>
      <c r="G67">
        <v>14.2</v>
      </c>
      <c r="H67" s="4">
        <f>_xlfn.XLOOKUP(tblWorkOrders5[[#This Row],[Trade]],tblLaborRates[Trade],tblLaborRates[Hourly Rate])</f>
        <v>75</v>
      </c>
      <c r="I67" s="4">
        <f>tblWorkOrders5[[#This Row],[Labor Hours]]*tblWorkOrders5[[#This Row],[Hourly Rate]]</f>
        <v>1065</v>
      </c>
      <c r="J67" s="4">
        <f>_xlfn.XLOOKUP(tblWorkOrders5[[#This Row],[WO Number]],tblInvoices[WO Number],tblInvoices[Vendor Cost])</f>
        <v>1025.07</v>
      </c>
      <c r="K67" s="4">
        <f>tblWorkOrders5[[#This Row],[Labor Cost]]+tblWorkOrders5[[#This Row],[Vendor Cost]]</f>
        <v>2090.0699999999997</v>
      </c>
    </row>
    <row r="68" spans="1:11" x14ac:dyDescent="0.25">
      <c r="A68" t="s">
        <v>95</v>
      </c>
      <c r="B68" s="1">
        <v>45955</v>
      </c>
      <c r="C68" t="s">
        <v>27</v>
      </c>
      <c r="D68" t="s">
        <v>9</v>
      </c>
      <c r="E68" t="s">
        <v>10</v>
      </c>
      <c r="F68" t="s">
        <v>33</v>
      </c>
      <c r="G68">
        <v>10.199999999999999</v>
      </c>
      <c r="H68" s="4">
        <f>_xlfn.XLOOKUP(tblWorkOrders5[[#This Row],[Trade]],tblLaborRates[Trade],tblLaborRates[Hourly Rate])</f>
        <v>75</v>
      </c>
      <c r="I68" s="4">
        <f>tblWorkOrders5[[#This Row],[Labor Hours]]*tblWorkOrders5[[#This Row],[Hourly Rate]]</f>
        <v>765</v>
      </c>
      <c r="J68" s="4">
        <f>_xlfn.XLOOKUP(tblWorkOrders5[[#This Row],[WO Number]],tblInvoices[WO Number],tblInvoices[Vendor Cost])</f>
        <v>1308.05</v>
      </c>
      <c r="K68" s="4">
        <f>tblWorkOrders5[[#This Row],[Labor Cost]]+tblWorkOrders5[[#This Row],[Vendor Cost]]</f>
        <v>2073.0500000000002</v>
      </c>
    </row>
    <row r="69" spans="1:11" x14ac:dyDescent="0.25">
      <c r="A69" t="s">
        <v>96</v>
      </c>
      <c r="B69" s="1">
        <v>45818</v>
      </c>
      <c r="C69" t="s">
        <v>41</v>
      </c>
      <c r="D69" t="s">
        <v>16</v>
      </c>
      <c r="E69" t="s">
        <v>16</v>
      </c>
      <c r="F69" t="s">
        <v>33</v>
      </c>
      <c r="G69">
        <v>7.1</v>
      </c>
      <c r="H69" s="4">
        <f>_xlfn.XLOOKUP(tblWorkOrders5[[#This Row],[Trade]],tblLaborRates[Trade],tblLaborRates[Hourly Rate])</f>
        <v>52</v>
      </c>
      <c r="I69" s="4">
        <f>tblWorkOrders5[[#This Row],[Labor Hours]]*tblWorkOrders5[[#This Row],[Hourly Rate]]</f>
        <v>369.2</v>
      </c>
      <c r="J69" s="4">
        <f>_xlfn.XLOOKUP(tblWorkOrders5[[#This Row],[WO Number]],tblInvoices[WO Number],tblInvoices[Vendor Cost])</f>
        <v>2081.5700000000002</v>
      </c>
      <c r="K69" s="4">
        <f>tblWorkOrders5[[#This Row],[Labor Cost]]+tblWorkOrders5[[#This Row],[Vendor Cost]]</f>
        <v>2450.77</v>
      </c>
    </row>
    <row r="70" spans="1:11" x14ac:dyDescent="0.25">
      <c r="A70" t="s">
        <v>97</v>
      </c>
      <c r="B70" s="1">
        <v>45788</v>
      </c>
      <c r="C70" t="s">
        <v>8</v>
      </c>
      <c r="D70" t="s">
        <v>19</v>
      </c>
      <c r="E70" t="s">
        <v>20</v>
      </c>
      <c r="F70" t="s">
        <v>17</v>
      </c>
      <c r="G70">
        <v>9</v>
      </c>
      <c r="H70" s="4">
        <f>_xlfn.XLOOKUP(tblWorkOrders5[[#This Row],[Trade]],tblLaborRates[Trade],tblLaborRates[Hourly Rate])</f>
        <v>68</v>
      </c>
      <c r="I70" s="4">
        <f>tblWorkOrders5[[#This Row],[Labor Hours]]*tblWorkOrders5[[#This Row],[Hourly Rate]]</f>
        <v>612</v>
      </c>
      <c r="J70" s="4">
        <f>_xlfn.XLOOKUP(tblWorkOrders5[[#This Row],[WO Number]],tblInvoices[WO Number],tblInvoices[Vendor Cost])</f>
        <v>2851.81</v>
      </c>
      <c r="K70" s="4">
        <f>tblWorkOrders5[[#This Row],[Labor Cost]]+tblWorkOrders5[[#This Row],[Vendor Cost]]</f>
        <v>3463.81</v>
      </c>
    </row>
    <row r="71" spans="1:11" x14ac:dyDescent="0.25">
      <c r="A71" t="s">
        <v>98</v>
      </c>
      <c r="B71" s="1">
        <v>46009</v>
      </c>
      <c r="C71" t="s">
        <v>23</v>
      </c>
      <c r="D71" t="s">
        <v>36</v>
      </c>
      <c r="E71" t="s">
        <v>37</v>
      </c>
      <c r="F71" t="s">
        <v>14</v>
      </c>
      <c r="G71">
        <v>2.5</v>
      </c>
      <c r="H71" s="4">
        <f>_xlfn.XLOOKUP(tblWorkOrders5[[#This Row],[Trade]],tblLaborRates[Trade],tblLaborRates[Hourly Rate])</f>
        <v>79</v>
      </c>
      <c r="I71" s="4">
        <f>tblWorkOrders5[[#This Row],[Labor Hours]]*tblWorkOrders5[[#This Row],[Hourly Rate]]</f>
        <v>197.5</v>
      </c>
      <c r="J71" s="4">
        <f>_xlfn.XLOOKUP(tblWorkOrders5[[#This Row],[WO Number]],tblInvoices[WO Number],tblInvoices[Vendor Cost])</f>
        <v>2375.1999999999998</v>
      </c>
      <c r="K71" s="4">
        <f>tblWorkOrders5[[#This Row],[Labor Cost]]+tblWorkOrders5[[#This Row],[Vendor Cost]]</f>
        <v>2572.6999999999998</v>
      </c>
    </row>
    <row r="72" spans="1:11" x14ac:dyDescent="0.25">
      <c r="A72" t="s">
        <v>99</v>
      </c>
      <c r="B72" s="1">
        <v>45827</v>
      </c>
      <c r="C72" t="s">
        <v>13</v>
      </c>
      <c r="D72" t="s">
        <v>36</v>
      </c>
      <c r="E72" t="s">
        <v>37</v>
      </c>
      <c r="F72" t="s">
        <v>33</v>
      </c>
      <c r="G72">
        <v>11.9</v>
      </c>
      <c r="H72" s="4">
        <f>_xlfn.XLOOKUP(tblWorkOrders5[[#This Row],[Trade]],tblLaborRates[Trade],tblLaborRates[Hourly Rate])</f>
        <v>79</v>
      </c>
      <c r="I72" s="4">
        <f>tblWorkOrders5[[#This Row],[Labor Hours]]*tblWorkOrders5[[#This Row],[Hourly Rate]]</f>
        <v>940.1</v>
      </c>
      <c r="J72" s="4">
        <f>_xlfn.XLOOKUP(tblWorkOrders5[[#This Row],[WO Number]],tblInvoices[WO Number],tblInvoices[Vendor Cost])</f>
        <v>1156.08</v>
      </c>
      <c r="K72" s="4">
        <f>tblWorkOrders5[[#This Row],[Labor Cost]]+tblWorkOrders5[[#This Row],[Vendor Cost]]</f>
        <v>2096.1799999999998</v>
      </c>
    </row>
    <row r="73" spans="1:11" x14ac:dyDescent="0.25">
      <c r="A73" t="s">
        <v>100</v>
      </c>
      <c r="B73" s="1">
        <v>45816</v>
      </c>
      <c r="C73" t="s">
        <v>41</v>
      </c>
      <c r="D73" t="s">
        <v>36</v>
      </c>
      <c r="E73" t="s">
        <v>37</v>
      </c>
      <c r="F73" t="s">
        <v>14</v>
      </c>
      <c r="G73">
        <v>11.6</v>
      </c>
      <c r="H73" s="4">
        <f>_xlfn.XLOOKUP(tblWorkOrders5[[#This Row],[Trade]],tblLaborRates[Trade],tblLaborRates[Hourly Rate])</f>
        <v>79</v>
      </c>
      <c r="I73" s="4">
        <f>tblWorkOrders5[[#This Row],[Labor Hours]]*tblWorkOrders5[[#This Row],[Hourly Rate]]</f>
        <v>916.4</v>
      </c>
      <c r="J73" s="4">
        <f>_xlfn.XLOOKUP(tblWorkOrders5[[#This Row],[WO Number]],tblInvoices[WO Number],tblInvoices[Vendor Cost])</f>
        <v>2007.28</v>
      </c>
      <c r="K73" s="4">
        <f>tblWorkOrders5[[#This Row],[Labor Cost]]+tblWorkOrders5[[#This Row],[Vendor Cost]]</f>
        <v>2923.68</v>
      </c>
    </row>
    <row r="74" spans="1:11" x14ac:dyDescent="0.25">
      <c r="A74" t="s">
        <v>101</v>
      </c>
      <c r="B74" s="1">
        <v>45756</v>
      </c>
      <c r="C74" t="s">
        <v>41</v>
      </c>
      <c r="D74" t="s">
        <v>19</v>
      </c>
      <c r="E74" t="s">
        <v>20</v>
      </c>
      <c r="F74" t="s">
        <v>39</v>
      </c>
      <c r="G74">
        <v>10.4</v>
      </c>
      <c r="H74" s="4">
        <f>_xlfn.XLOOKUP(tblWorkOrders5[[#This Row],[Trade]],tblLaborRates[Trade],tblLaborRates[Hourly Rate])</f>
        <v>68</v>
      </c>
      <c r="I74" s="4">
        <f>tblWorkOrders5[[#This Row],[Labor Hours]]*tblWorkOrders5[[#This Row],[Hourly Rate]]</f>
        <v>707.2</v>
      </c>
      <c r="J74" s="4">
        <f>_xlfn.XLOOKUP(tblWorkOrders5[[#This Row],[WO Number]],tblInvoices[WO Number],tblInvoices[Vendor Cost])</f>
        <v>1158.18</v>
      </c>
      <c r="K74" s="4">
        <f>tblWorkOrders5[[#This Row],[Labor Cost]]+tblWorkOrders5[[#This Row],[Vendor Cost]]</f>
        <v>1865.38</v>
      </c>
    </row>
    <row r="75" spans="1:11" x14ac:dyDescent="0.25">
      <c r="A75" t="s">
        <v>102</v>
      </c>
      <c r="B75" s="1">
        <v>45938</v>
      </c>
      <c r="C75" t="s">
        <v>8</v>
      </c>
      <c r="D75" t="s">
        <v>36</v>
      </c>
      <c r="E75" t="s">
        <v>37</v>
      </c>
      <c r="F75" t="s">
        <v>11</v>
      </c>
      <c r="G75">
        <v>4.5</v>
      </c>
      <c r="H75" s="4">
        <f>_xlfn.XLOOKUP(tblWorkOrders5[[#This Row],[Trade]],tblLaborRates[Trade],tblLaborRates[Hourly Rate])</f>
        <v>79</v>
      </c>
      <c r="I75" s="4">
        <f>tblWorkOrders5[[#This Row],[Labor Hours]]*tblWorkOrders5[[#This Row],[Hourly Rate]]</f>
        <v>355.5</v>
      </c>
      <c r="J75" s="4">
        <f>_xlfn.XLOOKUP(tblWorkOrders5[[#This Row],[WO Number]],tblInvoices[WO Number],tblInvoices[Vendor Cost])</f>
        <v>2782.29</v>
      </c>
      <c r="K75" s="4">
        <f>tblWorkOrders5[[#This Row],[Labor Cost]]+tblWorkOrders5[[#This Row],[Vendor Cost]]</f>
        <v>3137.79</v>
      </c>
    </row>
    <row r="76" spans="1:11" x14ac:dyDescent="0.25">
      <c r="A76" t="s">
        <v>103</v>
      </c>
      <c r="B76" s="1">
        <v>45968</v>
      </c>
      <c r="C76" t="s">
        <v>27</v>
      </c>
      <c r="D76" t="s">
        <v>19</v>
      </c>
      <c r="E76" t="s">
        <v>20</v>
      </c>
      <c r="F76" t="s">
        <v>28</v>
      </c>
      <c r="G76">
        <v>7.9</v>
      </c>
      <c r="H76" s="4">
        <f>_xlfn.XLOOKUP(tblWorkOrders5[[#This Row],[Trade]],tblLaborRates[Trade],tblLaborRates[Hourly Rate])</f>
        <v>68</v>
      </c>
      <c r="I76" s="4">
        <f>tblWorkOrders5[[#This Row],[Labor Hours]]*tblWorkOrders5[[#This Row],[Hourly Rate]]</f>
        <v>537.20000000000005</v>
      </c>
      <c r="J76" s="4">
        <f>_xlfn.XLOOKUP(tblWorkOrders5[[#This Row],[WO Number]],tblInvoices[WO Number],tblInvoices[Vendor Cost])</f>
        <v>865.9</v>
      </c>
      <c r="K76" s="4">
        <f>tblWorkOrders5[[#This Row],[Labor Cost]]+tblWorkOrders5[[#This Row],[Vendor Cost]]</f>
        <v>1403.1</v>
      </c>
    </row>
    <row r="77" spans="1:11" x14ac:dyDescent="0.25">
      <c r="A77" t="s">
        <v>104</v>
      </c>
      <c r="B77" s="1">
        <v>45900</v>
      </c>
      <c r="C77" t="s">
        <v>23</v>
      </c>
      <c r="D77" t="s">
        <v>9</v>
      </c>
      <c r="E77" t="s">
        <v>10</v>
      </c>
      <c r="F77" t="s">
        <v>11</v>
      </c>
      <c r="G77">
        <v>9</v>
      </c>
      <c r="H77" s="4">
        <f>_xlfn.XLOOKUP(tblWorkOrders5[[#This Row],[Trade]],tblLaborRates[Trade],tblLaborRates[Hourly Rate])</f>
        <v>75</v>
      </c>
      <c r="I77" s="4">
        <f>tblWorkOrders5[[#This Row],[Labor Hours]]*tblWorkOrders5[[#This Row],[Hourly Rate]]</f>
        <v>675</v>
      </c>
      <c r="J77" s="4">
        <f>_xlfn.XLOOKUP(tblWorkOrders5[[#This Row],[WO Number]],tblInvoices[WO Number],tblInvoices[Vendor Cost])</f>
        <v>2270.35</v>
      </c>
      <c r="K77" s="4">
        <f>tblWorkOrders5[[#This Row],[Labor Cost]]+tblWorkOrders5[[#This Row],[Vendor Cost]]</f>
        <v>2945.35</v>
      </c>
    </row>
    <row r="78" spans="1:11" x14ac:dyDescent="0.25">
      <c r="A78" t="s">
        <v>105</v>
      </c>
      <c r="B78" s="1">
        <v>45829</v>
      </c>
      <c r="C78" t="s">
        <v>8</v>
      </c>
      <c r="D78" t="s">
        <v>31</v>
      </c>
      <c r="E78" t="s">
        <v>32</v>
      </c>
      <c r="F78" t="s">
        <v>11</v>
      </c>
      <c r="G78">
        <v>4.8</v>
      </c>
      <c r="H78" s="4">
        <f>_xlfn.XLOOKUP(tblWorkOrders5[[#This Row],[Trade]],tblLaborRates[Trade],tblLaborRates[Hourly Rate])</f>
        <v>82</v>
      </c>
      <c r="I78" s="4">
        <f>tblWorkOrders5[[#This Row],[Labor Hours]]*tblWorkOrders5[[#This Row],[Hourly Rate]]</f>
        <v>393.59999999999997</v>
      </c>
      <c r="J78" s="4">
        <f>_xlfn.XLOOKUP(tblWorkOrders5[[#This Row],[WO Number]],tblInvoices[WO Number],tblInvoices[Vendor Cost])</f>
        <v>817.09</v>
      </c>
      <c r="K78" s="4">
        <f>tblWorkOrders5[[#This Row],[Labor Cost]]+tblWorkOrders5[[#This Row],[Vendor Cost]]</f>
        <v>1210.69</v>
      </c>
    </row>
    <row r="79" spans="1:11" x14ac:dyDescent="0.25">
      <c r="A79" t="s">
        <v>106</v>
      </c>
      <c r="B79" s="1">
        <v>45670</v>
      </c>
      <c r="C79" t="s">
        <v>8</v>
      </c>
      <c r="D79" t="s">
        <v>31</v>
      </c>
      <c r="E79" t="s">
        <v>32</v>
      </c>
      <c r="F79" t="s">
        <v>28</v>
      </c>
      <c r="G79">
        <v>10.4</v>
      </c>
      <c r="H79" s="4">
        <f>_xlfn.XLOOKUP(tblWorkOrders5[[#This Row],[Trade]],tblLaborRates[Trade],tblLaborRates[Hourly Rate])</f>
        <v>82</v>
      </c>
      <c r="I79" s="4">
        <f>tblWorkOrders5[[#This Row],[Labor Hours]]*tblWorkOrders5[[#This Row],[Hourly Rate]]</f>
        <v>852.80000000000007</v>
      </c>
      <c r="J79" s="4">
        <f>_xlfn.XLOOKUP(tblWorkOrders5[[#This Row],[WO Number]],tblInvoices[WO Number],tblInvoices[Vendor Cost])</f>
        <v>2724.44</v>
      </c>
      <c r="K79" s="4">
        <f>tblWorkOrders5[[#This Row],[Labor Cost]]+tblWorkOrders5[[#This Row],[Vendor Cost]]</f>
        <v>3577.2400000000002</v>
      </c>
    </row>
    <row r="80" spans="1:11" x14ac:dyDescent="0.25">
      <c r="A80" t="s">
        <v>107</v>
      </c>
      <c r="B80" s="1">
        <v>45891</v>
      </c>
      <c r="C80" t="s">
        <v>41</v>
      </c>
      <c r="D80" t="s">
        <v>16</v>
      </c>
      <c r="E80" t="s">
        <v>16</v>
      </c>
      <c r="F80" t="s">
        <v>21</v>
      </c>
      <c r="G80">
        <v>11.9</v>
      </c>
      <c r="H80" s="4">
        <f>_xlfn.XLOOKUP(tblWorkOrders5[[#This Row],[Trade]],tblLaborRates[Trade],tblLaborRates[Hourly Rate])</f>
        <v>52</v>
      </c>
      <c r="I80" s="4">
        <f>tblWorkOrders5[[#This Row],[Labor Hours]]*tblWorkOrders5[[#This Row],[Hourly Rate]]</f>
        <v>618.80000000000007</v>
      </c>
      <c r="J80" s="4">
        <f>_xlfn.XLOOKUP(tblWorkOrders5[[#This Row],[WO Number]],tblInvoices[WO Number],tblInvoices[Vendor Cost])</f>
        <v>1436.33</v>
      </c>
      <c r="K80" s="4">
        <f>tblWorkOrders5[[#This Row],[Labor Cost]]+tblWorkOrders5[[#This Row],[Vendor Cost]]</f>
        <v>2055.13</v>
      </c>
    </row>
    <row r="81" spans="1:11" x14ac:dyDescent="0.25">
      <c r="A81" t="s">
        <v>108</v>
      </c>
      <c r="B81" s="1">
        <v>45862</v>
      </c>
      <c r="C81" t="s">
        <v>23</v>
      </c>
      <c r="D81" t="s">
        <v>31</v>
      </c>
      <c r="E81" t="s">
        <v>32</v>
      </c>
      <c r="F81" t="s">
        <v>17</v>
      </c>
      <c r="G81">
        <v>14.4</v>
      </c>
      <c r="H81" s="4">
        <f>_xlfn.XLOOKUP(tblWorkOrders5[[#This Row],[Trade]],tblLaborRates[Trade],tblLaborRates[Hourly Rate])</f>
        <v>82</v>
      </c>
      <c r="I81" s="4">
        <f>tblWorkOrders5[[#This Row],[Labor Hours]]*tblWorkOrders5[[#This Row],[Hourly Rate]]</f>
        <v>1180.8</v>
      </c>
      <c r="J81" s="4">
        <f>_xlfn.XLOOKUP(tblWorkOrders5[[#This Row],[WO Number]],tblInvoices[WO Number],tblInvoices[Vendor Cost])</f>
        <v>3032.48</v>
      </c>
      <c r="K81" s="4">
        <f>tblWorkOrders5[[#This Row],[Labor Cost]]+tblWorkOrders5[[#This Row],[Vendor Cost]]</f>
        <v>4213.28</v>
      </c>
    </row>
    <row r="82" spans="1:11" x14ac:dyDescent="0.25">
      <c r="A82" t="s">
        <v>109</v>
      </c>
      <c r="B82" s="1">
        <v>45712</v>
      </c>
      <c r="C82" t="s">
        <v>41</v>
      </c>
      <c r="D82" t="s">
        <v>31</v>
      </c>
      <c r="E82" t="s">
        <v>32</v>
      </c>
      <c r="F82" t="s">
        <v>39</v>
      </c>
      <c r="G82">
        <v>13.2</v>
      </c>
      <c r="H82" s="4">
        <f>_xlfn.XLOOKUP(tblWorkOrders5[[#This Row],[Trade]],tblLaborRates[Trade],tblLaborRates[Hourly Rate])</f>
        <v>82</v>
      </c>
      <c r="I82" s="4">
        <f>tblWorkOrders5[[#This Row],[Labor Hours]]*tblWorkOrders5[[#This Row],[Hourly Rate]]</f>
        <v>1082.3999999999999</v>
      </c>
      <c r="J82" s="4">
        <f>_xlfn.XLOOKUP(tblWorkOrders5[[#This Row],[WO Number]],tblInvoices[WO Number],tblInvoices[Vendor Cost])</f>
        <v>2481.3000000000002</v>
      </c>
      <c r="K82" s="4">
        <f>tblWorkOrders5[[#This Row],[Labor Cost]]+tblWorkOrders5[[#This Row],[Vendor Cost]]</f>
        <v>3563.7</v>
      </c>
    </row>
    <row r="83" spans="1:11" x14ac:dyDescent="0.25">
      <c r="A83" t="s">
        <v>110</v>
      </c>
      <c r="B83" s="1">
        <v>45895</v>
      </c>
      <c r="C83" t="s">
        <v>8</v>
      </c>
      <c r="D83" t="s">
        <v>16</v>
      </c>
      <c r="E83" t="s">
        <v>16</v>
      </c>
      <c r="F83" t="s">
        <v>21</v>
      </c>
      <c r="G83">
        <v>14.8</v>
      </c>
      <c r="H83" s="4">
        <f>_xlfn.XLOOKUP(tblWorkOrders5[[#This Row],[Trade]],tblLaborRates[Trade],tblLaborRates[Hourly Rate])</f>
        <v>52</v>
      </c>
      <c r="I83" s="4">
        <f>tblWorkOrders5[[#This Row],[Labor Hours]]*tblWorkOrders5[[#This Row],[Hourly Rate]]</f>
        <v>769.6</v>
      </c>
      <c r="J83" s="4">
        <f>_xlfn.XLOOKUP(tblWorkOrders5[[#This Row],[WO Number]],tblInvoices[WO Number],tblInvoices[Vendor Cost])</f>
        <v>556.54999999999995</v>
      </c>
      <c r="K83" s="4">
        <f>tblWorkOrders5[[#This Row],[Labor Cost]]+tblWorkOrders5[[#This Row],[Vendor Cost]]</f>
        <v>1326.15</v>
      </c>
    </row>
    <row r="84" spans="1:11" x14ac:dyDescent="0.25">
      <c r="A84" t="s">
        <v>111</v>
      </c>
      <c r="B84" s="1">
        <v>45726</v>
      </c>
      <c r="C84" t="s">
        <v>41</v>
      </c>
      <c r="D84" t="s">
        <v>16</v>
      </c>
      <c r="E84" t="s">
        <v>16</v>
      </c>
      <c r="F84" t="s">
        <v>24</v>
      </c>
      <c r="G84">
        <v>15.3</v>
      </c>
      <c r="H84" s="4">
        <f>_xlfn.XLOOKUP(tblWorkOrders5[[#This Row],[Trade]],tblLaborRates[Trade],tblLaborRates[Hourly Rate])</f>
        <v>52</v>
      </c>
      <c r="I84" s="4">
        <f>tblWorkOrders5[[#This Row],[Labor Hours]]*tblWorkOrders5[[#This Row],[Hourly Rate]]</f>
        <v>795.6</v>
      </c>
      <c r="J84" s="4">
        <f>_xlfn.XLOOKUP(tblWorkOrders5[[#This Row],[WO Number]],tblInvoices[WO Number],tblInvoices[Vendor Cost])</f>
        <v>3136.28</v>
      </c>
      <c r="K84" s="4">
        <f>tblWorkOrders5[[#This Row],[Labor Cost]]+tblWorkOrders5[[#This Row],[Vendor Cost]]</f>
        <v>3931.88</v>
      </c>
    </row>
    <row r="85" spans="1:11" x14ac:dyDescent="0.25">
      <c r="A85" t="s">
        <v>112</v>
      </c>
      <c r="B85" s="1">
        <v>45971</v>
      </c>
      <c r="C85" t="s">
        <v>13</v>
      </c>
      <c r="D85" t="s">
        <v>19</v>
      </c>
      <c r="E85" t="s">
        <v>20</v>
      </c>
      <c r="F85" t="s">
        <v>28</v>
      </c>
      <c r="G85">
        <v>14.5</v>
      </c>
      <c r="H85" s="4">
        <f>_xlfn.XLOOKUP(tblWorkOrders5[[#This Row],[Trade]],tblLaborRates[Trade],tblLaborRates[Hourly Rate])</f>
        <v>68</v>
      </c>
      <c r="I85" s="4">
        <f>tblWorkOrders5[[#This Row],[Labor Hours]]*tblWorkOrders5[[#This Row],[Hourly Rate]]</f>
        <v>986</v>
      </c>
      <c r="J85" s="4">
        <f>_xlfn.XLOOKUP(tblWorkOrders5[[#This Row],[WO Number]],tblInvoices[WO Number],tblInvoices[Vendor Cost])</f>
        <v>2641.25</v>
      </c>
      <c r="K85" s="4">
        <f>tblWorkOrders5[[#This Row],[Labor Cost]]+tblWorkOrders5[[#This Row],[Vendor Cost]]</f>
        <v>3627.25</v>
      </c>
    </row>
    <row r="86" spans="1:11" x14ac:dyDescent="0.25">
      <c r="A86" t="s">
        <v>113</v>
      </c>
      <c r="B86" s="1">
        <v>45901</v>
      </c>
      <c r="C86" t="s">
        <v>41</v>
      </c>
      <c r="D86" t="s">
        <v>36</v>
      </c>
      <c r="E86" t="s">
        <v>37</v>
      </c>
      <c r="F86" t="s">
        <v>21</v>
      </c>
      <c r="G86">
        <v>13.7</v>
      </c>
      <c r="H86" s="4">
        <f>_xlfn.XLOOKUP(tblWorkOrders5[[#This Row],[Trade]],tblLaborRates[Trade],tblLaborRates[Hourly Rate])</f>
        <v>79</v>
      </c>
      <c r="I86" s="4">
        <f>tblWorkOrders5[[#This Row],[Labor Hours]]*tblWorkOrders5[[#This Row],[Hourly Rate]]</f>
        <v>1082.3</v>
      </c>
      <c r="J86" s="4">
        <f>_xlfn.XLOOKUP(tblWorkOrders5[[#This Row],[WO Number]],tblInvoices[WO Number],tblInvoices[Vendor Cost])</f>
        <v>1078.99</v>
      </c>
      <c r="K86" s="4">
        <f>tblWorkOrders5[[#This Row],[Labor Cost]]+tblWorkOrders5[[#This Row],[Vendor Cost]]</f>
        <v>2161.29</v>
      </c>
    </row>
    <row r="87" spans="1:11" x14ac:dyDescent="0.25">
      <c r="A87" t="s">
        <v>114</v>
      </c>
      <c r="B87" s="1">
        <v>45924</v>
      </c>
      <c r="C87" t="s">
        <v>41</v>
      </c>
      <c r="D87" t="s">
        <v>31</v>
      </c>
      <c r="E87" t="s">
        <v>32</v>
      </c>
      <c r="F87" t="s">
        <v>11</v>
      </c>
      <c r="G87">
        <v>7.9</v>
      </c>
      <c r="H87" s="4">
        <f>_xlfn.XLOOKUP(tblWorkOrders5[[#This Row],[Trade]],tblLaborRates[Trade],tblLaborRates[Hourly Rate])</f>
        <v>82</v>
      </c>
      <c r="I87" s="4">
        <f>tblWorkOrders5[[#This Row],[Labor Hours]]*tblWorkOrders5[[#This Row],[Hourly Rate]]</f>
        <v>647.80000000000007</v>
      </c>
      <c r="J87" s="4">
        <f>_xlfn.XLOOKUP(tblWorkOrders5[[#This Row],[WO Number]],tblInvoices[WO Number],tblInvoices[Vendor Cost])</f>
        <v>2540.38</v>
      </c>
      <c r="K87" s="4">
        <f>tblWorkOrders5[[#This Row],[Labor Cost]]+tblWorkOrders5[[#This Row],[Vendor Cost]]</f>
        <v>3188.1800000000003</v>
      </c>
    </row>
    <row r="88" spans="1:11" x14ac:dyDescent="0.25">
      <c r="A88" t="s">
        <v>115</v>
      </c>
      <c r="B88" s="1">
        <v>45778</v>
      </c>
      <c r="C88" t="s">
        <v>27</v>
      </c>
      <c r="D88" t="s">
        <v>36</v>
      </c>
      <c r="E88" t="s">
        <v>37</v>
      </c>
      <c r="F88" t="s">
        <v>24</v>
      </c>
      <c r="G88">
        <v>14.4</v>
      </c>
      <c r="H88" s="4">
        <f>_xlfn.XLOOKUP(tblWorkOrders5[[#This Row],[Trade]],tblLaborRates[Trade],tblLaborRates[Hourly Rate])</f>
        <v>79</v>
      </c>
      <c r="I88" s="4">
        <f>tblWorkOrders5[[#This Row],[Labor Hours]]*tblWorkOrders5[[#This Row],[Hourly Rate]]</f>
        <v>1137.6000000000001</v>
      </c>
      <c r="J88" s="4">
        <f>_xlfn.XLOOKUP(tblWorkOrders5[[#This Row],[WO Number]],tblInvoices[WO Number],tblInvoices[Vendor Cost])</f>
        <v>419.94</v>
      </c>
      <c r="K88" s="4">
        <f>tblWorkOrders5[[#This Row],[Labor Cost]]+tblWorkOrders5[[#This Row],[Vendor Cost]]</f>
        <v>1557.5400000000002</v>
      </c>
    </row>
    <row r="89" spans="1:11" x14ac:dyDescent="0.25">
      <c r="A89" t="s">
        <v>116</v>
      </c>
      <c r="B89" s="1">
        <v>45735</v>
      </c>
      <c r="C89" t="s">
        <v>23</v>
      </c>
      <c r="D89" t="s">
        <v>19</v>
      </c>
      <c r="E89" t="s">
        <v>20</v>
      </c>
      <c r="F89" t="s">
        <v>39</v>
      </c>
      <c r="G89">
        <v>11.7</v>
      </c>
      <c r="H89" s="4">
        <f>_xlfn.XLOOKUP(tblWorkOrders5[[#This Row],[Trade]],tblLaborRates[Trade],tblLaborRates[Hourly Rate])</f>
        <v>68</v>
      </c>
      <c r="I89" s="4">
        <f>tblWorkOrders5[[#This Row],[Labor Hours]]*tblWorkOrders5[[#This Row],[Hourly Rate]]</f>
        <v>795.59999999999991</v>
      </c>
      <c r="J89" s="4">
        <f>_xlfn.XLOOKUP(tblWorkOrders5[[#This Row],[WO Number]],tblInvoices[WO Number],tblInvoices[Vendor Cost])</f>
        <v>365.17</v>
      </c>
      <c r="K89" s="4">
        <f>tblWorkOrders5[[#This Row],[Labor Cost]]+tblWorkOrders5[[#This Row],[Vendor Cost]]</f>
        <v>1160.77</v>
      </c>
    </row>
    <row r="90" spans="1:11" x14ac:dyDescent="0.25">
      <c r="A90" t="s">
        <v>117</v>
      </c>
      <c r="B90" s="1">
        <v>45866</v>
      </c>
      <c r="C90" t="s">
        <v>27</v>
      </c>
      <c r="D90" t="s">
        <v>16</v>
      </c>
      <c r="E90" t="s">
        <v>16</v>
      </c>
      <c r="F90" t="s">
        <v>28</v>
      </c>
      <c r="G90">
        <v>7.5</v>
      </c>
      <c r="H90" s="4">
        <f>_xlfn.XLOOKUP(tblWorkOrders5[[#This Row],[Trade]],tblLaborRates[Trade],tblLaborRates[Hourly Rate])</f>
        <v>52</v>
      </c>
      <c r="I90" s="4">
        <f>tblWorkOrders5[[#This Row],[Labor Hours]]*tblWorkOrders5[[#This Row],[Hourly Rate]]</f>
        <v>390</v>
      </c>
      <c r="J90" s="4">
        <f>_xlfn.XLOOKUP(tblWorkOrders5[[#This Row],[WO Number]],tblInvoices[WO Number],tblInvoices[Vendor Cost])</f>
        <v>842.9</v>
      </c>
      <c r="K90" s="4">
        <f>tblWorkOrders5[[#This Row],[Labor Cost]]+tblWorkOrders5[[#This Row],[Vendor Cost]]</f>
        <v>1232.9000000000001</v>
      </c>
    </row>
    <row r="91" spans="1:11" x14ac:dyDescent="0.25">
      <c r="A91" t="s">
        <v>118</v>
      </c>
      <c r="B91" s="1">
        <v>45873</v>
      </c>
      <c r="C91" t="s">
        <v>41</v>
      </c>
      <c r="D91" t="s">
        <v>16</v>
      </c>
      <c r="E91" t="s">
        <v>16</v>
      </c>
      <c r="F91" t="s">
        <v>17</v>
      </c>
      <c r="G91">
        <v>13.9</v>
      </c>
      <c r="H91" s="4">
        <f>_xlfn.XLOOKUP(tblWorkOrders5[[#This Row],[Trade]],tblLaborRates[Trade],tblLaborRates[Hourly Rate])</f>
        <v>52</v>
      </c>
      <c r="I91" s="4">
        <f>tblWorkOrders5[[#This Row],[Labor Hours]]*tblWorkOrders5[[#This Row],[Hourly Rate]]</f>
        <v>722.80000000000007</v>
      </c>
      <c r="J91" s="4">
        <f>_xlfn.XLOOKUP(tblWorkOrders5[[#This Row],[WO Number]],tblInvoices[WO Number],tblInvoices[Vendor Cost])</f>
        <v>2714.74</v>
      </c>
      <c r="K91" s="4">
        <f>tblWorkOrders5[[#This Row],[Labor Cost]]+tblWorkOrders5[[#This Row],[Vendor Cost]]</f>
        <v>3437.54</v>
      </c>
    </row>
    <row r="92" spans="1:11" x14ac:dyDescent="0.25">
      <c r="A92" t="s">
        <v>119</v>
      </c>
      <c r="B92" s="1">
        <v>45852</v>
      </c>
      <c r="C92" t="s">
        <v>41</v>
      </c>
      <c r="D92" t="s">
        <v>9</v>
      </c>
      <c r="E92" t="s">
        <v>10</v>
      </c>
      <c r="F92" t="s">
        <v>24</v>
      </c>
      <c r="G92">
        <v>5.8</v>
      </c>
      <c r="H92" s="4">
        <f>_xlfn.XLOOKUP(tblWorkOrders5[[#This Row],[Trade]],tblLaborRates[Trade],tblLaborRates[Hourly Rate])</f>
        <v>75</v>
      </c>
      <c r="I92" s="4">
        <f>tblWorkOrders5[[#This Row],[Labor Hours]]*tblWorkOrders5[[#This Row],[Hourly Rate]]</f>
        <v>435</v>
      </c>
      <c r="J92" s="4">
        <f>_xlfn.XLOOKUP(tblWorkOrders5[[#This Row],[WO Number]],tblInvoices[WO Number],tblInvoices[Vendor Cost])</f>
        <v>1456.46</v>
      </c>
      <c r="K92" s="4">
        <f>tblWorkOrders5[[#This Row],[Labor Cost]]+tblWorkOrders5[[#This Row],[Vendor Cost]]</f>
        <v>1891.46</v>
      </c>
    </row>
    <row r="93" spans="1:11" x14ac:dyDescent="0.25">
      <c r="A93" t="s">
        <v>120</v>
      </c>
      <c r="B93" s="1">
        <v>45872</v>
      </c>
      <c r="C93" t="s">
        <v>13</v>
      </c>
      <c r="D93" t="s">
        <v>16</v>
      </c>
      <c r="E93" t="s">
        <v>16</v>
      </c>
      <c r="F93" t="s">
        <v>21</v>
      </c>
      <c r="G93">
        <v>8.6</v>
      </c>
      <c r="H93" s="4">
        <f>_xlfn.XLOOKUP(tblWorkOrders5[[#This Row],[Trade]],tblLaborRates[Trade],tblLaborRates[Hourly Rate])</f>
        <v>52</v>
      </c>
      <c r="I93" s="4">
        <f>tblWorkOrders5[[#This Row],[Labor Hours]]*tblWorkOrders5[[#This Row],[Hourly Rate]]</f>
        <v>447.2</v>
      </c>
      <c r="J93" s="4">
        <f>_xlfn.XLOOKUP(tblWorkOrders5[[#This Row],[WO Number]],tblInvoices[WO Number],tblInvoices[Vendor Cost])</f>
        <v>1064.33</v>
      </c>
      <c r="K93" s="4">
        <f>tblWorkOrders5[[#This Row],[Labor Cost]]+tblWorkOrders5[[#This Row],[Vendor Cost]]</f>
        <v>1511.53</v>
      </c>
    </row>
    <row r="94" spans="1:11" x14ac:dyDescent="0.25">
      <c r="A94" t="s">
        <v>121</v>
      </c>
      <c r="B94" s="1">
        <v>45906</v>
      </c>
      <c r="C94" t="s">
        <v>8</v>
      </c>
      <c r="D94" t="s">
        <v>19</v>
      </c>
      <c r="E94" t="s">
        <v>20</v>
      </c>
      <c r="F94" t="s">
        <v>24</v>
      </c>
      <c r="G94">
        <v>11.2</v>
      </c>
      <c r="H94" s="4">
        <f>_xlfn.XLOOKUP(tblWorkOrders5[[#This Row],[Trade]],tblLaborRates[Trade],tblLaborRates[Hourly Rate])</f>
        <v>68</v>
      </c>
      <c r="I94" s="4">
        <f>tblWorkOrders5[[#This Row],[Labor Hours]]*tblWorkOrders5[[#This Row],[Hourly Rate]]</f>
        <v>761.59999999999991</v>
      </c>
      <c r="J94" s="4">
        <f>_xlfn.XLOOKUP(tblWorkOrders5[[#This Row],[WO Number]],tblInvoices[WO Number],tblInvoices[Vendor Cost])</f>
        <v>2823.78</v>
      </c>
      <c r="K94" s="4">
        <f>tblWorkOrders5[[#This Row],[Labor Cost]]+tblWorkOrders5[[#This Row],[Vendor Cost]]</f>
        <v>3585.38</v>
      </c>
    </row>
    <row r="95" spans="1:11" x14ac:dyDescent="0.25">
      <c r="A95" t="s">
        <v>122</v>
      </c>
      <c r="B95" s="1">
        <v>45742</v>
      </c>
      <c r="C95" t="s">
        <v>41</v>
      </c>
      <c r="D95" t="s">
        <v>31</v>
      </c>
      <c r="E95" t="s">
        <v>32</v>
      </c>
      <c r="F95" t="s">
        <v>17</v>
      </c>
      <c r="G95">
        <v>14.7</v>
      </c>
      <c r="H95" s="4">
        <f>_xlfn.XLOOKUP(tblWorkOrders5[[#This Row],[Trade]],tblLaborRates[Trade],tblLaborRates[Hourly Rate])</f>
        <v>82</v>
      </c>
      <c r="I95" s="4">
        <f>tblWorkOrders5[[#This Row],[Labor Hours]]*tblWorkOrders5[[#This Row],[Hourly Rate]]</f>
        <v>1205.3999999999999</v>
      </c>
      <c r="J95" s="4">
        <f>_xlfn.XLOOKUP(tblWorkOrders5[[#This Row],[WO Number]],tblInvoices[WO Number],tblInvoices[Vendor Cost])</f>
        <v>2132.84</v>
      </c>
      <c r="K95" s="4">
        <f>tblWorkOrders5[[#This Row],[Labor Cost]]+tblWorkOrders5[[#This Row],[Vendor Cost]]</f>
        <v>3338.24</v>
      </c>
    </row>
    <row r="96" spans="1:11" x14ac:dyDescent="0.25">
      <c r="A96" t="s">
        <v>123</v>
      </c>
      <c r="B96" s="1">
        <v>45997</v>
      </c>
      <c r="C96" t="s">
        <v>8</v>
      </c>
      <c r="D96" t="s">
        <v>9</v>
      </c>
      <c r="E96" t="s">
        <v>10</v>
      </c>
      <c r="F96" t="s">
        <v>14</v>
      </c>
      <c r="G96">
        <v>3.5</v>
      </c>
      <c r="H96" s="4">
        <f>_xlfn.XLOOKUP(tblWorkOrders5[[#This Row],[Trade]],tblLaborRates[Trade],tblLaborRates[Hourly Rate])</f>
        <v>75</v>
      </c>
      <c r="I96" s="4">
        <f>tblWorkOrders5[[#This Row],[Labor Hours]]*tblWorkOrders5[[#This Row],[Hourly Rate]]</f>
        <v>262.5</v>
      </c>
      <c r="J96" s="4">
        <f>_xlfn.XLOOKUP(tblWorkOrders5[[#This Row],[WO Number]],tblInvoices[WO Number],tblInvoices[Vendor Cost])</f>
        <v>1696.69</v>
      </c>
      <c r="K96" s="4">
        <f>tblWorkOrders5[[#This Row],[Labor Cost]]+tblWorkOrders5[[#This Row],[Vendor Cost]]</f>
        <v>1959.19</v>
      </c>
    </row>
    <row r="97" spans="1:11" x14ac:dyDescent="0.25">
      <c r="A97" t="s">
        <v>124</v>
      </c>
      <c r="B97" s="1">
        <v>45683</v>
      </c>
      <c r="C97" t="s">
        <v>27</v>
      </c>
      <c r="D97" t="s">
        <v>19</v>
      </c>
      <c r="E97" t="s">
        <v>20</v>
      </c>
      <c r="F97" t="s">
        <v>24</v>
      </c>
      <c r="G97">
        <v>4.5999999999999996</v>
      </c>
      <c r="H97" s="4">
        <f>_xlfn.XLOOKUP(tblWorkOrders5[[#This Row],[Trade]],tblLaborRates[Trade],tblLaborRates[Hourly Rate])</f>
        <v>68</v>
      </c>
      <c r="I97" s="4">
        <f>tblWorkOrders5[[#This Row],[Labor Hours]]*tblWorkOrders5[[#This Row],[Hourly Rate]]</f>
        <v>312.79999999999995</v>
      </c>
      <c r="J97" s="4">
        <f>_xlfn.XLOOKUP(tblWorkOrders5[[#This Row],[WO Number]],tblInvoices[WO Number],tblInvoices[Vendor Cost])</f>
        <v>1244.93</v>
      </c>
      <c r="K97" s="4">
        <f>tblWorkOrders5[[#This Row],[Labor Cost]]+tblWorkOrders5[[#This Row],[Vendor Cost]]</f>
        <v>1557.73</v>
      </c>
    </row>
    <row r="98" spans="1:11" x14ac:dyDescent="0.25">
      <c r="A98" t="s">
        <v>125</v>
      </c>
      <c r="B98" s="1">
        <v>45852</v>
      </c>
      <c r="C98" t="s">
        <v>27</v>
      </c>
      <c r="D98" t="s">
        <v>19</v>
      </c>
      <c r="E98" t="s">
        <v>20</v>
      </c>
      <c r="F98" t="s">
        <v>11</v>
      </c>
      <c r="G98">
        <v>13.6</v>
      </c>
      <c r="H98" s="4">
        <f>_xlfn.XLOOKUP(tblWorkOrders5[[#This Row],[Trade]],tblLaborRates[Trade],tblLaborRates[Hourly Rate])</f>
        <v>68</v>
      </c>
      <c r="I98" s="4">
        <f>tblWorkOrders5[[#This Row],[Labor Hours]]*tblWorkOrders5[[#This Row],[Hourly Rate]]</f>
        <v>924.8</v>
      </c>
      <c r="J98" s="4">
        <f>_xlfn.XLOOKUP(tblWorkOrders5[[#This Row],[WO Number]],tblInvoices[WO Number],tblInvoices[Vendor Cost])</f>
        <v>1725.53</v>
      </c>
      <c r="K98" s="4">
        <f>tblWorkOrders5[[#This Row],[Labor Cost]]+tblWorkOrders5[[#This Row],[Vendor Cost]]</f>
        <v>2650.33</v>
      </c>
    </row>
    <row r="99" spans="1:11" x14ac:dyDescent="0.25">
      <c r="A99" t="s">
        <v>126</v>
      </c>
      <c r="B99" s="1">
        <v>45934</v>
      </c>
      <c r="C99" t="s">
        <v>8</v>
      </c>
      <c r="D99" t="s">
        <v>36</v>
      </c>
      <c r="E99" t="s">
        <v>37</v>
      </c>
      <c r="F99" t="s">
        <v>21</v>
      </c>
      <c r="G99">
        <v>10.9</v>
      </c>
      <c r="H99" s="4">
        <f>_xlfn.XLOOKUP(tblWorkOrders5[[#This Row],[Trade]],tblLaborRates[Trade],tblLaborRates[Hourly Rate])</f>
        <v>79</v>
      </c>
      <c r="I99" s="4">
        <f>tblWorkOrders5[[#This Row],[Labor Hours]]*tblWorkOrders5[[#This Row],[Hourly Rate]]</f>
        <v>861.1</v>
      </c>
      <c r="J99" s="4">
        <f>_xlfn.XLOOKUP(tblWorkOrders5[[#This Row],[WO Number]],tblInvoices[WO Number],tblInvoices[Vendor Cost])</f>
        <v>2767.13</v>
      </c>
      <c r="K99" s="4">
        <f>tblWorkOrders5[[#This Row],[Labor Cost]]+tblWorkOrders5[[#This Row],[Vendor Cost]]</f>
        <v>3628.23</v>
      </c>
    </row>
    <row r="100" spans="1:11" x14ac:dyDescent="0.25">
      <c r="A100" t="s">
        <v>127</v>
      </c>
      <c r="B100" s="1">
        <v>45991</v>
      </c>
      <c r="C100" t="s">
        <v>8</v>
      </c>
      <c r="D100" t="s">
        <v>9</v>
      </c>
      <c r="E100" t="s">
        <v>10</v>
      </c>
      <c r="F100" t="s">
        <v>21</v>
      </c>
      <c r="G100">
        <v>4.4000000000000004</v>
      </c>
      <c r="H100" s="4">
        <f>_xlfn.XLOOKUP(tblWorkOrders5[[#This Row],[Trade]],tblLaborRates[Trade],tblLaborRates[Hourly Rate])</f>
        <v>75</v>
      </c>
      <c r="I100" s="4">
        <f>tblWorkOrders5[[#This Row],[Labor Hours]]*tblWorkOrders5[[#This Row],[Hourly Rate]]</f>
        <v>330</v>
      </c>
      <c r="J100" s="4">
        <f>_xlfn.XLOOKUP(tblWorkOrders5[[#This Row],[WO Number]],tblInvoices[WO Number],tblInvoices[Vendor Cost])</f>
        <v>218.27</v>
      </c>
      <c r="K100" s="4">
        <f>tblWorkOrders5[[#This Row],[Labor Cost]]+tblWorkOrders5[[#This Row],[Vendor Cost]]</f>
        <v>548.27</v>
      </c>
    </row>
    <row r="101" spans="1:11" x14ac:dyDescent="0.25">
      <c r="A101" t="s">
        <v>128</v>
      </c>
      <c r="B101" s="1">
        <v>45736</v>
      </c>
      <c r="C101" t="s">
        <v>23</v>
      </c>
      <c r="D101" t="s">
        <v>31</v>
      </c>
      <c r="E101" t="s">
        <v>32</v>
      </c>
      <c r="F101" t="s">
        <v>28</v>
      </c>
      <c r="G101">
        <v>11.2</v>
      </c>
      <c r="H101" s="4">
        <f>_xlfn.XLOOKUP(tblWorkOrders5[[#This Row],[Trade]],tblLaborRates[Trade],tblLaborRates[Hourly Rate])</f>
        <v>82</v>
      </c>
      <c r="I101" s="4">
        <f>tblWorkOrders5[[#This Row],[Labor Hours]]*tblWorkOrders5[[#This Row],[Hourly Rate]]</f>
        <v>918.4</v>
      </c>
      <c r="J101" s="4">
        <f>_xlfn.XLOOKUP(tblWorkOrders5[[#This Row],[WO Number]],tblInvoices[WO Number],tblInvoices[Vendor Cost])</f>
        <v>2039.3</v>
      </c>
      <c r="K101" s="4">
        <f>tblWorkOrders5[[#This Row],[Labor Cost]]+tblWorkOrders5[[#This Row],[Vendor Cost]]</f>
        <v>2957.7</v>
      </c>
    </row>
    <row r="102" spans="1:11" x14ac:dyDescent="0.25">
      <c r="A102" t="s">
        <v>129</v>
      </c>
      <c r="B102" s="1">
        <v>45769</v>
      </c>
      <c r="C102" t="s">
        <v>41</v>
      </c>
      <c r="D102" t="s">
        <v>36</v>
      </c>
      <c r="E102" t="s">
        <v>37</v>
      </c>
      <c r="F102" t="s">
        <v>24</v>
      </c>
      <c r="G102">
        <v>3.9</v>
      </c>
      <c r="H102" s="4">
        <f>_xlfn.XLOOKUP(tblWorkOrders5[[#This Row],[Trade]],tblLaborRates[Trade],tblLaborRates[Hourly Rate])</f>
        <v>79</v>
      </c>
      <c r="I102" s="4">
        <f>tblWorkOrders5[[#This Row],[Labor Hours]]*tblWorkOrders5[[#This Row],[Hourly Rate]]</f>
        <v>308.09999999999997</v>
      </c>
      <c r="J102" s="4">
        <f>_xlfn.XLOOKUP(tblWorkOrders5[[#This Row],[WO Number]],tblInvoices[WO Number],tblInvoices[Vendor Cost])</f>
        <v>2184.2800000000002</v>
      </c>
      <c r="K102" s="4">
        <f>tblWorkOrders5[[#This Row],[Labor Cost]]+tblWorkOrders5[[#This Row],[Vendor Cost]]</f>
        <v>2492.38</v>
      </c>
    </row>
    <row r="103" spans="1:11" x14ac:dyDescent="0.25">
      <c r="A103" t="s">
        <v>130</v>
      </c>
      <c r="B103" s="1">
        <v>45716</v>
      </c>
      <c r="C103" t="s">
        <v>23</v>
      </c>
      <c r="D103" t="s">
        <v>36</v>
      </c>
      <c r="E103" t="s">
        <v>37</v>
      </c>
      <c r="F103" t="s">
        <v>33</v>
      </c>
      <c r="G103">
        <v>9.9</v>
      </c>
      <c r="H103" s="4">
        <f>_xlfn.XLOOKUP(tblWorkOrders5[[#This Row],[Trade]],tblLaborRates[Trade],tblLaborRates[Hourly Rate])</f>
        <v>79</v>
      </c>
      <c r="I103" s="4">
        <f>tblWorkOrders5[[#This Row],[Labor Hours]]*tblWorkOrders5[[#This Row],[Hourly Rate]]</f>
        <v>782.1</v>
      </c>
      <c r="J103" s="4">
        <f>_xlfn.XLOOKUP(tblWorkOrders5[[#This Row],[WO Number]],tblInvoices[WO Number],tblInvoices[Vendor Cost])</f>
        <v>3261.77</v>
      </c>
      <c r="K103" s="4">
        <f>tblWorkOrders5[[#This Row],[Labor Cost]]+tblWorkOrders5[[#This Row],[Vendor Cost]]</f>
        <v>4043.87</v>
      </c>
    </row>
    <row r="104" spans="1:11" x14ac:dyDescent="0.25">
      <c r="A104" t="s">
        <v>131</v>
      </c>
      <c r="B104" s="1">
        <v>45952</v>
      </c>
      <c r="C104" t="s">
        <v>41</v>
      </c>
      <c r="D104" t="s">
        <v>19</v>
      </c>
      <c r="E104" t="s">
        <v>20</v>
      </c>
      <c r="F104" t="s">
        <v>21</v>
      </c>
      <c r="G104">
        <v>2.6</v>
      </c>
      <c r="H104" s="4">
        <f>_xlfn.XLOOKUP(tblWorkOrders5[[#This Row],[Trade]],tblLaborRates[Trade],tblLaborRates[Hourly Rate])</f>
        <v>68</v>
      </c>
      <c r="I104" s="4">
        <f>tblWorkOrders5[[#This Row],[Labor Hours]]*tblWorkOrders5[[#This Row],[Hourly Rate]]</f>
        <v>176.8</v>
      </c>
      <c r="J104" s="4">
        <f>_xlfn.XLOOKUP(tblWorkOrders5[[#This Row],[WO Number]],tblInvoices[WO Number],tblInvoices[Vendor Cost])</f>
        <v>2463.56</v>
      </c>
      <c r="K104" s="4">
        <f>tblWorkOrders5[[#This Row],[Labor Cost]]+tblWorkOrders5[[#This Row],[Vendor Cost]]</f>
        <v>2640.36</v>
      </c>
    </row>
    <row r="105" spans="1:11" x14ac:dyDescent="0.25">
      <c r="A105" t="s">
        <v>132</v>
      </c>
      <c r="B105" s="1">
        <v>45979</v>
      </c>
      <c r="C105" t="s">
        <v>23</v>
      </c>
      <c r="D105" t="s">
        <v>9</v>
      </c>
      <c r="E105" t="s">
        <v>10</v>
      </c>
      <c r="F105" t="s">
        <v>11</v>
      </c>
      <c r="G105">
        <v>13.8</v>
      </c>
      <c r="H105" s="4">
        <f>_xlfn.XLOOKUP(tblWorkOrders5[[#This Row],[Trade]],tblLaborRates[Trade],tblLaborRates[Hourly Rate])</f>
        <v>75</v>
      </c>
      <c r="I105" s="4">
        <f>tblWorkOrders5[[#This Row],[Labor Hours]]*tblWorkOrders5[[#This Row],[Hourly Rate]]</f>
        <v>1035</v>
      </c>
      <c r="J105" s="4">
        <f>_xlfn.XLOOKUP(tblWorkOrders5[[#This Row],[WO Number]],tblInvoices[WO Number],tblInvoices[Vendor Cost])</f>
        <v>2161.38</v>
      </c>
      <c r="K105" s="4">
        <f>tblWorkOrders5[[#This Row],[Labor Cost]]+tblWorkOrders5[[#This Row],[Vendor Cost]]</f>
        <v>3196.38</v>
      </c>
    </row>
    <row r="106" spans="1:11" x14ac:dyDescent="0.25">
      <c r="A106" t="s">
        <v>133</v>
      </c>
      <c r="B106" s="1">
        <v>45719</v>
      </c>
      <c r="C106" t="s">
        <v>13</v>
      </c>
      <c r="D106" t="s">
        <v>9</v>
      </c>
      <c r="E106" t="s">
        <v>10</v>
      </c>
      <c r="F106" t="s">
        <v>24</v>
      </c>
      <c r="G106">
        <v>9.1999999999999993</v>
      </c>
      <c r="H106" s="4">
        <f>_xlfn.XLOOKUP(tblWorkOrders5[[#This Row],[Trade]],tblLaborRates[Trade],tblLaborRates[Hourly Rate])</f>
        <v>75</v>
      </c>
      <c r="I106" s="4">
        <f>tblWorkOrders5[[#This Row],[Labor Hours]]*tblWorkOrders5[[#This Row],[Hourly Rate]]</f>
        <v>690</v>
      </c>
      <c r="J106" s="4">
        <f>_xlfn.XLOOKUP(tblWorkOrders5[[#This Row],[WO Number]],tblInvoices[WO Number],tblInvoices[Vendor Cost])</f>
        <v>2366.1</v>
      </c>
      <c r="K106" s="4">
        <f>tblWorkOrders5[[#This Row],[Labor Cost]]+tblWorkOrders5[[#This Row],[Vendor Cost]]</f>
        <v>3056.1</v>
      </c>
    </row>
    <row r="107" spans="1:11" x14ac:dyDescent="0.25">
      <c r="A107" t="s">
        <v>134</v>
      </c>
      <c r="B107" s="1">
        <v>45693</v>
      </c>
      <c r="C107" t="s">
        <v>13</v>
      </c>
      <c r="D107" t="s">
        <v>36</v>
      </c>
      <c r="E107" t="s">
        <v>37</v>
      </c>
      <c r="F107" t="s">
        <v>17</v>
      </c>
      <c r="G107">
        <v>13.8</v>
      </c>
      <c r="H107" s="4">
        <f>_xlfn.XLOOKUP(tblWorkOrders5[[#This Row],[Trade]],tblLaborRates[Trade],tblLaborRates[Hourly Rate])</f>
        <v>79</v>
      </c>
      <c r="I107" s="4">
        <f>tblWorkOrders5[[#This Row],[Labor Hours]]*tblWorkOrders5[[#This Row],[Hourly Rate]]</f>
        <v>1090.2</v>
      </c>
      <c r="J107" s="4">
        <f>_xlfn.XLOOKUP(tblWorkOrders5[[#This Row],[WO Number]],tblInvoices[WO Number],tblInvoices[Vendor Cost])</f>
        <v>2904.81</v>
      </c>
      <c r="K107" s="4">
        <f>tblWorkOrders5[[#This Row],[Labor Cost]]+tblWorkOrders5[[#This Row],[Vendor Cost]]</f>
        <v>3995.01</v>
      </c>
    </row>
    <row r="108" spans="1:11" x14ac:dyDescent="0.25">
      <c r="A108" t="s">
        <v>135</v>
      </c>
      <c r="B108" s="1">
        <v>45712</v>
      </c>
      <c r="C108" t="s">
        <v>41</v>
      </c>
      <c r="D108" t="s">
        <v>36</v>
      </c>
      <c r="E108" t="s">
        <v>37</v>
      </c>
      <c r="F108" t="s">
        <v>28</v>
      </c>
      <c r="G108">
        <v>11.8</v>
      </c>
      <c r="H108" s="4">
        <f>_xlfn.XLOOKUP(tblWorkOrders5[[#This Row],[Trade]],tblLaborRates[Trade],tblLaborRates[Hourly Rate])</f>
        <v>79</v>
      </c>
      <c r="I108" s="4">
        <f>tblWorkOrders5[[#This Row],[Labor Hours]]*tblWorkOrders5[[#This Row],[Hourly Rate]]</f>
        <v>932.2</v>
      </c>
      <c r="J108" s="4">
        <f>_xlfn.XLOOKUP(tblWorkOrders5[[#This Row],[WO Number]],tblInvoices[WO Number],tblInvoices[Vendor Cost])</f>
        <v>1608.88</v>
      </c>
      <c r="K108" s="4">
        <f>tblWorkOrders5[[#This Row],[Labor Cost]]+tblWorkOrders5[[#This Row],[Vendor Cost]]</f>
        <v>2541.08</v>
      </c>
    </row>
    <row r="109" spans="1:11" x14ac:dyDescent="0.25">
      <c r="A109" t="s">
        <v>136</v>
      </c>
      <c r="B109" s="1">
        <v>45925</v>
      </c>
      <c r="C109" t="s">
        <v>27</v>
      </c>
      <c r="D109" t="s">
        <v>16</v>
      </c>
      <c r="E109" t="s">
        <v>16</v>
      </c>
      <c r="F109" t="s">
        <v>28</v>
      </c>
      <c r="G109">
        <v>8.1999999999999993</v>
      </c>
      <c r="H109" s="4">
        <f>_xlfn.XLOOKUP(tblWorkOrders5[[#This Row],[Trade]],tblLaborRates[Trade],tblLaborRates[Hourly Rate])</f>
        <v>52</v>
      </c>
      <c r="I109" s="4">
        <f>tblWorkOrders5[[#This Row],[Labor Hours]]*tblWorkOrders5[[#This Row],[Hourly Rate]]</f>
        <v>426.4</v>
      </c>
      <c r="J109" s="4">
        <f>_xlfn.XLOOKUP(tblWorkOrders5[[#This Row],[WO Number]],tblInvoices[WO Number],tblInvoices[Vendor Cost])</f>
        <v>2916.21</v>
      </c>
      <c r="K109" s="4">
        <f>tblWorkOrders5[[#This Row],[Labor Cost]]+tblWorkOrders5[[#This Row],[Vendor Cost]]</f>
        <v>3342.61</v>
      </c>
    </row>
    <row r="110" spans="1:11" x14ac:dyDescent="0.25">
      <c r="A110" t="s">
        <v>137</v>
      </c>
      <c r="B110" s="1">
        <v>45961</v>
      </c>
      <c r="C110" t="s">
        <v>27</v>
      </c>
      <c r="D110" t="s">
        <v>36</v>
      </c>
      <c r="E110" t="s">
        <v>37</v>
      </c>
      <c r="F110" t="s">
        <v>21</v>
      </c>
      <c r="G110">
        <v>13.5</v>
      </c>
      <c r="H110" s="4">
        <f>_xlfn.XLOOKUP(tblWorkOrders5[[#This Row],[Trade]],tblLaborRates[Trade],tblLaborRates[Hourly Rate])</f>
        <v>79</v>
      </c>
      <c r="I110" s="4">
        <f>tblWorkOrders5[[#This Row],[Labor Hours]]*tblWorkOrders5[[#This Row],[Hourly Rate]]</f>
        <v>1066.5</v>
      </c>
      <c r="J110" s="4">
        <f>_xlfn.XLOOKUP(tblWorkOrders5[[#This Row],[WO Number]],tblInvoices[WO Number],tblInvoices[Vendor Cost])</f>
        <v>440.32</v>
      </c>
      <c r="K110" s="4">
        <f>tblWorkOrders5[[#This Row],[Labor Cost]]+tblWorkOrders5[[#This Row],[Vendor Cost]]</f>
        <v>1506.82</v>
      </c>
    </row>
    <row r="111" spans="1:11" x14ac:dyDescent="0.25">
      <c r="A111" t="s">
        <v>138</v>
      </c>
      <c r="B111" s="1">
        <v>45888</v>
      </c>
      <c r="C111" t="s">
        <v>23</v>
      </c>
      <c r="D111" t="s">
        <v>19</v>
      </c>
      <c r="E111" t="s">
        <v>20</v>
      </c>
      <c r="F111" t="s">
        <v>14</v>
      </c>
      <c r="G111">
        <v>6.4</v>
      </c>
      <c r="H111" s="4">
        <f>_xlfn.XLOOKUP(tblWorkOrders5[[#This Row],[Trade]],tblLaborRates[Trade],tblLaborRates[Hourly Rate])</f>
        <v>68</v>
      </c>
      <c r="I111" s="4">
        <f>tblWorkOrders5[[#This Row],[Labor Hours]]*tblWorkOrders5[[#This Row],[Hourly Rate]]</f>
        <v>435.20000000000005</v>
      </c>
      <c r="J111" s="4">
        <f>_xlfn.XLOOKUP(tblWorkOrders5[[#This Row],[WO Number]],tblInvoices[WO Number],tblInvoices[Vendor Cost])</f>
        <v>1805.93</v>
      </c>
      <c r="K111" s="4">
        <f>tblWorkOrders5[[#This Row],[Labor Cost]]+tblWorkOrders5[[#This Row],[Vendor Cost]]</f>
        <v>2241.13</v>
      </c>
    </row>
    <row r="112" spans="1:11" x14ac:dyDescent="0.25">
      <c r="A112" t="s">
        <v>139</v>
      </c>
      <c r="B112" s="1">
        <v>45824</v>
      </c>
      <c r="C112" t="s">
        <v>23</v>
      </c>
      <c r="D112" t="s">
        <v>19</v>
      </c>
      <c r="E112" t="s">
        <v>20</v>
      </c>
      <c r="F112" t="s">
        <v>21</v>
      </c>
      <c r="G112">
        <v>6.6</v>
      </c>
      <c r="H112" s="4">
        <f>_xlfn.XLOOKUP(tblWorkOrders5[[#This Row],[Trade]],tblLaborRates[Trade],tblLaborRates[Hourly Rate])</f>
        <v>68</v>
      </c>
      <c r="I112" s="4">
        <f>tblWorkOrders5[[#This Row],[Labor Hours]]*tblWorkOrders5[[#This Row],[Hourly Rate]]</f>
        <v>448.79999999999995</v>
      </c>
      <c r="J112" s="4">
        <f>_xlfn.XLOOKUP(tblWorkOrders5[[#This Row],[WO Number]],tblInvoices[WO Number],tblInvoices[Vendor Cost])</f>
        <v>1015.48</v>
      </c>
      <c r="K112" s="4">
        <f>tblWorkOrders5[[#This Row],[Labor Cost]]+tblWorkOrders5[[#This Row],[Vendor Cost]]</f>
        <v>1464.28</v>
      </c>
    </row>
    <row r="113" spans="1:11" x14ac:dyDescent="0.25">
      <c r="A113" t="s">
        <v>140</v>
      </c>
      <c r="B113" s="1">
        <v>45801</v>
      </c>
      <c r="C113" t="s">
        <v>13</v>
      </c>
      <c r="D113" t="s">
        <v>36</v>
      </c>
      <c r="E113" t="s">
        <v>37</v>
      </c>
      <c r="F113" t="s">
        <v>17</v>
      </c>
      <c r="G113">
        <v>9</v>
      </c>
      <c r="H113" s="4">
        <f>_xlfn.XLOOKUP(tblWorkOrders5[[#This Row],[Trade]],tblLaborRates[Trade],tblLaborRates[Hourly Rate])</f>
        <v>79</v>
      </c>
      <c r="I113" s="4">
        <f>tblWorkOrders5[[#This Row],[Labor Hours]]*tblWorkOrders5[[#This Row],[Hourly Rate]]</f>
        <v>711</v>
      </c>
      <c r="J113" s="4">
        <f>_xlfn.XLOOKUP(tblWorkOrders5[[#This Row],[WO Number]],tblInvoices[WO Number],tblInvoices[Vendor Cost])</f>
        <v>790.04</v>
      </c>
      <c r="K113" s="4">
        <f>tblWorkOrders5[[#This Row],[Labor Cost]]+tblWorkOrders5[[#This Row],[Vendor Cost]]</f>
        <v>1501.04</v>
      </c>
    </row>
    <row r="114" spans="1:11" x14ac:dyDescent="0.25">
      <c r="A114" t="s">
        <v>141</v>
      </c>
      <c r="B114" s="1">
        <v>45781</v>
      </c>
      <c r="C114" t="s">
        <v>41</v>
      </c>
      <c r="D114" t="s">
        <v>19</v>
      </c>
      <c r="E114" t="s">
        <v>20</v>
      </c>
      <c r="F114" t="s">
        <v>21</v>
      </c>
      <c r="G114">
        <v>11.5</v>
      </c>
      <c r="H114" s="4">
        <f>_xlfn.XLOOKUP(tblWorkOrders5[[#This Row],[Trade]],tblLaborRates[Trade],tblLaborRates[Hourly Rate])</f>
        <v>68</v>
      </c>
      <c r="I114" s="4">
        <f>tblWorkOrders5[[#This Row],[Labor Hours]]*tblWorkOrders5[[#This Row],[Hourly Rate]]</f>
        <v>782</v>
      </c>
      <c r="J114" s="4">
        <f>_xlfn.XLOOKUP(tblWorkOrders5[[#This Row],[WO Number]],tblInvoices[WO Number],tblInvoices[Vendor Cost])</f>
        <v>2313.77</v>
      </c>
      <c r="K114" s="4">
        <f>tblWorkOrders5[[#This Row],[Labor Cost]]+tblWorkOrders5[[#This Row],[Vendor Cost]]</f>
        <v>3095.77</v>
      </c>
    </row>
    <row r="115" spans="1:11" x14ac:dyDescent="0.25">
      <c r="A115" t="s">
        <v>142</v>
      </c>
      <c r="B115" s="1">
        <v>45909</v>
      </c>
      <c r="C115" t="s">
        <v>41</v>
      </c>
      <c r="D115" t="s">
        <v>9</v>
      </c>
      <c r="E115" t="s">
        <v>10</v>
      </c>
      <c r="F115" t="s">
        <v>33</v>
      </c>
      <c r="G115">
        <v>5.8</v>
      </c>
      <c r="H115" s="4">
        <f>_xlfn.XLOOKUP(tblWorkOrders5[[#This Row],[Trade]],tblLaborRates[Trade],tblLaborRates[Hourly Rate])</f>
        <v>75</v>
      </c>
      <c r="I115" s="4">
        <f>tblWorkOrders5[[#This Row],[Labor Hours]]*tblWorkOrders5[[#This Row],[Hourly Rate]]</f>
        <v>435</v>
      </c>
      <c r="J115" s="4">
        <f>_xlfn.XLOOKUP(tblWorkOrders5[[#This Row],[WO Number]],tblInvoices[WO Number],tblInvoices[Vendor Cost])</f>
        <v>1504.74</v>
      </c>
      <c r="K115" s="4">
        <f>tblWorkOrders5[[#This Row],[Labor Cost]]+tblWorkOrders5[[#This Row],[Vendor Cost]]</f>
        <v>1939.74</v>
      </c>
    </row>
    <row r="116" spans="1:11" x14ac:dyDescent="0.25">
      <c r="A116" t="s">
        <v>143</v>
      </c>
      <c r="B116" s="1">
        <v>45782</v>
      </c>
      <c r="C116" t="s">
        <v>27</v>
      </c>
      <c r="D116" t="s">
        <v>16</v>
      </c>
      <c r="E116" t="s">
        <v>16</v>
      </c>
      <c r="F116" t="s">
        <v>24</v>
      </c>
      <c r="G116">
        <v>8.4</v>
      </c>
      <c r="H116" s="4">
        <f>_xlfn.XLOOKUP(tblWorkOrders5[[#This Row],[Trade]],tblLaborRates[Trade],tblLaborRates[Hourly Rate])</f>
        <v>52</v>
      </c>
      <c r="I116" s="4">
        <f>tblWorkOrders5[[#This Row],[Labor Hours]]*tblWorkOrders5[[#This Row],[Hourly Rate]]</f>
        <v>436.8</v>
      </c>
      <c r="J116" s="4">
        <f>_xlfn.XLOOKUP(tblWorkOrders5[[#This Row],[WO Number]],tblInvoices[WO Number],tblInvoices[Vendor Cost])</f>
        <v>1928.59</v>
      </c>
      <c r="K116" s="4">
        <f>tblWorkOrders5[[#This Row],[Labor Cost]]+tblWorkOrders5[[#This Row],[Vendor Cost]]</f>
        <v>2365.39</v>
      </c>
    </row>
    <row r="117" spans="1:11" x14ac:dyDescent="0.25">
      <c r="A117" t="s">
        <v>144</v>
      </c>
      <c r="B117" s="1">
        <v>45875</v>
      </c>
      <c r="C117" t="s">
        <v>13</v>
      </c>
      <c r="D117" t="s">
        <v>36</v>
      </c>
      <c r="E117" t="s">
        <v>37</v>
      </c>
      <c r="F117" t="s">
        <v>24</v>
      </c>
      <c r="G117">
        <v>11.7</v>
      </c>
      <c r="H117" s="4">
        <f>_xlfn.XLOOKUP(tblWorkOrders5[[#This Row],[Trade]],tblLaborRates[Trade],tblLaborRates[Hourly Rate])</f>
        <v>79</v>
      </c>
      <c r="I117" s="4">
        <f>tblWorkOrders5[[#This Row],[Labor Hours]]*tblWorkOrders5[[#This Row],[Hourly Rate]]</f>
        <v>924.3</v>
      </c>
      <c r="J117" s="4">
        <f>_xlfn.XLOOKUP(tblWorkOrders5[[#This Row],[WO Number]],tblInvoices[WO Number],tblInvoices[Vendor Cost])</f>
        <v>1057.57</v>
      </c>
      <c r="K117" s="4">
        <f>tblWorkOrders5[[#This Row],[Labor Cost]]+tblWorkOrders5[[#This Row],[Vendor Cost]]</f>
        <v>1981.87</v>
      </c>
    </row>
    <row r="118" spans="1:11" x14ac:dyDescent="0.25">
      <c r="A118" t="s">
        <v>145</v>
      </c>
      <c r="B118" s="1">
        <v>45786</v>
      </c>
      <c r="C118" t="s">
        <v>23</v>
      </c>
      <c r="D118" t="s">
        <v>9</v>
      </c>
      <c r="E118" t="s">
        <v>10</v>
      </c>
      <c r="F118" t="s">
        <v>21</v>
      </c>
      <c r="G118">
        <v>6.1</v>
      </c>
      <c r="H118" s="4">
        <f>_xlfn.XLOOKUP(tblWorkOrders5[[#This Row],[Trade]],tblLaborRates[Trade],tblLaborRates[Hourly Rate])</f>
        <v>75</v>
      </c>
      <c r="I118" s="4">
        <f>tblWorkOrders5[[#This Row],[Labor Hours]]*tblWorkOrders5[[#This Row],[Hourly Rate]]</f>
        <v>457.5</v>
      </c>
      <c r="J118" s="4">
        <f>_xlfn.XLOOKUP(tblWorkOrders5[[#This Row],[WO Number]],tblInvoices[WO Number],tblInvoices[Vendor Cost])</f>
        <v>2638.65</v>
      </c>
      <c r="K118" s="4">
        <f>tblWorkOrders5[[#This Row],[Labor Cost]]+tblWorkOrders5[[#This Row],[Vendor Cost]]</f>
        <v>3096.15</v>
      </c>
    </row>
    <row r="119" spans="1:11" x14ac:dyDescent="0.25">
      <c r="A119" t="s">
        <v>146</v>
      </c>
      <c r="B119" s="1">
        <v>46011</v>
      </c>
      <c r="C119" t="s">
        <v>23</v>
      </c>
      <c r="D119" t="s">
        <v>31</v>
      </c>
      <c r="E119" t="s">
        <v>32</v>
      </c>
      <c r="F119" t="s">
        <v>21</v>
      </c>
      <c r="G119">
        <v>12.2</v>
      </c>
      <c r="H119" s="4">
        <f>_xlfn.XLOOKUP(tblWorkOrders5[[#This Row],[Trade]],tblLaborRates[Trade],tblLaborRates[Hourly Rate])</f>
        <v>82</v>
      </c>
      <c r="I119" s="4">
        <f>tblWorkOrders5[[#This Row],[Labor Hours]]*tblWorkOrders5[[#This Row],[Hourly Rate]]</f>
        <v>1000.4</v>
      </c>
      <c r="J119" s="4">
        <f>_xlfn.XLOOKUP(tblWorkOrders5[[#This Row],[WO Number]],tblInvoices[WO Number],tblInvoices[Vendor Cost])</f>
        <v>1076.27</v>
      </c>
      <c r="K119" s="4">
        <f>tblWorkOrders5[[#This Row],[Labor Cost]]+tblWorkOrders5[[#This Row],[Vendor Cost]]</f>
        <v>2076.67</v>
      </c>
    </row>
    <row r="120" spans="1:11" x14ac:dyDescent="0.25">
      <c r="A120" t="s">
        <v>147</v>
      </c>
      <c r="B120" s="1">
        <v>45959</v>
      </c>
      <c r="C120" t="s">
        <v>13</v>
      </c>
      <c r="D120" t="s">
        <v>16</v>
      </c>
      <c r="E120" t="s">
        <v>16</v>
      </c>
      <c r="F120" t="s">
        <v>11</v>
      </c>
      <c r="G120">
        <v>15.7</v>
      </c>
      <c r="H120" s="4">
        <f>_xlfn.XLOOKUP(tblWorkOrders5[[#This Row],[Trade]],tblLaborRates[Trade],tblLaborRates[Hourly Rate])</f>
        <v>52</v>
      </c>
      <c r="I120" s="4">
        <f>tblWorkOrders5[[#This Row],[Labor Hours]]*tblWorkOrders5[[#This Row],[Hourly Rate]]</f>
        <v>816.4</v>
      </c>
      <c r="J120" s="4">
        <f>_xlfn.XLOOKUP(tblWorkOrders5[[#This Row],[WO Number]],tblInvoices[WO Number],tblInvoices[Vendor Cost])</f>
        <v>2939.31</v>
      </c>
      <c r="K120" s="4">
        <f>tblWorkOrders5[[#This Row],[Labor Cost]]+tblWorkOrders5[[#This Row],[Vendor Cost]]</f>
        <v>3755.71</v>
      </c>
    </row>
    <row r="121" spans="1:11" x14ac:dyDescent="0.25">
      <c r="A121" t="s">
        <v>148</v>
      </c>
      <c r="B121" s="1">
        <v>45809</v>
      </c>
      <c r="C121" t="s">
        <v>23</v>
      </c>
      <c r="D121" t="s">
        <v>36</v>
      </c>
      <c r="E121" t="s">
        <v>37</v>
      </c>
      <c r="F121" t="s">
        <v>39</v>
      </c>
      <c r="G121">
        <v>5.9</v>
      </c>
      <c r="H121" s="4">
        <f>_xlfn.XLOOKUP(tblWorkOrders5[[#This Row],[Trade]],tblLaborRates[Trade],tblLaborRates[Hourly Rate])</f>
        <v>79</v>
      </c>
      <c r="I121" s="4">
        <f>tblWorkOrders5[[#This Row],[Labor Hours]]*tblWorkOrders5[[#This Row],[Hourly Rate]]</f>
        <v>466.1</v>
      </c>
      <c r="J121" s="4">
        <f>_xlfn.XLOOKUP(tblWorkOrders5[[#This Row],[WO Number]],tblInvoices[WO Number],tblInvoices[Vendor Cost])</f>
        <v>2521.86</v>
      </c>
      <c r="K121" s="4">
        <f>tblWorkOrders5[[#This Row],[Labor Cost]]+tblWorkOrders5[[#This Row],[Vendor Cost]]</f>
        <v>2987.96</v>
      </c>
    </row>
    <row r="122" spans="1:11" x14ac:dyDescent="0.25">
      <c r="A122" t="s">
        <v>149</v>
      </c>
      <c r="B122" s="1">
        <v>45722</v>
      </c>
      <c r="C122" t="s">
        <v>27</v>
      </c>
      <c r="D122" t="s">
        <v>9</v>
      </c>
      <c r="E122" t="s">
        <v>10</v>
      </c>
      <c r="F122" t="s">
        <v>17</v>
      </c>
      <c r="G122">
        <v>9.5</v>
      </c>
      <c r="H122" s="4">
        <f>_xlfn.XLOOKUP(tblWorkOrders5[[#This Row],[Trade]],tblLaborRates[Trade],tblLaborRates[Hourly Rate])</f>
        <v>75</v>
      </c>
      <c r="I122" s="4">
        <f>tblWorkOrders5[[#This Row],[Labor Hours]]*tblWorkOrders5[[#This Row],[Hourly Rate]]</f>
        <v>712.5</v>
      </c>
      <c r="J122" s="4">
        <f>_xlfn.XLOOKUP(tblWorkOrders5[[#This Row],[WO Number]],tblInvoices[WO Number],tblInvoices[Vendor Cost])</f>
        <v>2486.35</v>
      </c>
      <c r="K122" s="4">
        <f>tblWorkOrders5[[#This Row],[Labor Cost]]+tblWorkOrders5[[#This Row],[Vendor Cost]]</f>
        <v>3198.85</v>
      </c>
    </row>
    <row r="123" spans="1:11" x14ac:dyDescent="0.25">
      <c r="A123" t="s">
        <v>150</v>
      </c>
      <c r="B123" s="1">
        <v>45722</v>
      </c>
      <c r="C123" t="s">
        <v>41</v>
      </c>
      <c r="D123" t="s">
        <v>9</v>
      </c>
      <c r="E123" t="s">
        <v>10</v>
      </c>
      <c r="F123" t="s">
        <v>17</v>
      </c>
      <c r="G123">
        <v>9.8000000000000007</v>
      </c>
      <c r="H123" s="4">
        <f>_xlfn.XLOOKUP(tblWorkOrders5[[#This Row],[Trade]],tblLaborRates[Trade],tblLaborRates[Hourly Rate])</f>
        <v>75</v>
      </c>
      <c r="I123" s="4">
        <f>tblWorkOrders5[[#This Row],[Labor Hours]]*tblWorkOrders5[[#This Row],[Hourly Rate]]</f>
        <v>735</v>
      </c>
      <c r="J123" s="4">
        <f>_xlfn.XLOOKUP(tblWorkOrders5[[#This Row],[WO Number]],tblInvoices[WO Number],tblInvoices[Vendor Cost])</f>
        <v>1722.48</v>
      </c>
      <c r="K123" s="4">
        <f>tblWorkOrders5[[#This Row],[Labor Cost]]+tblWorkOrders5[[#This Row],[Vendor Cost]]</f>
        <v>2457.48</v>
      </c>
    </row>
    <row r="124" spans="1:11" x14ac:dyDescent="0.25">
      <c r="A124" t="s">
        <v>151</v>
      </c>
      <c r="B124" s="1">
        <v>45883</v>
      </c>
      <c r="C124" t="s">
        <v>27</v>
      </c>
      <c r="D124" t="s">
        <v>31</v>
      </c>
      <c r="E124" t="s">
        <v>32</v>
      </c>
      <c r="F124" t="s">
        <v>17</v>
      </c>
      <c r="G124">
        <v>5.2</v>
      </c>
      <c r="H124" s="4">
        <f>_xlfn.XLOOKUP(tblWorkOrders5[[#This Row],[Trade]],tblLaborRates[Trade],tblLaborRates[Hourly Rate])</f>
        <v>82</v>
      </c>
      <c r="I124" s="4">
        <f>tblWorkOrders5[[#This Row],[Labor Hours]]*tblWorkOrders5[[#This Row],[Hourly Rate]]</f>
        <v>426.40000000000003</v>
      </c>
      <c r="J124" s="4">
        <f>_xlfn.XLOOKUP(tblWorkOrders5[[#This Row],[WO Number]],tblInvoices[WO Number],tblInvoices[Vendor Cost])</f>
        <v>3036.77</v>
      </c>
      <c r="K124" s="4">
        <f>tblWorkOrders5[[#This Row],[Labor Cost]]+tblWorkOrders5[[#This Row],[Vendor Cost]]</f>
        <v>3463.17</v>
      </c>
    </row>
    <row r="125" spans="1:11" x14ac:dyDescent="0.25">
      <c r="A125" t="s">
        <v>152</v>
      </c>
      <c r="B125" s="1">
        <v>45716</v>
      </c>
      <c r="C125" t="s">
        <v>8</v>
      </c>
      <c r="D125" t="s">
        <v>19</v>
      </c>
      <c r="E125" t="s">
        <v>20</v>
      </c>
      <c r="F125" t="s">
        <v>28</v>
      </c>
      <c r="G125">
        <v>2.6</v>
      </c>
      <c r="H125" s="4">
        <f>_xlfn.XLOOKUP(tblWorkOrders5[[#This Row],[Trade]],tblLaborRates[Trade],tblLaborRates[Hourly Rate])</f>
        <v>68</v>
      </c>
      <c r="I125" s="4">
        <f>tblWorkOrders5[[#This Row],[Labor Hours]]*tblWorkOrders5[[#This Row],[Hourly Rate]]</f>
        <v>176.8</v>
      </c>
      <c r="J125" s="4">
        <f>_xlfn.XLOOKUP(tblWorkOrders5[[#This Row],[WO Number]],tblInvoices[WO Number],tblInvoices[Vendor Cost])</f>
        <v>2258.64</v>
      </c>
      <c r="K125" s="4">
        <f>tblWorkOrders5[[#This Row],[Labor Cost]]+tblWorkOrders5[[#This Row],[Vendor Cost]]</f>
        <v>2435.44</v>
      </c>
    </row>
    <row r="126" spans="1:11" x14ac:dyDescent="0.25">
      <c r="A126" t="s">
        <v>153</v>
      </c>
      <c r="B126" s="1">
        <v>45685</v>
      </c>
      <c r="C126" t="s">
        <v>23</v>
      </c>
      <c r="D126" t="s">
        <v>31</v>
      </c>
      <c r="E126" t="s">
        <v>32</v>
      </c>
      <c r="F126" t="s">
        <v>11</v>
      </c>
      <c r="G126">
        <v>2.7</v>
      </c>
      <c r="H126" s="4">
        <f>_xlfn.XLOOKUP(tblWorkOrders5[[#This Row],[Trade]],tblLaborRates[Trade],tblLaborRates[Hourly Rate])</f>
        <v>82</v>
      </c>
      <c r="I126" s="4">
        <f>tblWorkOrders5[[#This Row],[Labor Hours]]*tblWorkOrders5[[#This Row],[Hourly Rate]]</f>
        <v>221.4</v>
      </c>
      <c r="J126" s="4">
        <f>_xlfn.XLOOKUP(tblWorkOrders5[[#This Row],[WO Number]],tblInvoices[WO Number],tblInvoices[Vendor Cost])</f>
        <v>981.44</v>
      </c>
      <c r="K126" s="4">
        <f>tblWorkOrders5[[#This Row],[Labor Cost]]+tblWorkOrders5[[#This Row],[Vendor Cost]]</f>
        <v>1202.8400000000001</v>
      </c>
    </row>
    <row r="127" spans="1:11" x14ac:dyDescent="0.25">
      <c r="A127" t="s">
        <v>154</v>
      </c>
      <c r="B127" s="1">
        <v>45943</v>
      </c>
      <c r="C127" t="s">
        <v>41</v>
      </c>
      <c r="D127" t="s">
        <v>16</v>
      </c>
      <c r="E127" t="s">
        <v>16</v>
      </c>
      <c r="F127" t="s">
        <v>21</v>
      </c>
      <c r="G127">
        <v>12.7</v>
      </c>
      <c r="H127" s="4">
        <f>_xlfn.XLOOKUP(tblWorkOrders5[[#This Row],[Trade]],tblLaborRates[Trade],tblLaborRates[Hourly Rate])</f>
        <v>52</v>
      </c>
      <c r="I127" s="4">
        <f>tblWorkOrders5[[#This Row],[Labor Hours]]*tblWorkOrders5[[#This Row],[Hourly Rate]]</f>
        <v>660.4</v>
      </c>
      <c r="J127" s="4">
        <f>_xlfn.XLOOKUP(tblWorkOrders5[[#This Row],[WO Number]],tblInvoices[WO Number],tblInvoices[Vendor Cost])</f>
        <v>1424.27</v>
      </c>
      <c r="K127" s="4">
        <f>tblWorkOrders5[[#This Row],[Labor Cost]]+tblWorkOrders5[[#This Row],[Vendor Cost]]</f>
        <v>2084.67</v>
      </c>
    </row>
    <row r="128" spans="1:11" x14ac:dyDescent="0.25">
      <c r="A128" t="s">
        <v>155</v>
      </c>
      <c r="B128" s="1">
        <v>45884</v>
      </c>
      <c r="C128" t="s">
        <v>27</v>
      </c>
      <c r="D128" t="s">
        <v>16</v>
      </c>
      <c r="E128" t="s">
        <v>16</v>
      </c>
      <c r="F128" t="s">
        <v>14</v>
      </c>
      <c r="G128">
        <v>5.9</v>
      </c>
      <c r="H128" s="4">
        <f>_xlfn.XLOOKUP(tblWorkOrders5[[#This Row],[Trade]],tblLaborRates[Trade],tblLaborRates[Hourly Rate])</f>
        <v>52</v>
      </c>
      <c r="I128" s="4">
        <f>tblWorkOrders5[[#This Row],[Labor Hours]]*tblWorkOrders5[[#This Row],[Hourly Rate]]</f>
        <v>306.8</v>
      </c>
      <c r="J128" s="4">
        <f>_xlfn.XLOOKUP(tblWorkOrders5[[#This Row],[WO Number]],tblInvoices[WO Number],tblInvoices[Vendor Cost])</f>
        <v>2230.44</v>
      </c>
      <c r="K128" s="4">
        <f>tblWorkOrders5[[#This Row],[Labor Cost]]+tblWorkOrders5[[#This Row],[Vendor Cost]]</f>
        <v>2537.2400000000002</v>
      </c>
    </row>
    <row r="129" spans="1:11" x14ac:dyDescent="0.25">
      <c r="A129" t="s">
        <v>156</v>
      </c>
      <c r="B129" s="1">
        <v>45970</v>
      </c>
      <c r="C129" t="s">
        <v>8</v>
      </c>
      <c r="D129" t="s">
        <v>31</v>
      </c>
      <c r="E129" t="s">
        <v>32</v>
      </c>
      <c r="F129" t="s">
        <v>21</v>
      </c>
      <c r="G129">
        <v>5.3</v>
      </c>
      <c r="H129" s="4">
        <f>_xlfn.XLOOKUP(tblWorkOrders5[[#This Row],[Trade]],tblLaborRates[Trade],tblLaborRates[Hourly Rate])</f>
        <v>82</v>
      </c>
      <c r="I129" s="4">
        <f>tblWorkOrders5[[#This Row],[Labor Hours]]*tblWorkOrders5[[#This Row],[Hourly Rate]]</f>
        <v>434.59999999999997</v>
      </c>
      <c r="J129" s="4">
        <f>_xlfn.XLOOKUP(tblWorkOrders5[[#This Row],[WO Number]],tblInvoices[WO Number],tblInvoices[Vendor Cost])</f>
        <v>421.98</v>
      </c>
      <c r="K129" s="4">
        <f>tblWorkOrders5[[#This Row],[Labor Cost]]+tblWorkOrders5[[#This Row],[Vendor Cost]]</f>
        <v>856.57999999999993</v>
      </c>
    </row>
    <row r="130" spans="1:11" x14ac:dyDescent="0.25">
      <c r="A130" t="s">
        <v>157</v>
      </c>
      <c r="B130" s="1">
        <v>45780</v>
      </c>
      <c r="C130" t="s">
        <v>23</v>
      </c>
      <c r="D130" t="s">
        <v>16</v>
      </c>
      <c r="E130" t="s">
        <v>16</v>
      </c>
      <c r="F130" t="s">
        <v>33</v>
      </c>
      <c r="G130">
        <v>3.8</v>
      </c>
      <c r="H130" s="4">
        <f>_xlfn.XLOOKUP(tblWorkOrders5[[#This Row],[Trade]],tblLaborRates[Trade],tblLaborRates[Hourly Rate])</f>
        <v>52</v>
      </c>
      <c r="I130" s="4">
        <f>tblWorkOrders5[[#This Row],[Labor Hours]]*tblWorkOrders5[[#This Row],[Hourly Rate]]</f>
        <v>197.6</v>
      </c>
      <c r="J130" s="4">
        <f>_xlfn.XLOOKUP(tblWorkOrders5[[#This Row],[WO Number]],tblInvoices[WO Number],tblInvoices[Vendor Cost])</f>
        <v>1518.53</v>
      </c>
      <c r="K130" s="4">
        <f>tblWorkOrders5[[#This Row],[Labor Cost]]+tblWorkOrders5[[#This Row],[Vendor Cost]]</f>
        <v>1716.1299999999999</v>
      </c>
    </row>
    <row r="131" spans="1:11" x14ac:dyDescent="0.25">
      <c r="A131" t="s">
        <v>158</v>
      </c>
      <c r="B131" s="1">
        <v>46010</v>
      </c>
      <c r="C131" t="s">
        <v>13</v>
      </c>
      <c r="D131" t="s">
        <v>19</v>
      </c>
      <c r="E131" t="s">
        <v>20</v>
      </c>
      <c r="F131" t="s">
        <v>11</v>
      </c>
      <c r="G131">
        <v>2</v>
      </c>
      <c r="H131" s="4">
        <f>_xlfn.XLOOKUP(tblWorkOrders5[[#This Row],[Trade]],tblLaborRates[Trade],tblLaborRates[Hourly Rate])</f>
        <v>68</v>
      </c>
      <c r="I131" s="4">
        <f>tblWorkOrders5[[#This Row],[Labor Hours]]*tblWorkOrders5[[#This Row],[Hourly Rate]]</f>
        <v>136</v>
      </c>
      <c r="J131" s="4">
        <f>_xlfn.XLOOKUP(tblWorkOrders5[[#This Row],[WO Number]],tblInvoices[WO Number],tblInvoices[Vendor Cost])</f>
        <v>1115.1500000000001</v>
      </c>
      <c r="K131" s="4">
        <f>tblWorkOrders5[[#This Row],[Labor Cost]]+tblWorkOrders5[[#This Row],[Vendor Cost]]</f>
        <v>1251.1500000000001</v>
      </c>
    </row>
    <row r="132" spans="1:11" x14ac:dyDescent="0.25">
      <c r="A132" t="s">
        <v>159</v>
      </c>
      <c r="B132" s="1">
        <v>45802</v>
      </c>
      <c r="C132" t="s">
        <v>41</v>
      </c>
      <c r="D132" t="s">
        <v>9</v>
      </c>
      <c r="E132" t="s">
        <v>10</v>
      </c>
      <c r="F132" t="s">
        <v>21</v>
      </c>
      <c r="G132">
        <v>14.9</v>
      </c>
      <c r="H132" s="4">
        <f>_xlfn.XLOOKUP(tblWorkOrders5[[#This Row],[Trade]],tblLaborRates[Trade],tblLaborRates[Hourly Rate])</f>
        <v>75</v>
      </c>
      <c r="I132" s="4">
        <f>tblWorkOrders5[[#This Row],[Labor Hours]]*tblWorkOrders5[[#This Row],[Hourly Rate]]</f>
        <v>1117.5</v>
      </c>
      <c r="J132" s="4">
        <f>_xlfn.XLOOKUP(tblWorkOrders5[[#This Row],[WO Number]],tblInvoices[WO Number],tblInvoices[Vendor Cost])</f>
        <v>2789.22</v>
      </c>
      <c r="K132" s="4">
        <f>tblWorkOrders5[[#This Row],[Labor Cost]]+tblWorkOrders5[[#This Row],[Vendor Cost]]</f>
        <v>3906.72</v>
      </c>
    </row>
    <row r="133" spans="1:11" x14ac:dyDescent="0.25">
      <c r="A133" t="s">
        <v>160</v>
      </c>
      <c r="B133" s="1">
        <v>45978</v>
      </c>
      <c r="C133" t="s">
        <v>13</v>
      </c>
      <c r="D133" t="s">
        <v>31</v>
      </c>
      <c r="E133" t="s">
        <v>32</v>
      </c>
      <c r="F133" t="s">
        <v>14</v>
      </c>
      <c r="G133">
        <v>3.2</v>
      </c>
      <c r="H133" s="4">
        <f>_xlfn.XLOOKUP(tblWorkOrders5[[#This Row],[Trade]],tblLaborRates[Trade],tblLaborRates[Hourly Rate])</f>
        <v>82</v>
      </c>
      <c r="I133" s="4">
        <f>tblWorkOrders5[[#This Row],[Labor Hours]]*tblWorkOrders5[[#This Row],[Hourly Rate]]</f>
        <v>262.40000000000003</v>
      </c>
      <c r="J133" s="4">
        <f>_xlfn.XLOOKUP(tblWorkOrders5[[#This Row],[WO Number]],tblInvoices[WO Number],tblInvoices[Vendor Cost])</f>
        <v>903.11</v>
      </c>
      <c r="K133" s="4">
        <f>tblWorkOrders5[[#This Row],[Labor Cost]]+tblWorkOrders5[[#This Row],[Vendor Cost]]</f>
        <v>1165.51</v>
      </c>
    </row>
    <row r="134" spans="1:11" x14ac:dyDescent="0.25">
      <c r="A134" t="s">
        <v>161</v>
      </c>
      <c r="B134" s="1">
        <v>45734</v>
      </c>
      <c r="C134" t="s">
        <v>27</v>
      </c>
      <c r="D134" t="s">
        <v>31</v>
      </c>
      <c r="E134" t="s">
        <v>32</v>
      </c>
      <c r="F134" t="s">
        <v>33</v>
      </c>
      <c r="G134">
        <v>2.4</v>
      </c>
      <c r="H134" s="4">
        <f>_xlfn.XLOOKUP(tblWorkOrders5[[#This Row],[Trade]],tblLaborRates[Trade],tblLaborRates[Hourly Rate])</f>
        <v>82</v>
      </c>
      <c r="I134" s="4">
        <f>tblWorkOrders5[[#This Row],[Labor Hours]]*tblWorkOrders5[[#This Row],[Hourly Rate]]</f>
        <v>196.79999999999998</v>
      </c>
      <c r="J134" s="4">
        <f>_xlfn.XLOOKUP(tblWorkOrders5[[#This Row],[WO Number]],tblInvoices[WO Number],tblInvoices[Vendor Cost])</f>
        <v>2805.31</v>
      </c>
      <c r="K134" s="4">
        <f>tblWorkOrders5[[#This Row],[Labor Cost]]+tblWorkOrders5[[#This Row],[Vendor Cost]]</f>
        <v>3002.11</v>
      </c>
    </row>
    <row r="135" spans="1:11" x14ac:dyDescent="0.25">
      <c r="A135" t="s">
        <v>162</v>
      </c>
      <c r="B135" s="1">
        <v>45962</v>
      </c>
      <c r="C135" t="s">
        <v>13</v>
      </c>
      <c r="D135" t="s">
        <v>36</v>
      </c>
      <c r="E135" t="s">
        <v>37</v>
      </c>
      <c r="F135" t="s">
        <v>28</v>
      </c>
      <c r="G135">
        <v>3.3</v>
      </c>
      <c r="H135" s="4">
        <f>_xlfn.XLOOKUP(tblWorkOrders5[[#This Row],[Trade]],tblLaborRates[Trade],tblLaborRates[Hourly Rate])</f>
        <v>79</v>
      </c>
      <c r="I135" s="4">
        <f>tblWorkOrders5[[#This Row],[Labor Hours]]*tblWorkOrders5[[#This Row],[Hourly Rate]]</f>
        <v>260.7</v>
      </c>
      <c r="J135" s="4">
        <f>_xlfn.XLOOKUP(tblWorkOrders5[[#This Row],[WO Number]],tblInvoices[WO Number],tblInvoices[Vendor Cost])</f>
        <v>2457.0700000000002</v>
      </c>
      <c r="K135" s="4">
        <f>tblWorkOrders5[[#This Row],[Labor Cost]]+tblWorkOrders5[[#This Row],[Vendor Cost]]</f>
        <v>2717.77</v>
      </c>
    </row>
    <row r="136" spans="1:11" x14ac:dyDescent="0.25">
      <c r="A136" t="s">
        <v>163</v>
      </c>
      <c r="B136" s="1">
        <v>46016</v>
      </c>
      <c r="C136" t="s">
        <v>41</v>
      </c>
      <c r="D136" t="s">
        <v>36</v>
      </c>
      <c r="E136" t="s">
        <v>37</v>
      </c>
      <c r="F136" t="s">
        <v>28</v>
      </c>
      <c r="G136">
        <v>7.8</v>
      </c>
      <c r="H136" s="4">
        <f>_xlfn.XLOOKUP(tblWorkOrders5[[#This Row],[Trade]],tblLaborRates[Trade],tblLaborRates[Hourly Rate])</f>
        <v>79</v>
      </c>
      <c r="I136" s="4">
        <f>tblWorkOrders5[[#This Row],[Labor Hours]]*tblWorkOrders5[[#This Row],[Hourly Rate]]</f>
        <v>616.19999999999993</v>
      </c>
      <c r="J136" s="4">
        <f>_xlfn.XLOOKUP(tblWorkOrders5[[#This Row],[WO Number]],tblInvoices[WO Number],tblInvoices[Vendor Cost])</f>
        <v>2153.42</v>
      </c>
      <c r="K136" s="4">
        <f>tblWorkOrders5[[#This Row],[Labor Cost]]+tblWorkOrders5[[#This Row],[Vendor Cost]]</f>
        <v>2769.62</v>
      </c>
    </row>
    <row r="137" spans="1:11" x14ac:dyDescent="0.25">
      <c r="A137" t="s">
        <v>164</v>
      </c>
      <c r="B137" s="1">
        <v>45879</v>
      </c>
      <c r="C137" t="s">
        <v>27</v>
      </c>
      <c r="D137" t="s">
        <v>16</v>
      </c>
      <c r="E137" t="s">
        <v>16</v>
      </c>
      <c r="F137" t="s">
        <v>11</v>
      </c>
      <c r="G137">
        <v>1.9</v>
      </c>
      <c r="H137" s="4">
        <f>_xlfn.XLOOKUP(tblWorkOrders5[[#This Row],[Trade]],tblLaborRates[Trade],tblLaborRates[Hourly Rate])</f>
        <v>52</v>
      </c>
      <c r="I137" s="4">
        <f>tblWorkOrders5[[#This Row],[Labor Hours]]*tblWorkOrders5[[#This Row],[Hourly Rate]]</f>
        <v>98.8</v>
      </c>
      <c r="J137" s="4">
        <f>_xlfn.XLOOKUP(tblWorkOrders5[[#This Row],[WO Number]],tblInvoices[WO Number],tblInvoices[Vendor Cost])</f>
        <v>916.9</v>
      </c>
      <c r="K137" s="4">
        <f>tblWorkOrders5[[#This Row],[Labor Cost]]+tblWorkOrders5[[#This Row],[Vendor Cost]]</f>
        <v>1015.6999999999999</v>
      </c>
    </row>
    <row r="138" spans="1:11" x14ac:dyDescent="0.25">
      <c r="A138" t="s">
        <v>165</v>
      </c>
      <c r="B138" s="1">
        <v>46003</v>
      </c>
      <c r="C138" t="s">
        <v>13</v>
      </c>
      <c r="D138" t="s">
        <v>16</v>
      </c>
      <c r="E138" t="s">
        <v>16</v>
      </c>
      <c r="F138" t="s">
        <v>17</v>
      </c>
      <c r="G138">
        <v>16</v>
      </c>
      <c r="H138" s="4">
        <f>_xlfn.XLOOKUP(tblWorkOrders5[[#This Row],[Trade]],tblLaborRates[Trade],tblLaborRates[Hourly Rate])</f>
        <v>52</v>
      </c>
      <c r="I138" s="4">
        <f>tblWorkOrders5[[#This Row],[Labor Hours]]*tblWorkOrders5[[#This Row],[Hourly Rate]]</f>
        <v>832</v>
      </c>
      <c r="J138" s="4">
        <f>_xlfn.XLOOKUP(tblWorkOrders5[[#This Row],[WO Number]],tblInvoices[WO Number],tblInvoices[Vendor Cost])</f>
        <v>2402.14</v>
      </c>
      <c r="K138" s="4">
        <f>tblWorkOrders5[[#This Row],[Labor Cost]]+tblWorkOrders5[[#This Row],[Vendor Cost]]</f>
        <v>3234.14</v>
      </c>
    </row>
    <row r="139" spans="1:11" x14ac:dyDescent="0.25">
      <c r="A139" t="s">
        <v>166</v>
      </c>
      <c r="B139" s="1">
        <v>45795</v>
      </c>
      <c r="C139" t="s">
        <v>13</v>
      </c>
      <c r="D139" t="s">
        <v>9</v>
      </c>
      <c r="E139" t="s">
        <v>10</v>
      </c>
      <c r="F139" t="s">
        <v>39</v>
      </c>
      <c r="G139">
        <v>8.3000000000000007</v>
      </c>
      <c r="H139" s="4">
        <f>_xlfn.XLOOKUP(tblWorkOrders5[[#This Row],[Trade]],tblLaborRates[Trade],tblLaborRates[Hourly Rate])</f>
        <v>75</v>
      </c>
      <c r="I139" s="4">
        <f>tblWorkOrders5[[#This Row],[Labor Hours]]*tblWorkOrders5[[#This Row],[Hourly Rate]]</f>
        <v>622.5</v>
      </c>
      <c r="J139" s="4">
        <f>_xlfn.XLOOKUP(tblWorkOrders5[[#This Row],[WO Number]],tblInvoices[WO Number],tblInvoices[Vendor Cost])</f>
        <v>2332.56</v>
      </c>
      <c r="K139" s="4">
        <f>tblWorkOrders5[[#This Row],[Labor Cost]]+tblWorkOrders5[[#This Row],[Vendor Cost]]</f>
        <v>2955.06</v>
      </c>
    </row>
    <row r="140" spans="1:11" x14ac:dyDescent="0.25">
      <c r="A140" t="s">
        <v>167</v>
      </c>
      <c r="B140" s="1">
        <v>45800</v>
      </c>
      <c r="C140" t="s">
        <v>23</v>
      </c>
      <c r="D140" t="s">
        <v>16</v>
      </c>
      <c r="E140" t="s">
        <v>16</v>
      </c>
      <c r="F140" t="s">
        <v>14</v>
      </c>
      <c r="G140">
        <v>10.7</v>
      </c>
      <c r="H140" s="4">
        <f>_xlfn.XLOOKUP(tblWorkOrders5[[#This Row],[Trade]],tblLaborRates[Trade],tblLaborRates[Hourly Rate])</f>
        <v>52</v>
      </c>
      <c r="I140" s="4">
        <f>tblWorkOrders5[[#This Row],[Labor Hours]]*tblWorkOrders5[[#This Row],[Hourly Rate]]</f>
        <v>556.4</v>
      </c>
      <c r="J140" s="4">
        <f>_xlfn.XLOOKUP(tblWorkOrders5[[#This Row],[WO Number]],tblInvoices[WO Number],tblInvoices[Vendor Cost])</f>
        <v>1797.28</v>
      </c>
      <c r="K140" s="4">
        <f>tblWorkOrders5[[#This Row],[Labor Cost]]+tblWorkOrders5[[#This Row],[Vendor Cost]]</f>
        <v>2353.6799999999998</v>
      </c>
    </row>
    <row r="141" spans="1:11" x14ac:dyDescent="0.25">
      <c r="A141" t="s">
        <v>168</v>
      </c>
      <c r="B141" s="1">
        <v>45704</v>
      </c>
      <c r="C141" t="s">
        <v>41</v>
      </c>
      <c r="D141" t="s">
        <v>36</v>
      </c>
      <c r="E141" t="s">
        <v>37</v>
      </c>
      <c r="F141" t="s">
        <v>14</v>
      </c>
      <c r="G141">
        <v>6.3</v>
      </c>
      <c r="H141" s="4">
        <f>_xlfn.XLOOKUP(tblWorkOrders5[[#This Row],[Trade]],tblLaborRates[Trade],tblLaborRates[Hourly Rate])</f>
        <v>79</v>
      </c>
      <c r="I141" s="4">
        <f>tblWorkOrders5[[#This Row],[Labor Hours]]*tblWorkOrders5[[#This Row],[Hourly Rate]]</f>
        <v>497.7</v>
      </c>
      <c r="J141" s="4">
        <f>_xlfn.XLOOKUP(tblWorkOrders5[[#This Row],[WO Number]],tblInvoices[WO Number],tblInvoices[Vendor Cost])</f>
        <v>2394.9499999999998</v>
      </c>
      <c r="K141" s="4">
        <f>tblWorkOrders5[[#This Row],[Labor Cost]]+tblWorkOrders5[[#This Row],[Vendor Cost]]</f>
        <v>2892.6499999999996</v>
      </c>
    </row>
    <row r="142" spans="1:11" x14ac:dyDescent="0.25">
      <c r="A142" t="s">
        <v>169</v>
      </c>
      <c r="B142" s="1">
        <v>45740</v>
      </c>
      <c r="C142" t="s">
        <v>27</v>
      </c>
      <c r="D142" t="s">
        <v>19</v>
      </c>
      <c r="E142" t="s">
        <v>20</v>
      </c>
      <c r="F142" t="s">
        <v>28</v>
      </c>
      <c r="G142">
        <v>5.7</v>
      </c>
      <c r="H142" s="4">
        <f>_xlfn.XLOOKUP(tblWorkOrders5[[#This Row],[Trade]],tblLaborRates[Trade],tblLaborRates[Hourly Rate])</f>
        <v>68</v>
      </c>
      <c r="I142" s="4">
        <f>tblWorkOrders5[[#This Row],[Labor Hours]]*tblWorkOrders5[[#This Row],[Hourly Rate]]</f>
        <v>387.6</v>
      </c>
      <c r="J142" s="4">
        <f>_xlfn.XLOOKUP(tblWorkOrders5[[#This Row],[WO Number]],tblInvoices[WO Number],tblInvoices[Vendor Cost])</f>
        <v>3316.4</v>
      </c>
      <c r="K142" s="4">
        <f>tblWorkOrders5[[#This Row],[Labor Cost]]+tblWorkOrders5[[#This Row],[Vendor Cost]]</f>
        <v>3704</v>
      </c>
    </row>
    <row r="143" spans="1:11" x14ac:dyDescent="0.25">
      <c r="A143" t="s">
        <v>170</v>
      </c>
      <c r="B143" s="1">
        <v>45939</v>
      </c>
      <c r="C143" t="s">
        <v>8</v>
      </c>
      <c r="D143" t="s">
        <v>19</v>
      </c>
      <c r="E143" t="s">
        <v>20</v>
      </c>
      <c r="F143" t="s">
        <v>33</v>
      </c>
      <c r="G143">
        <v>6.1</v>
      </c>
      <c r="H143" s="4">
        <f>_xlfn.XLOOKUP(tblWorkOrders5[[#This Row],[Trade]],tblLaborRates[Trade],tblLaborRates[Hourly Rate])</f>
        <v>68</v>
      </c>
      <c r="I143" s="4">
        <f>tblWorkOrders5[[#This Row],[Labor Hours]]*tblWorkOrders5[[#This Row],[Hourly Rate]]</f>
        <v>414.79999999999995</v>
      </c>
      <c r="J143" s="4">
        <f>_xlfn.XLOOKUP(tblWorkOrders5[[#This Row],[WO Number]],tblInvoices[WO Number],tblInvoices[Vendor Cost])</f>
        <v>1232.97</v>
      </c>
      <c r="K143" s="4">
        <f>tblWorkOrders5[[#This Row],[Labor Cost]]+tblWorkOrders5[[#This Row],[Vendor Cost]]</f>
        <v>1647.77</v>
      </c>
    </row>
    <row r="144" spans="1:11" x14ac:dyDescent="0.25">
      <c r="A144" t="s">
        <v>171</v>
      </c>
      <c r="B144" s="1">
        <v>45864</v>
      </c>
      <c r="C144" t="s">
        <v>13</v>
      </c>
      <c r="D144" t="s">
        <v>9</v>
      </c>
      <c r="E144" t="s">
        <v>10</v>
      </c>
      <c r="F144" t="s">
        <v>28</v>
      </c>
      <c r="G144">
        <v>7.5</v>
      </c>
      <c r="H144" s="4">
        <f>_xlfn.XLOOKUP(tblWorkOrders5[[#This Row],[Trade]],tblLaborRates[Trade],tblLaborRates[Hourly Rate])</f>
        <v>75</v>
      </c>
      <c r="I144" s="4">
        <f>tblWorkOrders5[[#This Row],[Labor Hours]]*tblWorkOrders5[[#This Row],[Hourly Rate]]</f>
        <v>562.5</v>
      </c>
      <c r="J144" s="4">
        <f>_xlfn.XLOOKUP(tblWorkOrders5[[#This Row],[WO Number]],tblInvoices[WO Number],tblInvoices[Vendor Cost])</f>
        <v>778.4</v>
      </c>
      <c r="K144" s="4">
        <f>tblWorkOrders5[[#This Row],[Labor Cost]]+tblWorkOrders5[[#This Row],[Vendor Cost]]</f>
        <v>1340.9</v>
      </c>
    </row>
    <row r="145" spans="1:11" x14ac:dyDescent="0.25">
      <c r="A145" t="s">
        <v>172</v>
      </c>
      <c r="B145" s="1">
        <v>45843</v>
      </c>
      <c r="C145" t="s">
        <v>13</v>
      </c>
      <c r="D145" t="s">
        <v>19</v>
      </c>
      <c r="E145" t="s">
        <v>20</v>
      </c>
      <c r="F145" t="s">
        <v>28</v>
      </c>
      <c r="G145">
        <v>12.5</v>
      </c>
      <c r="H145" s="4">
        <f>_xlfn.XLOOKUP(tblWorkOrders5[[#This Row],[Trade]],tblLaborRates[Trade],tblLaborRates[Hourly Rate])</f>
        <v>68</v>
      </c>
      <c r="I145" s="4">
        <f>tblWorkOrders5[[#This Row],[Labor Hours]]*tblWorkOrders5[[#This Row],[Hourly Rate]]</f>
        <v>850</v>
      </c>
      <c r="J145" s="4">
        <f>_xlfn.XLOOKUP(tblWorkOrders5[[#This Row],[WO Number]],tblInvoices[WO Number],tblInvoices[Vendor Cost])</f>
        <v>831.92</v>
      </c>
      <c r="K145" s="4">
        <f>tblWorkOrders5[[#This Row],[Labor Cost]]+tblWorkOrders5[[#This Row],[Vendor Cost]]</f>
        <v>1681.92</v>
      </c>
    </row>
    <row r="146" spans="1:11" x14ac:dyDescent="0.25">
      <c r="A146" t="s">
        <v>173</v>
      </c>
      <c r="B146" s="1">
        <v>45939</v>
      </c>
      <c r="C146" t="s">
        <v>23</v>
      </c>
      <c r="D146" t="s">
        <v>36</v>
      </c>
      <c r="E146" t="s">
        <v>37</v>
      </c>
      <c r="F146" t="s">
        <v>28</v>
      </c>
      <c r="G146">
        <v>14.3</v>
      </c>
      <c r="H146" s="4">
        <f>_xlfn.XLOOKUP(tblWorkOrders5[[#This Row],[Trade]],tblLaborRates[Trade],tblLaborRates[Hourly Rate])</f>
        <v>79</v>
      </c>
      <c r="I146" s="4">
        <f>tblWorkOrders5[[#This Row],[Labor Hours]]*tblWorkOrders5[[#This Row],[Hourly Rate]]</f>
        <v>1129.7</v>
      </c>
      <c r="J146" s="4">
        <f>_xlfn.XLOOKUP(tblWorkOrders5[[#This Row],[WO Number]],tblInvoices[WO Number],tblInvoices[Vendor Cost])</f>
        <v>1773.78</v>
      </c>
      <c r="K146" s="4">
        <f>tblWorkOrders5[[#This Row],[Labor Cost]]+tblWorkOrders5[[#This Row],[Vendor Cost]]</f>
        <v>2903.48</v>
      </c>
    </row>
    <row r="147" spans="1:11" x14ac:dyDescent="0.25">
      <c r="A147" t="s">
        <v>174</v>
      </c>
      <c r="B147" s="1">
        <v>45672</v>
      </c>
      <c r="C147" t="s">
        <v>13</v>
      </c>
      <c r="D147" t="s">
        <v>31</v>
      </c>
      <c r="E147" t="s">
        <v>32</v>
      </c>
      <c r="F147" t="s">
        <v>39</v>
      </c>
      <c r="G147">
        <v>6</v>
      </c>
      <c r="H147" s="4">
        <f>_xlfn.XLOOKUP(tblWorkOrders5[[#This Row],[Trade]],tblLaborRates[Trade],tblLaborRates[Hourly Rate])</f>
        <v>82</v>
      </c>
      <c r="I147" s="4">
        <f>tblWorkOrders5[[#This Row],[Labor Hours]]*tblWorkOrders5[[#This Row],[Hourly Rate]]</f>
        <v>492</v>
      </c>
      <c r="J147" s="4">
        <f>_xlfn.XLOOKUP(tblWorkOrders5[[#This Row],[WO Number]],tblInvoices[WO Number],tblInvoices[Vendor Cost])</f>
        <v>195.81</v>
      </c>
      <c r="K147" s="4">
        <f>tblWorkOrders5[[#This Row],[Labor Cost]]+tblWorkOrders5[[#This Row],[Vendor Cost]]</f>
        <v>687.81</v>
      </c>
    </row>
    <row r="148" spans="1:11" x14ac:dyDescent="0.25">
      <c r="A148" t="s">
        <v>175</v>
      </c>
      <c r="B148" s="1">
        <v>45866</v>
      </c>
      <c r="C148" t="s">
        <v>8</v>
      </c>
      <c r="D148" t="s">
        <v>31</v>
      </c>
      <c r="E148" t="s">
        <v>32</v>
      </c>
      <c r="F148" t="s">
        <v>33</v>
      </c>
      <c r="G148">
        <v>8.1999999999999993</v>
      </c>
      <c r="H148" s="4">
        <f>_xlfn.XLOOKUP(tblWorkOrders5[[#This Row],[Trade]],tblLaborRates[Trade],tblLaborRates[Hourly Rate])</f>
        <v>82</v>
      </c>
      <c r="I148" s="4">
        <f>tblWorkOrders5[[#This Row],[Labor Hours]]*tblWorkOrders5[[#This Row],[Hourly Rate]]</f>
        <v>672.4</v>
      </c>
      <c r="J148" s="4">
        <f>_xlfn.XLOOKUP(tblWorkOrders5[[#This Row],[WO Number]],tblInvoices[WO Number],tblInvoices[Vendor Cost])</f>
        <v>543.51</v>
      </c>
      <c r="K148" s="4">
        <f>tblWorkOrders5[[#This Row],[Labor Cost]]+tblWorkOrders5[[#This Row],[Vendor Cost]]</f>
        <v>1215.9099999999999</v>
      </c>
    </row>
    <row r="149" spans="1:11" x14ac:dyDescent="0.25">
      <c r="A149" t="s">
        <v>176</v>
      </c>
      <c r="B149" s="1">
        <v>45736</v>
      </c>
      <c r="C149" t="s">
        <v>41</v>
      </c>
      <c r="D149" t="s">
        <v>36</v>
      </c>
      <c r="E149" t="s">
        <v>37</v>
      </c>
      <c r="F149" t="s">
        <v>11</v>
      </c>
      <c r="G149">
        <v>7.5</v>
      </c>
      <c r="H149" s="4">
        <f>_xlfn.XLOOKUP(tblWorkOrders5[[#This Row],[Trade]],tblLaborRates[Trade],tblLaborRates[Hourly Rate])</f>
        <v>79</v>
      </c>
      <c r="I149" s="4">
        <f>tblWorkOrders5[[#This Row],[Labor Hours]]*tblWorkOrders5[[#This Row],[Hourly Rate]]</f>
        <v>592.5</v>
      </c>
      <c r="J149" s="4">
        <f>_xlfn.XLOOKUP(tblWorkOrders5[[#This Row],[WO Number]],tblInvoices[WO Number],tblInvoices[Vendor Cost])</f>
        <v>1766.37</v>
      </c>
      <c r="K149" s="4">
        <f>tblWorkOrders5[[#This Row],[Labor Cost]]+tblWorkOrders5[[#This Row],[Vendor Cost]]</f>
        <v>2358.87</v>
      </c>
    </row>
    <row r="150" spans="1:11" x14ac:dyDescent="0.25">
      <c r="A150" t="s">
        <v>177</v>
      </c>
      <c r="B150" s="1">
        <v>45899</v>
      </c>
      <c r="C150" t="s">
        <v>23</v>
      </c>
      <c r="D150" t="s">
        <v>19</v>
      </c>
      <c r="E150" t="s">
        <v>20</v>
      </c>
      <c r="F150" t="s">
        <v>39</v>
      </c>
      <c r="G150">
        <v>7.1</v>
      </c>
      <c r="H150" s="4">
        <f>_xlfn.XLOOKUP(tblWorkOrders5[[#This Row],[Trade]],tblLaborRates[Trade],tblLaborRates[Hourly Rate])</f>
        <v>68</v>
      </c>
      <c r="I150" s="4">
        <f>tblWorkOrders5[[#This Row],[Labor Hours]]*tblWorkOrders5[[#This Row],[Hourly Rate]]</f>
        <v>482.79999999999995</v>
      </c>
      <c r="J150" s="4">
        <f>_xlfn.XLOOKUP(tblWorkOrders5[[#This Row],[WO Number]],tblInvoices[WO Number],tblInvoices[Vendor Cost])</f>
        <v>3238.26</v>
      </c>
      <c r="K150" s="4">
        <f>tblWorkOrders5[[#This Row],[Labor Cost]]+tblWorkOrders5[[#This Row],[Vendor Cost]]</f>
        <v>3721.0600000000004</v>
      </c>
    </row>
    <row r="151" spans="1:11" x14ac:dyDescent="0.25">
      <c r="A151" t="s">
        <v>178</v>
      </c>
      <c r="B151" s="1">
        <v>45918</v>
      </c>
      <c r="C151" t="s">
        <v>23</v>
      </c>
      <c r="D151" t="s">
        <v>9</v>
      </c>
      <c r="E151" t="s">
        <v>10</v>
      </c>
      <c r="F151" t="s">
        <v>11</v>
      </c>
      <c r="G151">
        <v>12.7</v>
      </c>
      <c r="H151" s="4">
        <f>_xlfn.XLOOKUP(tblWorkOrders5[[#This Row],[Trade]],tblLaborRates[Trade],tblLaborRates[Hourly Rate])</f>
        <v>75</v>
      </c>
      <c r="I151" s="4">
        <f>tblWorkOrders5[[#This Row],[Labor Hours]]*tblWorkOrders5[[#This Row],[Hourly Rate]]</f>
        <v>952.5</v>
      </c>
      <c r="J151" s="4">
        <f>_xlfn.XLOOKUP(tblWorkOrders5[[#This Row],[WO Number]],tblInvoices[WO Number],tblInvoices[Vendor Cost])</f>
        <v>3012.28</v>
      </c>
      <c r="K151" s="4">
        <f>tblWorkOrders5[[#This Row],[Labor Cost]]+tblWorkOrders5[[#This Row],[Vendor Cost]]</f>
        <v>3964.78</v>
      </c>
    </row>
    <row r="152" spans="1:11" x14ac:dyDescent="0.25">
      <c r="A152" t="s">
        <v>179</v>
      </c>
      <c r="B152" s="1">
        <v>45832</v>
      </c>
      <c r="C152" t="s">
        <v>13</v>
      </c>
      <c r="D152" t="s">
        <v>36</v>
      </c>
      <c r="E152" t="s">
        <v>37</v>
      </c>
      <c r="F152" t="s">
        <v>17</v>
      </c>
      <c r="G152">
        <v>5.6</v>
      </c>
      <c r="H152" s="4">
        <f>_xlfn.XLOOKUP(tblWorkOrders5[[#This Row],[Trade]],tblLaborRates[Trade],tblLaborRates[Hourly Rate])</f>
        <v>79</v>
      </c>
      <c r="I152" s="4">
        <f>tblWorkOrders5[[#This Row],[Labor Hours]]*tblWorkOrders5[[#This Row],[Hourly Rate]]</f>
        <v>442.4</v>
      </c>
      <c r="J152" s="4">
        <f>_xlfn.XLOOKUP(tblWorkOrders5[[#This Row],[WO Number]],tblInvoices[WO Number],tblInvoices[Vendor Cost])</f>
        <v>1150.1600000000001</v>
      </c>
      <c r="K152" s="4">
        <f>tblWorkOrders5[[#This Row],[Labor Cost]]+tblWorkOrders5[[#This Row],[Vendor Cost]]</f>
        <v>1592.56</v>
      </c>
    </row>
    <row r="153" spans="1:11" x14ac:dyDescent="0.25">
      <c r="A153" t="s">
        <v>180</v>
      </c>
      <c r="B153" s="1">
        <v>45958</v>
      </c>
      <c r="C153" t="s">
        <v>13</v>
      </c>
      <c r="D153" t="s">
        <v>19</v>
      </c>
      <c r="E153" t="s">
        <v>20</v>
      </c>
      <c r="F153" t="s">
        <v>39</v>
      </c>
      <c r="G153">
        <v>8</v>
      </c>
      <c r="H153" s="4">
        <f>_xlfn.XLOOKUP(tblWorkOrders5[[#This Row],[Trade]],tblLaborRates[Trade],tblLaborRates[Hourly Rate])</f>
        <v>68</v>
      </c>
      <c r="I153" s="4">
        <f>tblWorkOrders5[[#This Row],[Labor Hours]]*tblWorkOrders5[[#This Row],[Hourly Rate]]</f>
        <v>544</v>
      </c>
      <c r="J153" s="4">
        <f>_xlfn.XLOOKUP(tblWorkOrders5[[#This Row],[WO Number]],tblInvoices[WO Number],tblInvoices[Vendor Cost])</f>
        <v>1772.54</v>
      </c>
      <c r="K153" s="4">
        <f>tblWorkOrders5[[#This Row],[Labor Cost]]+tblWorkOrders5[[#This Row],[Vendor Cost]]</f>
        <v>2316.54</v>
      </c>
    </row>
    <row r="154" spans="1:11" x14ac:dyDescent="0.25">
      <c r="A154" t="s">
        <v>181</v>
      </c>
      <c r="B154" s="1">
        <v>45828</v>
      </c>
      <c r="C154" t="s">
        <v>13</v>
      </c>
      <c r="D154" t="s">
        <v>16</v>
      </c>
      <c r="E154" t="s">
        <v>16</v>
      </c>
      <c r="F154" t="s">
        <v>14</v>
      </c>
      <c r="G154">
        <v>8.1</v>
      </c>
      <c r="H154" s="4">
        <f>_xlfn.XLOOKUP(tblWorkOrders5[[#This Row],[Trade]],tblLaborRates[Trade],tblLaborRates[Hourly Rate])</f>
        <v>52</v>
      </c>
      <c r="I154" s="4">
        <f>tblWorkOrders5[[#This Row],[Labor Hours]]*tblWorkOrders5[[#This Row],[Hourly Rate]]</f>
        <v>421.2</v>
      </c>
      <c r="J154" s="4">
        <f>_xlfn.XLOOKUP(tblWorkOrders5[[#This Row],[WO Number]],tblInvoices[WO Number],tblInvoices[Vendor Cost])</f>
        <v>1227.95</v>
      </c>
      <c r="K154" s="4">
        <f>tblWorkOrders5[[#This Row],[Labor Cost]]+tblWorkOrders5[[#This Row],[Vendor Cost]]</f>
        <v>1649.15</v>
      </c>
    </row>
    <row r="155" spans="1:11" x14ac:dyDescent="0.25">
      <c r="A155" t="s">
        <v>182</v>
      </c>
      <c r="B155" s="1">
        <v>45754</v>
      </c>
      <c r="C155" t="s">
        <v>23</v>
      </c>
      <c r="D155" t="s">
        <v>16</v>
      </c>
      <c r="E155" t="s">
        <v>16</v>
      </c>
      <c r="F155" t="s">
        <v>14</v>
      </c>
      <c r="G155">
        <v>4.9000000000000004</v>
      </c>
      <c r="H155" s="4">
        <f>_xlfn.XLOOKUP(tblWorkOrders5[[#This Row],[Trade]],tblLaborRates[Trade],tblLaborRates[Hourly Rate])</f>
        <v>52</v>
      </c>
      <c r="I155" s="4">
        <f>tblWorkOrders5[[#This Row],[Labor Hours]]*tblWorkOrders5[[#This Row],[Hourly Rate]]</f>
        <v>254.8</v>
      </c>
      <c r="J155" s="4">
        <f>_xlfn.XLOOKUP(tblWorkOrders5[[#This Row],[WO Number]],tblInvoices[WO Number],tblInvoices[Vendor Cost])</f>
        <v>2748.07</v>
      </c>
      <c r="K155" s="4">
        <f>tblWorkOrders5[[#This Row],[Labor Cost]]+tblWorkOrders5[[#This Row],[Vendor Cost]]</f>
        <v>3002.8700000000003</v>
      </c>
    </row>
    <row r="156" spans="1:11" x14ac:dyDescent="0.25">
      <c r="A156" t="s">
        <v>183</v>
      </c>
      <c r="B156" s="1">
        <v>45680</v>
      </c>
      <c r="C156" t="s">
        <v>27</v>
      </c>
      <c r="D156" t="s">
        <v>19</v>
      </c>
      <c r="E156" t="s">
        <v>20</v>
      </c>
      <c r="F156" t="s">
        <v>14</v>
      </c>
      <c r="G156">
        <v>7.1</v>
      </c>
      <c r="H156" s="4">
        <f>_xlfn.XLOOKUP(tblWorkOrders5[[#This Row],[Trade]],tblLaborRates[Trade],tblLaborRates[Hourly Rate])</f>
        <v>68</v>
      </c>
      <c r="I156" s="4">
        <f>tblWorkOrders5[[#This Row],[Labor Hours]]*tblWorkOrders5[[#This Row],[Hourly Rate]]</f>
        <v>482.79999999999995</v>
      </c>
      <c r="J156" s="4">
        <f>_xlfn.XLOOKUP(tblWorkOrders5[[#This Row],[WO Number]],tblInvoices[WO Number],tblInvoices[Vendor Cost])</f>
        <v>2373.36</v>
      </c>
      <c r="K156" s="4">
        <f>tblWorkOrders5[[#This Row],[Labor Cost]]+tblWorkOrders5[[#This Row],[Vendor Cost]]</f>
        <v>2856.16</v>
      </c>
    </row>
    <row r="157" spans="1:11" x14ac:dyDescent="0.25">
      <c r="A157" t="s">
        <v>184</v>
      </c>
      <c r="B157" s="1">
        <v>45991</v>
      </c>
      <c r="C157" t="s">
        <v>23</v>
      </c>
      <c r="D157" t="s">
        <v>19</v>
      </c>
      <c r="E157" t="s">
        <v>20</v>
      </c>
      <c r="F157" t="s">
        <v>17</v>
      </c>
      <c r="G157">
        <v>3.3</v>
      </c>
      <c r="H157" s="4">
        <f>_xlfn.XLOOKUP(tblWorkOrders5[[#This Row],[Trade]],tblLaborRates[Trade],tblLaborRates[Hourly Rate])</f>
        <v>68</v>
      </c>
      <c r="I157" s="4">
        <f>tblWorkOrders5[[#This Row],[Labor Hours]]*tblWorkOrders5[[#This Row],[Hourly Rate]]</f>
        <v>224.39999999999998</v>
      </c>
      <c r="J157" s="4">
        <f>_xlfn.XLOOKUP(tblWorkOrders5[[#This Row],[WO Number]],tblInvoices[WO Number],tblInvoices[Vendor Cost])</f>
        <v>3383.93</v>
      </c>
      <c r="K157" s="4">
        <f>tblWorkOrders5[[#This Row],[Labor Cost]]+tblWorkOrders5[[#This Row],[Vendor Cost]]</f>
        <v>3608.33</v>
      </c>
    </row>
    <row r="158" spans="1:11" x14ac:dyDescent="0.25">
      <c r="A158" t="s">
        <v>185</v>
      </c>
      <c r="B158" s="1">
        <v>45827</v>
      </c>
      <c r="C158" t="s">
        <v>8</v>
      </c>
      <c r="D158" t="s">
        <v>19</v>
      </c>
      <c r="E158" t="s">
        <v>20</v>
      </c>
      <c r="F158" t="s">
        <v>33</v>
      </c>
      <c r="G158">
        <v>9.1</v>
      </c>
      <c r="H158" s="4">
        <f>_xlfn.XLOOKUP(tblWorkOrders5[[#This Row],[Trade]],tblLaborRates[Trade],tblLaborRates[Hourly Rate])</f>
        <v>68</v>
      </c>
      <c r="I158" s="4">
        <f>tblWorkOrders5[[#This Row],[Labor Hours]]*tblWorkOrders5[[#This Row],[Hourly Rate]]</f>
        <v>618.79999999999995</v>
      </c>
      <c r="J158" s="4">
        <f>_xlfn.XLOOKUP(tblWorkOrders5[[#This Row],[WO Number]],tblInvoices[WO Number],tblInvoices[Vendor Cost])</f>
        <v>1680.71</v>
      </c>
      <c r="K158" s="4">
        <f>tblWorkOrders5[[#This Row],[Labor Cost]]+tblWorkOrders5[[#This Row],[Vendor Cost]]</f>
        <v>2299.5100000000002</v>
      </c>
    </row>
    <row r="159" spans="1:11" x14ac:dyDescent="0.25">
      <c r="A159" t="s">
        <v>186</v>
      </c>
      <c r="B159" s="1">
        <v>45731</v>
      </c>
      <c r="C159" t="s">
        <v>41</v>
      </c>
      <c r="D159" t="s">
        <v>31</v>
      </c>
      <c r="E159" t="s">
        <v>32</v>
      </c>
      <c r="F159" t="s">
        <v>33</v>
      </c>
      <c r="G159">
        <v>8.3000000000000007</v>
      </c>
      <c r="H159" s="4">
        <f>_xlfn.XLOOKUP(tblWorkOrders5[[#This Row],[Trade]],tblLaborRates[Trade],tblLaborRates[Hourly Rate])</f>
        <v>82</v>
      </c>
      <c r="I159" s="4">
        <f>tblWorkOrders5[[#This Row],[Labor Hours]]*tblWorkOrders5[[#This Row],[Hourly Rate]]</f>
        <v>680.6</v>
      </c>
      <c r="J159" s="4">
        <f>_xlfn.XLOOKUP(tblWorkOrders5[[#This Row],[WO Number]],tblInvoices[WO Number],tblInvoices[Vendor Cost])</f>
        <v>3396.83</v>
      </c>
      <c r="K159" s="4">
        <f>tblWorkOrders5[[#This Row],[Labor Cost]]+tblWorkOrders5[[#This Row],[Vendor Cost]]</f>
        <v>4077.43</v>
      </c>
    </row>
    <row r="160" spans="1:11" x14ac:dyDescent="0.25">
      <c r="A160" t="s">
        <v>187</v>
      </c>
      <c r="B160" s="1">
        <v>45831</v>
      </c>
      <c r="C160" t="s">
        <v>13</v>
      </c>
      <c r="D160" t="s">
        <v>19</v>
      </c>
      <c r="E160" t="s">
        <v>20</v>
      </c>
      <c r="F160" t="s">
        <v>33</v>
      </c>
      <c r="G160">
        <v>13.9</v>
      </c>
      <c r="H160" s="4">
        <f>_xlfn.XLOOKUP(tblWorkOrders5[[#This Row],[Trade]],tblLaborRates[Trade],tblLaborRates[Hourly Rate])</f>
        <v>68</v>
      </c>
      <c r="I160" s="4">
        <f>tblWorkOrders5[[#This Row],[Labor Hours]]*tblWorkOrders5[[#This Row],[Hourly Rate]]</f>
        <v>945.2</v>
      </c>
      <c r="J160" s="4">
        <f>_xlfn.XLOOKUP(tblWorkOrders5[[#This Row],[WO Number]],tblInvoices[WO Number],tblInvoices[Vendor Cost])</f>
        <v>3005.34</v>
      </c>
      <c r="K160" s="4">
        <f>tblWorkOrders5[[#This Row],[Labor Cost]]+tblWorkOrders5[[#This Row],[Vendor Cost]]</f>
        <v>3950.54</v>
      </c>
    </row>
    <row r="161" spans="1:11" x14ac:dyDescent="0.25">
      <c r="A161" t="s">
        <v>188</v>
      </c>
      <c r="B161" s="1">
        <v>45931</v>
      </c>
      <c r="C161" t="s">
        <v>41</v>
      </c>
      <c r="D161" t="s">
        <v>36</v>
      </c>
      <c r="E161" t="s">
        <v>37</v>
      </c>
      <c r="F161" t="s">
        <v>28</v>
      </c>
      <c r="G161">
        <v>14.1</v>
      </c>
      <c r="H161" s="4">
        <f>_xlfn.XLOOKUP(tblWorkOrders5[[#This Row],[Trade]],tblLaborRates[Trade],tblLaborRates[Hourly Rate])</f>
        <v>79</v>
      </c>
      <c r="I161" s="4">
        <f>tblWorkOrders5[[#This Row],[Labor Hours]]*tblWorkOrders5[[#This Row],[Hourly Rate]]</f>
        <v>1113.8999999999999</v>
      </c>
      <c r="J161" s="4">
        <f>_xlfn.XLOOKUP(tblWorkOrders5[[#This Row],[WO Number]],tblInvoices[WO Number],tblInvoices[Vendor Cost])</f>
        <v>270.26</v>
      </c>
      <c r="K161" s="4">
        <f>tblWorkOrders5[[#This Row],[Labor Cost]]+tblWorkOrders5[[#This Row],[Vendor Cost]]</f>
        <v>1384.1599999999999</v>
      </c>
    </row>
    <row r="162" spans="1:11" x14ac:dyDescent="0.25">
      <c r="A162" t="s">
        <v>189</v>
      </c>
      <c r="B162" s="1">
        <v>45693</v>
      </c>
      <c r="C162" t="s">
        <v>23</v>
      </c>
      <c r="D162" t="s">
        <v>36</v>
      </c>
      <c r="E162" t="s">
        <v>37</v>
      </c>
      <c r="F162" t="s">
        <v>21</v>
      </c>
      <c r="G162">
        <v>12.3</v>
      </c>
      <c r="H162" s="4">
        <f>_xlfn.XLOOKUP(tblWorkOrders5[[#This Row],[Trade]],tblLaborRates[Trade],tblLaborRates[Hourly Rate])</f>
        <v>79</v>
      </c>
      <c r="I162" s="4">
        <f>tblWorkOrders5[[#This Row],[Labor Hours]]*tblWorkOrders5[[#This Row],[Hourly Rate]]</f>
        <v>971.7</v>
      </c>
      <c r="J162" s="4">
        <f>_xlfn.XLOOKUP(tblWorkOrders5[[#This Row],[WO Number]],tblInvoices[WO Number],tblInvoices[Vendor Cost])</f>
        <v>1603.8</v>
      </c>
      <c r="K162" s="4">
        <f>tblWorkOrders5[[#This Row],[Labor Cost]]+tblWorkOrders5[[#This Row],[Vendor Cost]]</f>
        <v>2575.5</v>
      </c>
    </row>
    <row r="163" spans="1:11" x14ac:dyDescent="0.25">
      <c r="A163" t="s">
        <v>190</v>
      </c>
      <c r="B163" s="1">
        <v>45708</v>
      </c>
      <c r="C163" t="s">
        <v>8</v>
      </c>
      <c r="D163" t="s">
        <v>19</v>
      </c>
      <c r="E163" t="s">
        <v>20</v>
      </c>
      <c r="F163" t="s">
        <v>39</v>
      </c>
      <c r="G163">
        <v>11.6</v>
      </c>
      <c r="H163" s="4">
        <f>_xlfn.XLOOKUP(tblWorkOrders5[[#This Row],[Trade]],tblLaborRates[Trade],tblLaborRates[Hourly Rate])</f>
        <v>68</v>
      </c>
      <c r="I163" s="4">
        <f>tblWorkOrders5[[#This Row],[Labor Hours]]*tblWorkOrders5[[#This Row],[Hourly Rate]]</f>
        <v>788.8</v>
      </c>
      <c r="J163" s="4">
        <f>_xlfn.XLOOKUP(tblWorkOrders5[[#This Row],[WO Number]],tblInvoices[WO Number],tblInvoices[Vendor Cost])</f>
        <v>3176.47</v>
      </c>
      <c r="K163" s="4">
        <f>tblWorkOrders5[[#This Row],[Labor Cost]]+tblWorkOrders5[[#This Row],[Vendor Cost]]</f>
        <v>3965.2699999999995</v>
      </c>
    </row>
    <row r="164" spans="1:11" x14ac:dyDescent="0.25">
      <c r="A164" t="s">
        <v>191</v>
      </c>
      <c r="B164" s="1">
        <v>45681</v>
      </c>
      <c r="C164" t="s">
        <v>27</v>
      </c>
      <c r="D164" t="s">
        <v>9</v>
      </c>
      <c r="E164" t="s">
        <v>10</v>
      </c>
      <c r="F164" t="s">
        <v>11</v>
      </c>
      <c r="G164">
        <v>6.7</v>
      </c>
      <c r="H164" s="4">
        <f>_xlfn.XLOOKUP(tblWorkOrders5[[#This Row],[Trade]],tblLaborRates[Trade],tblLaborRates[Hourly Rate])</f>
        <v>75</v>
      </c>
      <c r="I164" s="4">
        <f>tblWorkOrders5[[#This Row],[Labor Hours]]*tblWorkOrders5[[#This Row],[Hourly Rate]]</f>
        <v>502.5</v>
      </c>
      <c r="J164" s="4">
        <f>_xlfn.XLOOKUP(tblWorkOrders5[[#This Row],[WO Number]],tblInvoices[WO Number],tblInvoices[Vendor Cost])</f>
        <v>1592.8</v>
      </c>
      <c r="K164" s="4">
        <f>tblWorkOrders5[[#This Row],[Labor Cost]]+tblWorkOrders5[[#This Row],[Vendor Cost]]</f>
        <v>2095.3000000000002</v>
      </c>
    </row>
    <row r="165" spans="1:11" x14ac:dyDescent="0.25">
      <c r="A165" t="s">
        <v>192</v>
      </c>
      <c r="B165" s="1">
        <v>45783</v>
      </c>
      <c r="C165" t="s">
        <v>13</v>
      </c>
      <c r="D165" t="s">
        <v>19</v>
      </c>
      <c r="E165" t="s">
        <v>20</v>
      </c>
      <c r="F165" t="s">
        <v>39</v>
      </c>
      <c r="G165">
        <v>4</v>
      </c>
      <c r="H165" s="4">
        <f>_xlfn.XLOOKUP(tblWorkOrders5[[#This Row],[Trade]],tblLaborRates[Trade],tblLaborRates[Hourly Rate])</f>
        <v>68</v>
      </c>
      <c r="I165" s="4">
        <f>tblWorkOrders5[[#This Row],[Labor Hours]]*tblWorkOrders5[[#This Row],[Hourly Rate]]</f>
        <v>272</v>
      </c>
      <c r="J165" s="4">
        <f>_xlfn.XLOOKUP(tblWorkOrders5[[#This Row],[WO Number]],tblInvoices[WO Number],tblInvoices[Vendor Cost])</f>
        <v>414.54</v>
      </c>
      <c r="K165" s="4">
        <f>tblWorkOrders5[[#This Row],[Labor Cost]]+tblWorkOrders5[[#This Row],[Vendor Cost]]</f>
        <v>686.54</v>
      </c>
    </row>
    <row r="166" spans="1:11" x14ac:dyDescent="0.25">
      <c r="A166" t="s">
        <v>193</v>
      </c>
      <c r="B166" s="1">
        <v>45853</v>
      </c>
      <c r="C166" t="s">
        <v>13</v>
      </c>
      <c r="D166" t="s">
        <v>31</v>
      </c>
      <c r="E166" t="s">
        <v>32</v>
      </c>
      <c r="F166" t="s">
        <v>28</v>
      </c>
      <c r="G166">
        <v>14.7</v>
      </c>
      <c r="H166" s="4">
        <f>_xlfn.XLOOKUP(tblWorkOrders5[[#This Row],[Trade]],tblLaborRates[Trade],tblLaborRates[Hourly Rate])</f>
        <v>82</v>
      </c>
      <c r="I166" s="4">
        <f>tblWorkOrders5[[#This Row],[Labor Hours]]*tblWorkOrders5[[#This Row],[Hourly Rate]]</f>
        <v>1205.3999999999999</v>
      </c>
      <c r="J166" s="4">
        <f>_xlfn.XLOOKUP(tblWorkOrders5[[#This Row],[WO Number]],tblInvoices[WO Number],tblInvoices[Vendor Cost])</f>
        <v>629.44000000000005</v>
      </c>
      <c r="K166" s="4">
        <f>tblWorkOrders5[[#This Row],[Labor Cost]]+tblWorkOrders5[[#This Row],[Vendor Cost]]</f>
        <v>1834.84</v>
      </c>
    </row>
    <row r="167" spans="1:11" x14ac:dyDescent="0.25">
      <c r="A167" t="s">
        <v>194</v>
      </c>
      <c r="B167" s="1">
        <v>45894</v>
      </c>
      <c r="C167" t="s">
        <v>27</v>
      </c>
      <c r="D167" t="s">
        <v>19</v>
      </c>
      <c r="E167" t="s">
        <v>20</v>
      </c>
      <c r="F167" t="s">
        <v>11</v>
      </c>
      <c r="G167">
        <v>11.2</v>
      </c>
      <c r="H167" s="4">
        <f>_xlfn.XLOOKUP(tblWorkOrders5[[#This Row],[Trade]],tblLaborRates[Trade],tblLaborRates[Hourly Rate])</f>
        <v>68</v>
      </c>
      <c r="I167" s="4">
        <f>tblWorkOrders5[[#This Row],[Labor Hours]]*tblWorkOrders5[[#This Row],[Hourly Rate]]</f>
        <v>761.59999999999991</v>
      </c>
      <c r="J167" s="4">
        <f>_xlfn.XLOOKUP(tblWorkOrders5[[#This Row],[WO Number]],tblInvoices[WO Number],tblInvoices[Vendor Cost])</f>
        <v>3161.34</v>
      </c>
      <c r="K167" s="4">
        <f>tblWorkOrders5[[#This Row],[Labor Cost]]+tblWorkOrders5[[#This Row],[Vendor Cost]]</f>
        <v>3922.94</v>
      </c>
    </row>
    <row r="168" spans="1:11" x14ac:dyDescent="0.25">
      <c r="A168" t="s">
        <v>195</v>
      </c>
      <c r="B168" s="1">
        <v>45896</v>
      </c>
      <c r="C168" t="s">
        <v>27</v>
      </c>
      <c r="D168" t="s">
        <v>16</v>
      </c>
      <c r="E168" t="s">
        <v>16</v>
      </c>
      <c r="F168" t="s">
        <v>39</v>
      </c>
      <c r="G168">
        <v>2.6</v>
      </c>
      <c r="H168" s="4">
        <f>_xlfn.XLOOKUP(tblWorkOrders5[[#This Row],[Trade]],tblLaborRates[Trade],tblLaborRates[Hourly Rate])</f>
        <v>52</v>
      </c>
      <c r="I168" s="4">
        <f>tblWorkOrders5[[#This Row],[Labor Hours]]*tblWorkOrders5[[#This Row],[Hourly Rate]]</f>
        <v>135.20000000000002</v>
      </c>
      <c r="J168" s="4">
        <f>_xlfn.XLOOKUP(tblWorkOrders5[[#This Row],[WO Number]],tblInvoices[WO Number],tblInvoices[Vendor Cost])</f>
        <v>3316.54</v>
      </c>
      <c r="K168" s="4">
        <f>tblWorkOrders5[[#This Row],[Labor Cost]]+tblWorkOrders5[[#This Row],[Vendor Cost]]</f>
        <v>3451.74</v>
      </c>
    </row>
    <row r="169" spans="1:11" x14ac:dyDescent="0.25">
      <c r="A169" t="s">
        <v>196</v>
      </c>
      <c r="B169" s="1">
        <v>45958</v>
      </c>
      <c r="C169" t="s">
        <v>27</v>
      </c>
      <c r="D169" t="s">
        <v>19</v>
      </c>
      <c r="E169" t="s">
        <v>20</v>
      </c>
      <c r="F169" t="s">
        <v>11</v>
      </c>
      <c r="G169">
        <v>8.1</v>
      </c>
      <c r="H169" s="4">
        <f>_xlfn.XLOOKUP(tblWorkOrders5[[#This Row],[Trade]],tblLaborRates[Trade],tblLaborRates[Hourly Rate])</f>
        <v>68</v>
      </c>
      <c r="I169" s="4">
        <f>tblWorkOrders5[[#This Row],[Labor Hours]]*tblWorkOrders5[[#This Row],[Hourly Rate]]</f>
        <v>550.79999999999995</v>
      </c>
      <c r="J169" s="4">
        <f>_xlfn.XLOOKUP(tblWorkOrders5[[#This Row],[WO Number]],tblInvoices[WO Number],tblInvoices[Vendor Cost])</f>
        <v>1162.1099999999999</v>
      </c>
      <c r="K169" s="4">
        <f>tblWorkOrders5[[#This Row],[Labor Cost]]+tblWorkOrders5[[#This Row],[Vendor Cost]]</f>
        <v>1712.9099999999999</v>
      </c>
    </row>
    <row r="170" spans="1:11" x14ac:dyDescent="0.25">
      <c r="A170" t="s">
        <v>197</v>
      </c>
      <c r="B170" s="1">
        <v>45854</v>
      </c>
      <c r="C170" t="s">
        <v>41</v>
      </c>
      <c r="D170" t="s">
        <v>9</v>
      </c>
      <c r="E170" t="s">
        <v>10</v>
      </c>
      <c r="F170" t="s">
        <v>21</v>
      </c>
      <c r="G170">
        <v>7</v>
      </c>
      <c r="H170" s="4">
        <f>_xlfn.XLOOKUP(tblWorkOrders5[[#This Row],[Trade]],tblLaborRates[Trade],tblLaborRates[Hourly Rate])</f>
        <v>75</v>
      </c>
      <c r="I170" s="4">
        <f>tblWorkOrders5[[#This Row],[Labor Hours]]*tblWorkOrders5[[#This Row],[Hourly Rate]]</f>
        <v>525</v>
      </c>
      <c r="J170" s="4">
        <f>_xlfn.XLOOKUP(tblWorkOrders5[[#This Row],[WO Number]],tblInvoices[WO Number],tblInvoices[Vendor Cost])</f>
        <v>1352.51</v>
      </c>
      <c r="K170" s="4">
        <f>tblWorkOrders5[[#This Row],[Labor Cost]]+tblWorkOrders5[[#This Row],[Vendor Cost]]</f>
        <v>1877.51</v>
      </c>
    </row>
    <row r="171" spans="1:11" x14ac:dyDescent="0.25">
      <c r="A171" t="s">
        <v>198</v>
      </c>
      <c r="B171" s="1">
        <v>45809</v>
      </c>
      <c r="C171" t="s">
        <v>27</v>
      </c>
      <c r="D171" t="s">
        <v>9</v>
      </c>
      <c r="E171" t="s">
        <v>10</v>
      </c>
      <c r="F171" t="s">
        <v>14</v>
      </c>
      <c r="G171">
        <v>5.5</v>
      </c>
      <c r="H171" s="4">
        <f>_xlfn.XLOOKUP(tblWorkOrders5[[#This Row],[Trade]],tblLaborRates[Trade],tblLaborRates[Hourly Rate])</f>
        <v>75</v>
      </c>
      <c r="I171" s="4">
        <f>tblWorkOrders5[[#This Row],[Labor Hours]]*tblWorkOrders5[[#This Row],[Hourly Rate]]</f>
        <v>412.5</v>
      </c>
      <c r="J171" s="4">
        <f>_xlfn.XLOOKUP(tblWorkOrders5[[#This Row],[WO Number]],tblInvoices[WO Number],tblInvoices[Vendor Cost])</f>
        <v>2045.86</v>
      </c>
      <c r="K171" s="4">
        <f>tblWorkOrders5[[#This Row],[Labor Cost]]+tblWorkOrders5[[#This Row],[Vendor Cost]]</f>
        <v>2458.3599999999997</v>
      </c>
    </row>
    <row r="172" spans="1:11" x14ac:dyDescent="0.25">
      <c r="A172" t="s">
        <v>199</v>
      </c>
      <c r="B172" s="1">
        <v>46009</v>
      </c>
      <c r="C172" t="s">
        <v>8</v>
      </c>
      <c r="D172" t="s">
        <v>16</v>
      </c>
      <c r="E172" t="s">
        <v>16</v>
      </c>
      <c r="F172" t="s">
        <v>28</v>
      </c>
      <c r="G172">
        <v>13.6</v>
      </c>
      <c r="H172" s="4">
        <f>_xlfn.XLOOKUP(tblWorkOrders5[[#This Row],[Trade]],tblLaborRates[Trade],tblLaborRates[Hourly Rate])</f>
        <v>52</v>
      </c>
      <c r="I172" s="4">
        <f>tblWorkOrders5[[#This Row],[Labor Hours]]*tblWorkOrders5[[#This Row],[Hourly Rate]]</f>
        <v>707.19999999999993</v>
      </c>
      <c r="J172" s="4">
        <f>_xlfn.XLOOKUP(tblWorkOrders5[[#This Row],[WO Number]],tblInvoices[WO Number],tblInvoices[Vendor Cost])</f>
        <v>3174.83</v>
      </c>
      <c r="K172" s="4">
        <f>tblWorkOrders5[[#This Row],[Labor Cost]]+tblWorkOrders5[[#This Row],[Vendor Cost]]</f>
        <v>3882.0299999999997</v>
      </c>
    </row>
    <row r="173" spans="1:11" x14ac:dyDescent="0.25">
      <c r="A173" t="s">
        <v>200</v>
      </c>
      <c r="B173" s="1">
        <v>45775</v>
      </c>
      <c r="C173" t="s">
        <v>13</v>
      </c>
      <c r="D173" t="s">
        <v>36</v>
      </c>
      <c r="E173" t="s">
        <v>37</v>
      </c>
      <c r="F173" t="s">
        <v>21</v>
      </c>
      <c r="G173">
        <v>10.7</v>
      </c>
      <c r="H173" s="4">
        <f>_xlfn.XLOOKUP(tblWorkOrders5[[#This Row],[Trade]],tblLaborRates[Trade],tblLaborRates[Hourly Rate])</f>
        <v>79</v>
      </c>
      <c r="I173" s="4">
        <f>tblWorkOrders5[[#This Row],[Labor Hours]]*tblWorkOrders5[[#This Row],[Hourly Rate]]</f>
        <v>845.3</v>
      </c>
      <c r="J173" s="4">
        <f>_xlfn.XLOOKUP(tblWorkOrders5[[#This Row],[WO Number]],tblInvoices[WO Number],tblInvoices[Vendor Cost])</f>
        <v>2229.9899999999998</v>
      </c>
      <c r="K173" s="4">
        <f>tblWorkOrders5[[#This Row],[Labor Cost]]+tblWorkOrders5[[#This Row],[Vendor Cost]]</f>
        <v>3075.29</v>
      </c>
    </row>
    <row r="174" spans="1:11" x14ac:dyDescent="0.25">
      <c r="A174" t="s">
        <v>201</v>
      </c>
      <c r="B174" s="1">
        <v>46005</v>
      </c>
      <c r="C174" t="s">
        <v>23</v>
      </c>
      <c r="D174" t="s">
        <v>9</v>
      </c>
      <c r="E174" t="s">
        <v>10</v>
      </c>
      <c r="F174" t="s">
        <v>17</v>
      </c>
      <c r="G174">
        <v>6</v>
      </c>
      <c r="H174" s="4">
        <f>_xlfn.XLOOKUP(tblWorkOrders5[[#This Row],[Trade]],tblLaborRates[Trade],tblLaborRates[Hourly Rate])</f>
        <v>75</v>
      </c>
      <c r="I174" s="4">
        <f>tblWorkOrders5[[#This Row],[Labor Hours]]*tblWorkOrders5[[#This Row],[Hourly Rate]]</f>
        <v>450</v>
      </c>
      <c r="J174" s="4">
        <f>_xlfn.XLOOKUP(tblWorkOrders5[[#This Row],[WO Number]],tblInvoices[WO Number],tblInvoices[Vendor Cost])</f>
        <v>1626.76</v>
      </c>
      <c r="K174" s="4">
        <f>tblWorkOrders5[[#This Row],[Labor Cost]]+tblWorkOrders5[[#This Row],[Vendor Cost]]</f>
        <v>2076.7600000000002</v>
      </c>
    </row>
    <row r="175" spans="1:11" x14ac:dyDescent="0.25">
      <c r="A175" t="s">
        <v>202</v>
      </c>
      <c r="B175" s="1">
        <v>45954</v>
      </c>
      <c r="C175" t="s">
        <v>27</v>
      </c>
      <c r="D175" t="s">
        <v>31</v>
      </c>
      <c r="E175" t="s">
        <v>32</v>
      </c>
      <c r="F175" t="s">
        <v>33</v>
      </c>
      <c r="G175">
        <v>14.7</v>
      </c>
      <c r="H175" s="4">
        <f>_xlfn.XLOOKUP(tblWorkOrders5[[#This Row],[Trade]],tblLaborRates[Trade],tblLaborRates[Hourly Rate])</f>
        <v>82</v>
      </c>
      <c r="I175" s="4">
        <f>tblWorkOrders5[[#This Row],[Labor Hours]]*tblWorkOrders5[[#This Row],[Hourly Rate]]</f>
        <v>1205.3999999999999</v>
      </c>
      <c r="J175" s="4">
        <f>_xlfn.XLOOKUP(tblWorkOrders5[[#This Row],[WO Number]],tblInvoices[WO Number],tblInvoices[Vendor Cost])</f>
        <v>1244.51</v>
      </c>
      <c r="K175" s="4">
        <f>tblWorkOrders5[[#This Row],[Labor Cost]]+tblWorkOrders5[[#This Row],[Vendor Cost]]</f>
        <v>2449.91</v>
      </c>
    </row>
    <row r="176" spans="1:11" x14ac:dyDescent="0.25">
      <c r="A176" t="s">
        <v>203</v>
      </c>
      <c r="B176" s="1">
        <v>45870</v>
      </c>
      <c r="C176" t="s">
        <v>23</v>
      </c>
      <c r="D176" t="s">
        <v>31</v>
      </c>
      <c r="E176" t="s">
        <v>32</v>
      </c>
      <c r="F176" t="s">
        <v>39</v>
      </c>
      <c r="G176">
        <v>12.9</v>
      </c>
      <c r="H176" s="4">
        <f>_xlfn.XLOOKUP(tblWorkOrders5[[#This Row],[Trade]],tblLaborRates[Trade],tblLaborRates[Hourly Rate])</f>
        <v>82</v>
      </c>
      <c r="I176" s="4">
        <f>tblWorkOrders5[[#This Row],[Labor Hours]]*tblWorkOrders5[[#This Row],[Hourly Rate]]</f>
        <v>1057.8</v>
      </c>
      <c r="J176" s="4">
        <f>_xlfn.XLOOKUP(tblWorkOrders5[[#This Row],[WO Number]],tblInvoices[WO Number],tblInvoices[Vendor Cost])</f>
        <v>3086.14</v>
      </c>
      <c r="K176" s="4">
        <f>tblWorkOrders5[[#This Row],[Labor Cost]]+tblWorkOrders5[[#This Row],[Vendor Cost]]</f>
        <v>4143.9399999999996</v>
      </c>
    </row>
    <row r="177" spans="1:11" x14ac:dyDescent="0.25">
      <c r="A177" t="s">
        <v>204</v>
      </c>
      <c r="B177" s="1">
        <v>45845</v>
      </c>
      <c r="C177" t="s">
        <v>13</v>
      </c>
      <c r="D177" t="s">
        <v>16</v>
      </c>
      <c r="E177" t="s">
        <v>16</v>
      </c>
      <c r="F177" t="s">
        <v>11</v>
      </c>
      <c r="G177">
        <v>13.5</v>
      </c>
      <c r="H177" s="4">
        <f>_xlfn.XLOOKUP(tblWorkOrders5[[#This Row],[Trade]],tblLaborRates[Trade],tblLaborRates[Hourly Rate])</f>
        <v>52</v>
      </c>
      <c r="I177" s="4">
        <f>tblWorkOrders5[[#This Row],[Labor Hours]]*tblWorkOrders5[[#This Row],[Hourly Rate]]</f>
        <v>702</v>
      </c>
      <c r="J177" s="4">
        <f>_xlfn.XLOOKUP(tblWorkOrders5[[#This Row],[WO Number]],tblInvoices[WO Number],tblInvoices[Vendor Cost])</f>
        <v>1010.85</v>
      </c>
      <c r="K177" s="4">
        <f>tblWorkOrders5[[#This Row],[Labor Cost]]+tblWorkOrders5[[#This Row],[Vendor Cost]]</f>
        <v>1712.85</v>
      </c>
    </row>
    <row r="178" spans="1:11" x14ac:dyDescent="0.25">
      <c r="A178" t="s">
        <v>205</v>
      </c>
      <c r="B178" s="1">
        <v>45904</v>
      </c>
      <c r="C178" t="s">
        <v>27</v>
      </c>
      <c r="D178" t="s">
        <v>36</v>
      </c>
      <c r="E178" t="s">
        <v>37</v>
      </c>
      <c r="F178" t="s">
        <v>33</v>
      </c>
      <c r="G178">
        <v>8.3000000000000007</v>
      </c>
      <c r="H178" s="4">
        <f>_xlfn.XLOOKUP(tblWorkOrders5[[#This Row],[Trade]],tblLaborRates[Trade],tblLaborRates[Hourly Rate])</f>
        <v>79</v>
      </c>
      <c r="I178" s="4">
        <f>tblWorkOrders5[[#This Row],[Labor Hours]]*tblWorkOrders5[[#This Row],[Hourly Rate]]</f>
        <v>655.7</v>
      </c>
      <c r="J178" s="4">
        <f>_xlfn.XLOOKUP(tblWorkOrders5[[#This Row],[WO Number]],tblInvoices[WO Number],tblInvoices[Vendor Cost])</f>
        <v>402.25</v>
      </c>
      <c r="K178" s="4">
        <f>tblWorkOrders5[[#This Row],[Labor Cost]]+tblWorkOrders5[[#This Row],[Vendor Cost]]</f>
        <v>1057.95</v>
      </c>
    </row>
    <row r="179" spans="1:11" x14ac:dyDescent="0.25">
      <c r="A179" t="s">
        <v>206</v>
      </c>
      <c r="B179" s="1">
        <v>45773</v>
      </c>
      <c r="C179" t="s">
        <v>41</v>
      </c>
      <c r="D179" t="s">
        <v>16</v>
      </c>
      <c r="E179" t="s">
        <v>16</v>
      </c>
      <c r="F179" t="s">
        <v>24</v>
      </c>
      <c r="G179">
        <v>2.8</v>
      </c>
      <c r="H179" s="4">
        <f>_xlfn.XLOOKUP(tblWorkOrders5[[#This Row],[Trade]],tblLaborRates[Trade],tblLaborRates[Hourly Rate])</f>
        <v>52</v>
      </c>
      <c r="I179" s="4">
        <f>tblWorkOrders5[[#This Row],[Labor Hours]]*tblWorkOrders5[[#This Row],[Hourly Rate]]</f>
        <v>145.6</v>
      </c>
      <c r="J179" s="4">
        <f>_xlfn.XLOOKUP(tblWorkOrders5[[#This Row],[WO Number]],tblInvoices[WO Number],tblInvoices[Vendor Cost])</f>
        <v>1471.82</v>
      </c>
      <c r="K179" s="4">
        <f>tblWorkOrders5[[#This Row],[Labor Cost]]+tblWorkOrders5[[#This Row],[Vendor Cost]]</f>
        <v>1617.4199999999998</v>
      </c>
    </row>
    <row r="180" spans="1:11" x14ac:dyDescent="0.25">
      <c r="A180" t="s">
        <v>207</v>
      </c>
      <c r="B180" s="1">
        <v>45793</v>
      </c>
      <c r="C180" t="s">
        <v>13</v>
      </c>
      <c r="D180" t="s">
        <v>9</v>
      </c>
      <c r="E180" t="s">
        <v>10</v>
      </c>
      <c r="F180" t="s">
        <v>28</v>
      </c>
      <c r="G180">
        <v>6.8</v>
      </c>
      <c r="H180" s="4">
        <f>_xlfn.XLOOKUP(tblWorkOrders5[[#This Row],[Trade]],tblLaborRates[Trade],tblLaborRates[Hourly Rate])</f>
        <v>75</v>
      </c>
      <c r="I180" s="4">
        <f>tblWorkOrders5[[#This Row],[Labor Hours]]*tblWorkOrders5[[#This Row],[Hourly Rate]]</f>
        <v>510</v>
      </c>
      <c r="J180" s="4">
        <f>_xlfn.XLOOKUP(tblWorkOrders5[[#This Row],[WO Number]],tblInvoices[WO Number],tblInvoices[Vendor Cost])</f>
        <v>2659.19</v>
      </c>
      <c r="K180" s="4">
        <f>tblWorkOrders5[[#This Row],[Labor Cost]]+tblWorkOrders5[[#This Row],[Vendor Cost]]</f>
        <v>3169.19</v>
      </c>
    </row>
    <row r="181" spans="1:11" x14ac:dyDescent="0.25">
      <c r="A181" t="s">
        <v>208</v>
      </c>
      <c r="B181" s="1">
        <v>45792</v>
      </c>
      <c r="C181" t="s">
        <v>13</v>
      </c>
      <c r="D181" t="s">
        <v>19</v>
      </c>
      <c r="E181" t="s">
        <v>20</v>
      </c>
      <c r="F181" t="s">
        <v>24</v>
      </c>
      <c r="G181">
        <v>3.1</v>
      </c>
      <c r="H181" s="4">
        <f>_xlfn.XLOOKUP(tblWorkOrders5[[#This Row],[Trade]],tblLaborRates[Trade],tblLaborRates[Hourly Rate])</f>
        <v>68</v>
      </c>
      <c r="I181" s="4">
        <f>tblWorkOrders5[[#This Row],[Labor Hours]]*tblWorkOrders5[[#This Row],[Hourly Rate]]</f>
        <v>210.8</v>
      </c>
      <c r="J181" s="4">
        <f>_xlfn.XLOOKUP(tblWorkOrders5[[#This Row],[WO Number]],tblInvoices[WO Number],tblInvoices[Vendor Cost])</f>
        <v>933.3</v>
      </c>
      <c r="K181" s="4">
        <f>tblWorkOrders5[[#This Row],[Labor Cost]]+tblWorkOrders5[[#This Row],[Vendor Cost]]</f>
        <v>1144.0999999999999</v>
      </c>
    </row>
    <row r="182" spans="1:11" x14ac:dyDescent="0.25">
      <c r="A182" t="s">
        <v>209</v>
      </c>
      <c r="B182" s="1">
        <v>45670</v>
      </c>
      <c r="C182" t="s">
        <v>13</v>
      </c>
      <c r="D182" t="s">
        <v>16</v>
      </c>
      <c r="E182" t="s">
        <v>16</v>
      </c>
      <c r="F182" t="s">
        <v>24</v>
      </c>
      <c r="G182">
        <v>14.8</v>
      </c>
      <c r="H182" s="4">
        <f>_xlfn.XLOOKUP(tblWorkOrders5[[#This Row],[Trade]],tblLaborRates[Trade],tblLaborRates[Hourly Rate])</f>
        <v>52</v>
      </c>
      <c r="I182" s="4">
        <f>tblWorkOrders5[[#This Row],[Labor Hours]]*tblWorkOrders5[[#This Row],[Hourly Rate]]</f>
        <v>769.6</v>
      </c>
      <c r="J182" s="4">
        <f>_xlfn.XLOOKUP(tblWorkOrders5[[#This Row],[WO Number]],tblInvoices[WO Number],tblInvoices[Vendor Cost])</f>
        <v>891.58</v>
      </c>
      <c r="K182" s="4">
        <f>tblWorkOrders5[[#This Row],[Labor Cost]]+tblWorkOrders5[[#This Row],[Vendor Cost]]</f>
        <v>1661.18</v>
      </c>
    </row>
    <row r="183" spans="1:11" x14ac:dyDescent="0.25">
      <c r="A183" t="s">
        <v>210</v>
      </c>
      <c r="B183" s="1">
        <v>45690</v>
      </c>
      <c r="C183" t="s">
        <v>41</v>
      </c>
      <c r="D183" t="s">
        <v>36</v>
      </c>
      <c r="E183" t="s">
        <v>37</v>
      </c>
      <c r="F183" t="s">
        <v>14</v>
      </c>
      <c r="G183">
        <v>3.2</v>
      </c>
      <c r="H183" s="4">
        <f>_xlfn.XLOOKUP(tblWorkOrders5[[#This Row],[Trade]],tblLaborRates[Trade],tblLaborRates[Hourly Rate])</f>
        <v>79</v>
      </c>
      <c r="I183" s="4">
        <f>tblWorkOrders5[[#This Row],[Labor Hours]]*tblWorkOrders5[[#This Row],[Hourly Rate]]</f>
        <v>252.8</v>
      </c>
      <c r="J183" s="4">
        <f>_xlfn.XLOOKUP(tblWorkOrders5[[#This Row],[WO Number]],tblInvoices[WO Number],tblInvoices[Vendor Cost])</f>
        <v>301.91000000000003</v>
      </c>
      <c r="K183" s="4">
        <f>tblWorkOrders5[[#This Row],[Labor Cost]]+tblWorkOrders5[[#This Row],[Vendor Cost]]</f>
        <v>554.71</v>
      </c>
    </row>
    <row r="184" spans="1:11" x14ac:dyDescent="0.25">
      <c r="A184" t="s">
        <v>211</v>
      </c>
      <c r="B184" s="1">
        <v>45677</v>
      </c>
      <c r="C184" t="s">
        <v>27</v>
      </c>
      <c r="D184" t="s">
        <v>19</v>
      </c>
      <c r="E184" t="s">
        <v>20</v>
      </c>
      <c r="F184" t="s">
        <v>33</v>
      </c>
      <c r="G184">
        <v>2.9</v>
      </c>
      <c r="H184" s="4">
        <f>_xlfn.XLOOKUP(tblWorkOrders5[[#This Row],[Trade]],tblLaborRates[Trade],tblLaborRates[Hourly Rate])</f>
        <v>68</v>
      </c>
      <c r="I184" s="4">
        <f>tblWorkOrders5[[#This Row],[Labor Hours]]*tblWorkOrders5[[#This Row],[Hourly Rate]]</f>
        <v>197.2</v>
      </c>
      <c r="J184" s="4">
        <f>_xlfn.XLOOKUP(tblWorkOrders5[[#This Row],[WO Number]],tblInvoices[WO Number],tblInvoices[Vendor Cost])</f>
        <v>3122.32</v>
      </c>
      <c r="K184" s="4">
        <f>tblWorkOrders5[[#This Row],[Labor Cost]]+tblWorkOrders5[[#This Row],[Vendor Cost]]</f>
        <v>3319.52</v>
      </c>
    </row>
    <row r="185" spans="1:11" x14ac:dyDescent="0.25">
      <c r="A185" t="s">
        <v>212</v>
      </c>
      <c r="B185" s="1">
        <v>45727</v>
      </c>
      <c r="C185" t="s">
        <v>41</v>
      </c>
      <c r="D185" t="s">
        <v>19</v>
      </c>
      <c r="E185" t="s">
        <v>20</v>
      </c>
      <c r="F185" t="s">
        <v>24</v>
      </c>
      <c r="G185">
        <v>11.2</v>
      </c>
      <c r="H185" s="4">
        <f>_xlfn.XLOOKUP(tblWorkOrders5[[#This Row],[Trade]],tblLaborRates[Trade],tblLaborRates[Hourly Rate])</f>
        <v>68</v>
      </c>
      <c r="I185" s="4">
        <f>tblWorkOrders5[[#This Row],[Labor Hours]]*tblWorkOrders5[[#This Row],[Hourly Rate]]</f>
        <v>761.59999999999991</v>
      </c>
      <c r="J185" s="4">
        <f>_xlfn.XLOOKUP(tblWorkOrders5[[#This Row],[WO Number]],tblInvoices[WO Number],tblInvoices[Vendor Cost])</f>
        <v>2639.52</v>
      </c>
      <c r="K185" s="4">
        <f>tblWorkOrders5[[#This Row],[Labor Cost]]+tblWorkOrders5[[#This Row],[Vendor Cost]]</f>
        <v>3401.12</v>
      </c>
    </row>
    <row r="186" spans="1:11" x14ac:dyDescent="0.25">
      <c r="A186" t="s">
        <v>213</v>
      </c>
      <c r="B186" s="1">
        <v>45934</v>
      </c>
      <c r="C186" t="s">
        <v>41</v>
      </c>
      <c r="D186" t="s">
        <v>16</v>
      </c>
      <c r="E186" t="s">
        <v>16</v>
      </c>
      <c r="F186" t="s">
        <v>39</v>
      </c>
      <c r="G186">
        <v>14.3</v>
      </c>
      <c r="H186" s="4">
        <f>_xlfn.XLOOKUP(tblWorkOrders5[[#This Row],[Trade]],tblLaborRates[Trade],tblLaborRates[Hourly Rate])</f>
        <v>52</v>
      </c>
      <c r="I186" s="4">
        <f>tblWorkOrders5[[#This Row],[Labor Hours]]*tblWorkOrders5[[#This Row],[Hourly Rate]]</f>
        <v>743.6</v>
      </c>
      <c r="J186" s="4">
        <f>_xlfn.XLOOKUP(tblWorkOrders5[[#This Row],[WO Number]],tblInvoices[WO Number],tblInvoices[Vendor Cost])</f>
        <v>2343.9899999999998</v>
      </c>
      <c r="K186" s="4">
        <f>tblWorkOrders5[[#This Row],[Labor Cost]]+tblWorkOrders5[[#This Row],[Vendor Cost]]</f>
        <v>3087.5899999999997</v>
      </c>
    </row>
    <row r="187" spans="1:11" x14ac:dyDescent="0.25">
      <c r="A187" t="s">
        <v>214</v>
      </c>
      <c r="B187" s="1">
        <v>45908</v>
      </c>
      <c r="C187" t="s">
        <v>13</v>
      </c>
      <c r="D187" t="s">
        <v>19</v>
      </c>
      <c r="E187" t="s">
        <v>20</v>
      </c>
      <c r="F187" t="s">
        <v>11</v>
      </c>
      <c r="G187">
        <v>2</v>
      </c>
      <c r="H187" s="4">
        <f>_xlfn.XLOOKUP(tblWorkOrders5[[#This Row],[Trade]],tblLaborRates[Trade],tblLaborRates[Hourly Rate])</f>
        <v>68</v>
      </c>
      <c r="I187" s="4">
        <f>tblWorkOrders5[[#This Row],[Labor Hours]]*tblWorkOrders5[[#This Row],[Hourly Rate]]</f>
        <v>136</v>
      </c>
      <c r="J187" s="4">
        <f>_xlfn.XLOOKUP(tblWorkOrders5[[#This Row],[WO Number]],tblInvoices[WO Number],tblInvoices[Vendor Cost])</f>
        <v>1391.28</v>
      </c>
      <c r="K187" s="4">
        <f>tblWorkOrders5[[#This Row],[Labor Cost]]+tblWorkOrders5[[#This Row],[Vendor Cost]]</f>
        <v>1527.28</v>
      </c>
    </row>
    <row r="188" spans="1:11" x14ac:dyDescent="0.25">
      <c r="A188" t="s">
        <v>215</v>
      </c>
      <c r="B188" s="1">
        <v>45885</v>
      </c>
      <c r="C188" t="s">
        <v>41</v>
      </c>
      <c r="D188" t="s">
        <v>31</v>
      </c>
      <c r="E188" t="s">
        <v>32</v>
      </c>
      <c r="F188" t="s">
        <v>24</v>
      </c>
      <c r="G188">
        <v>2.9</v>
      </c>
      <c r="H188" s="4">
        <f>_xlfn.XLOOKUP(tblWorkOrders5[[#This Row],[Trade]],tblLaborRates[Trade],tblLaborRates[Hourly Rate])</f>
        <v>82</v>
      </c>
      <c r="I188" s="4">
        <f>tblWorkOrders5[[#This Row],[Labor Hours]]*tblWorkOrders5[[#This Row],[Hourly Rate]]</f>
        <v>237.79999999999998</v>
      </c>
      <c r="J188" s="4">
        <f>_xlfn.XLOOKUP(tblWorkOrders5[[#This Row],[WO Number]],tblInvoices[WO Number],tblInvoices[Vendor Cost])</f>
        <v>2447.0300000000002</v>
      </c>
      <c r="K188" s="4">
        <f>tblWorkOrders5[[#This Row],[Labor Cost]]+tblWorkOrders5[[#This Row],[Vendor Cost]]</f>
        <v>2684.8300000000004</v>
      </c>
    </row>
    <row r="189" spans="1:11" x14ac:dyDescent="0.25">
      <c r="A189" t="s">
        <v>216</v>
      </c>
      <c r="B189" s="1">
        <v>45936</v>
      </c>
      <c r="C189" t="s">
        <v>27</v>
      </c>
      <c r="D189" t="s">
        <v>9</v>
      </c>
      <c r="E189" t="s">
        <v>10</v>
      </c>
      <c r="F189" t="s">
        <v>14</v>
      </c>
      <c r="G189">
        <v>5.5</v>
      </c>
      <c r="H189" s="4">
        <f>_xlfn.XLOOKUP(tblWorkOrders5[[#This Row],[Trade]],tblLaborRates[Trade],tblLaborRates[Hourly Rate])</f>
        <v>75</v>
      </c>
      <c r="I189" s="4">
        <f>tblWorkOrders5[[#This Row],[Labor Hours]]*tblWorkOrders5[[#This Row],[Hourly Rate]]</f>
        <v>412.5</v>
      </c>
      <c r="J189" s="4">
        <f>_xlfn.XLOOKUP(tblWorkOrders5[[#This Row],[WO Number]],tblInvoices[WO Number],tblInvoices[Vendor Cost])</f>
        <v>3393.49</v>
      </c>
      <c r="K189" s="4">
        <f>tblWorkOrders5[[#This Row],[Labor Cost]]+tblWorkOrders5[[#This Row],[Vendor Cost]]</f>
        <v>3805.99</v>
      </c>
    </row>
    <row r="190" spans="1:11" x14ac:dyDescent="0.25">
      <c r="A190" t="s">
        <v>217</v>
      </c>
      <c r="B190" s="1">
        <v>45890</v>
      </c>
      <c r="C190" t="s">
        <v>8</v>
      </c>
      <c r="D190" t="s">
        <v>31</v>
      </c>
      <c r="E190" t="s">
        <v>32</v>
      </c>
      <c r="F190" t="s">
        <v>17</v>
      </c>
      <c r="G190">
        <v>2.2000000000000002</v>
      </c>
      <c r="H190" s="4">
        <f>_xlfn.XLOOKUP(tblWorkOrders5[[#This Row],[Trade]],tblLaborRates[Trade],tblLaborRates[Hourly Rate])</f>
        <v>82</v>
      </c>
      <c r="I190" s="4">
        <f>tblWorkOrders5[[#This Row],[Labor Hours]]*tblWorkOrders5[[#This Row],[Hourly Rate]]</f>
        <v>180.4</v>
      </c>
      <c r="J190" s="4">
        <f>_xlfn.XLOOKUP(tblWorkOrders5[[#This Row],[WO Number]],tblInvoices[WO Number],tblInvoices[Vendor Cost])</f>
        <v>1267.26</v>
      </c>
      <c r="K190" s="4">
        <f>tblWorkOrders5[[#This Row],[Labor Cost]]+tblWorkOrders5[[#This Row],[Vendor Cost]]</f>
        <v>1447.66</v>
      </c>
    </row>
    <row r="191" spans="1:11" x14ac:dyDescent="0.25">
      <c r="A191" t="s">
        <v>218</v>
      </c>
      <c r="B191" s="1">
        <v>45722</v>
      </c>
      <c r="C191" t="s">
        <v>13</v>
      </c>
      <c r="D191" t="s">
        <v>31</v>
      </c>
      <c r="E191" t="s">
        <v>32</v>
      </c>
      <c r="F191" t="s">
        <v>33</v>
      </c>
      <c r="G191">
        <v>13.5</v>
      </c>
      <c r="H191" s="4">
        <f>_xlfn.XLOOKUP(tblWorkOrders5[[#This Row],[Trade]],tblLaborRates[Trade],tblLaborRates[Hourly Rate])</f>
        <v>82</v>
      </c>
      <c r="I191" s="4">
        <f>tblWorkOrders5[[#This Row],[Labor Hours]]*tblWorkOrders5[[#This Row],[Hourly Rate]]</f>
        <v>1107</v>
      </c>
      <c r="J191" s="4">
        <f>_xlfn.XLOOKUP(tblWorkOrders5[[#This Row],[WO Number]],tblInvoices[WO Number],tblInvoices[Vendor Cost])</f>
        <v>2006.6</v>
      </c>
      <c r="K191" s="4">
        <f>tblWorkOrders5[[#This Row],[Labor Cost]]+tblWorkOrders5[[#This Row],[Vendor Cost]]</f>
        <v>3113.6</v>
      </c>
    </row>
    <row r="192" spans="1:11" x14ac:dyDescent="0.25">
      <c r="A192" t="s">
        <v>219</v>
      </c>
      <c r="B192" s="1">
        <v>45958</v>
      </c>
      <c r="C192" t="s">
        <v>23</v>
      </c>
      <c r="D192" t="s">
        <v>31</v>
      </c>
      <c r="E192" t="s">
        <v>32</v>
      </c>
      <c r="F192" t="s">
        <v>24</v>
      </c>
      <c r="G192">
        <v>12.7</v>
      </c>
      <c r="H192" s="4">
        <f>_xlfn.XLOOKUP(tblWorkOrders5[[#This Row],[Trade]],tblLaborRates[Trade],tblLaborRates[Hourly Rate])</f>
        <v>82</v>
      </c>
      <c r="I192" s="4">
        <f>tblWorkOrders5[[#This Row],[Labor Hours]]*tblWorkOrders5[[#This Row],[Hourly Rate]]</f>
        <v>1041.3999999999999</v>
      </c>
      <c r="J192" s="4">
        <f>_xlfn.XLOOKUP(tblWorkOrders5[[#This Row],[WO Number]],tblInvoices[WO Number],tblInvoices[Vendor Cost])</f>
        <v>2791.96</v>
      </c>
      <c r="K192" s="4">
        <f>tblWorkOrders5[[#This Row],[Labor Cost]]+tblWorkOrders5[[#This Row],[Vendor Cost]]</f>
        <v>3833.3599999999997</v>
      </c>
    </row>
    <row r="193" spans="1:11" x14ac:dyDescent="0.25">
      <c r="A193" t="s">
        <v>220</v>
      </c>
      <c r="B193" s="1">
        <v>45963</v>
      </c>
      <c r="C193" t="s">
        <v>8</v>
      </c>
      <c r="D193" t="s">
        <v>36</v>
      </c>
      <c r="E193" t="s">
        <v>37</v>
      </c>
      <c r="F193" t="s">
        <v>39</v>
      </c>
      <c r="G193">
        <v>15.8</v>
      </c>
      <c r="H193" s="4">
        <f>_xlfn.XLOOKUP(tblWorkOrders5[[#This Row],[Trade]],tblLaborRates[Trade],tblLaborRates[Hourly Rate])</f>
        <v>79</v>
      </c>
      <c r="I193" s="4">
        <f>tblWorkOrders5[[#This Row],[Labor Hours]]*tblWorkOrders5[[#This Row],[Hourly Rate]]</f>
        <v>1248.2</v>
      </c>
      <c r="J193" s="4">
        <f>_xlfn.XLOOKUP(tblWorkOrders5[[#This Row],[WO Number]],tblInvoices[WO Number],tblInvoices[Vendor Cost])</f>
        <v>1959.72</v>
      </c>
      <c r="K193" s="4">
        <f>tblWorkOrders5[[#This Row],[Labor Cost]]+tblWorkOrders5[[#This Row],[Vendor Cost]]</f>
        <v>3207.92</v>
      </c>
    </row>
    <row r="194" spans="1:11" x14ac:dyDescent="0.25">
      <c r="A194" t="s">
        <v>221</v>
      </c>
      <c r="B194" s="1">
        <v>45747</v>
      </c>
      <c r="C194" t="s">
        <v>8</v>
      </c>
      <c r="D194" t="s">
        <v>9</v>
      </c>
      <c r="E194" t="s">
        <v>10</v>
      </c>
      <c r="F194" t="s">
        <v>39</v>
      </c>
      <c r="G194">
        <v>1.7</v>
      </c>
      <c r="H194" s="4">
        <f>_xlfn.XLOOKUP(tblWorkOrders5[[#This Row],[Trade]],tblLaborRates[Trade],tblLaborRates[Hourly Rate])</f>
        <v>75</v>
      </c>
      <c r="I194" s="4">
        <f>tblWorkOrders5[[#This Row],[Labor Hours]]*tblWorkOrders5[[#This Row],[Hourly Rate]]</f>
        <v>127.5</v>
      </c>
      <c r="J194" s="4">
        <f>_xlfn.XLOOKUP(tblWorkOrders5[[#This Row],[WO Number]],tblInvoices[WO Number],tblInvoices[Vendor Cost])</f>
        <v>2796.45</v>
      </c>
      <c r="K194" s="4">
        <f>tblWorkOrders5[[#This Row],[Labor Cost]]+tblWorkOrders5[[#This Row],[Vendor Cost]]</f>
        <v>2923.95</v>
      </c>
    </row>
    <row r="195" spans="1:11" x14ac:dyDescent="0.25">
      <c r="A195" t="s">
        <v>222</v>
      </c>
      <c r="B195" s="1">
        <v>45779</v>
      </c>
      <c r="C195" t="s">
        <v>13</v>
      </c>
      <c r="D195" t="s">
        <v>36</v>
      </c>
      <c r="E195" t="s">
        <v>37</v>
      </c>
      <c r="F195" t="s">
        <v>17</v>
      </c>
      <c r="G195">
        <v>4</v>
      </c>
      <c r="H195" s="4">
        <f>_xlfn.XLOOKUP(tblWorkOrders5[[#This Row],[Trade]],tblLaborRates[Trade],tblLaborRates[Hourly Rate])</f>
        <v>79</v>
      </c>
      <c r="I195" s="4">
        <f>tblWorkOrders5[[#This Row],[Labor Hours]]*tblWorkOrders5[[#This Row],[Hourly Rate]]</f>
        <v>316</v>
      </c>
      <c r="J195" s="4">
        <f>_xlfn.XLOOKUP(tblWorkOrders5[[#This Row],[WO Number]],tblInvoices[WO Number],tblInvoices[Vendor Cost])</f>
        <v>325.54000000000002</v>
      </c>
      <c r="K195" s="4">
        <f>tblWorkOrders5[[#This Row],[Labor Cost]]+tblWorkOrders5[[#This Row],[Vendor Cost]]</f>
        <v>641.54</v>
      </c>
    </row>
    <row r="196" spans="1:11" x14ac:dyDescent="0.25">
      <c r="A196" t="s">
        <v>223</v>
      </c>
      <c r="B196" s="1">
        <v>45873</v>
      </c>
      <c r="C196" t="s">
        <v>13</v>
      </c>
      <c r="D196" t="s">
        <v>9</v>
      </c>
      <c r="E196" t="s">
        <v>10</v>
      </c>
      <c r="F196" t="s">
        <v>33</v>
      </c>
      <c r="G196">
        <v>8.4</v>
      </c>
      <c r="H196" s="4">
        <f>_xlfn.XLOOKUP(tblWorkOrders5[[#This Row],[Trade]],tblLaborRates[Trade],tblLaborRates[Hourly Rate])</f>
        <v>75</v>
      </c>
      <c r="I196" s="4">
        <f>tblWorkOrders5[[#This Row],[Labor Hours]]*tblWorkOrders5[[#This Row],[Hourly Rate]]</f>
        <v>630</v>
      </c>
      <c r="J196" s="4">
        <f>_xlfn.XLOOKUP(tblWorkOrders5[[#This Row],[WO Number]],tblInvoices[WO Number],tblInvoices[Vendor Cost])</f>
        <v>2756.36</v>
      </c>
      <c r="K196" s="4">
        <f>tblWorkOrders5[[#This Row],[Labor Cost]]+tblWorkOrders5[[#This Row],[Vendor Cost]]</f>
        <v>3386.36</v>
      </c>
    </row>
    <row r="197" spans="1:11" x14ac:dyDescent="0.25">
      <c r="A197" t="s">
        <v>224</v>
      </c>
      <c r="B197" s="1">
        <v>45920</v>
      </c>
      <c r="C197" t="s">
        <v>13</v>
      </c>
      <c r="D197" t="s">
        <v>9</v>
      </c>
      <c r="E197" t="s">
        <v>10</v>
      </c>
      <c r="F197" t="s">
        <v>28</v>
      </c>
      <c r="G197">
        <v>8.8000000000000007</v>
      </c>
      <c r="H197" s="4">
        <f>_xlfn.XLOOKUP(tblWorkOrders5[[#This Row],[Trade]],tblLaborRates[Trade],tblLaborRates[Hourly Rate])</f>
        <v>75</v>
      </c>
      <c r="I197" s="4">
        <f>tblWorkOrders5[[#This Row],[Labor Hours]]*tblWorkOrders5[[#This Row],[Hourly Rate]]</f>
        <v>660</v>
      </c>
      <c r="J197" s="4">
        <f>_xlfn.XLOOKUP(tblWorkOrders5[[#This Row],[WO Number]],tblInvoices[WO Number],tblInvoices[Vendor Cost])</f>
        <v>3317.14</v>
      </c>
      <c r="K197" s="4">
        <f>tblWorkOrders5[[#This Row],[Labor Cost]]+tblWorkOrders5[[#This Row],[Vendor Cost]]</f>
        <v>3977.14</v>
      </c>
    </row>
    <row r="198" spans="1:11" x14ac:dyDescent="0.25">
      <c r="A198" t="s">
        <v>225</v>
      </c>
      <c r="B198" s="1">
        <v>45680</v>
      </c>
      <c r="C198" t="s">
        <v>13</v>
      </c>
      <c r="D198" t="s">
        <v>36</v>
      </c>
      <c r="E198" t="s">
        <v>37</v>
      </c>
      <c r="F198" t="s">
        <v>28</v>
      </c>
      <c r="G198">
        <v>10.8</v>
      </c>
      <c r="H198" s="4">
        <f>_xlfn.XLOOKUP(tblWorkOrders5[[#This Row],[Trade]],tblLaborRates[Trade],tblLaborRates[Hourly Rate])</f>
        <v>79</v>
      </c>
      <c r="I198" s="4">
        <f>tblWorkOrders5[[#This Row],[Labor Hours]]*tblWorkOrders5[[#This Row],[Hourly Rate]]</f>
        <v>853.2</v>
      </c>
      <c r="J198" s="4">
        <f>_xlfn.XLOOKUP(tblWorkOrders5[[#This Row],[WO Number]],tblInvoices[WO Number],tblInvoices[Vendor Cost])</f>
        <v>254.35</v>
      </c>
      <c r="K198" s="4">
        <f>tblWorkOrders5[[#This Row],[Labor Cost]]+tblWorkOrders5[[#This Row],[Vendor Cost]]</f>
        <v>1107.55</v>
      </c>
    </row>
    <row r="199" spans="1:11" x14ac:dyDescent="0.25">
      <c r="A199" t="s">
        <v>226</v>
      </c>
      <c r="B199" s="1">
        <v>45903</v>
      </c>
      <c r="C199" t="s">
        <v>41</v>
      </c>
      <c r="D199" t="s">
        <v>19</v>
      </c>
      <c r="E199" t="s">
        <v>20</v>
      </c>
      <c r="F199" t="s">
        <v>33</v>
      </c>
      <c r="G199">
        <v>8.6</v>
      </c>
      <c r="H199" s="4">
        <f>_xlfn.XLOOKUP(tblWorkOrders5[[#This Row],[Trade]],tblLaborRates[Trade],tblLaborRates[Hourly Rate])</f>
        <v>68</v>
      </c>
      <c r="I199" s="4">
        <f>tblWorkOrders5[[#This Row],[Labor Hours]]*tblWorkOrders5[[#This Row],[Hourly Rate]]</f>
        <v>584.79999999999995</v>
      </c>
      <c r="J199" s="4">
        <f>_xlfn.XLOOKUP(tblWorkOrders5[[#This Row],[WO Number]],tblInvoices[WO Number],tblInvoices[Vendor Cost])</f>
        <v>3197.5</v>
      </c>
      <c r="K199" s="4">
        <f>tblWorkOrders5[[#This Row],[Labor Cost]]+tblWorkOrders5[[#This Row],[Vendor Cost]]</f>
        <v>3782.3</v>
      </c>
    </row>
    <row r="200" spans="1:11" x14ac:dyDescent="0.25">
      <c r="A200" t="s">
        <v>227</v>
      </c>
      <c r="B200" s="1">
        <v>45695</v>
      </c>
      <c r="C200" t="s">
        <v>8</v>
      </c>
      <c r="D200" t="s">
        <v>36</v>
      </c>
      <c r="E200" t="s">
        <v>37</v>
      </c>
      <c r="F200" t="s">
        <v>39</v>
      </c>
      <c r="G200">
        <v>2.5</v>
      </c>
      <c r="H200" s="4">
        <f>_xlfn.XLOOKUP(tblWorkOrders5[[#This Row],[Trade]],tblLaborRates[Trade],tblLaborRates[Hourly Rate])</f>
        <v>79</v>
      </c>
      <c r="I200" s="4">
        <f>tblWorkOrders5[[#This Row],[Labor Hours]]*tblWorkOrders5[[#This Row],[Hourly Rate]]</f>
        <v>197.5</v>
      </c>
      <c r="J200" s="4">
        <f>_xlfn.XLOOKUP(tblWorkOrders5[[#This Row],[WO Number]],tblInvoices[WO Number],tblInvoices[Vendor Cost])</f>
        <v>1071.3</v>
      </c>
      <c r="K200" s="4">
        <f>tblWorkOrders5[[#This Row],[Labor Cost]]+tblWorkOrders5[[#This Row],[Vendor Cost]]</f>
        <v>1268.8</v>
      </c>
    </row>
    <row r="201" spans="1:11" x14ac:dyDescent="0.25">
      <c r="A201" t="s">
        <v>228</v>
      </c>
      <c r="B201" s="1">
        <v>45982</v>
      </c>
      <c r="C201" t="s">
        <v>13</v>
      </c>
      <c r="D201" t="s">
        <v>16</v>
      </c>
      <c r="E201" t="s">
        <v>16</v>
      </c>
      <c r="F201" t="s">
        <v>24</v>
      </c>
      <c r="G201">
        <v>7</v>
      </c>
      <c r="H201" s="4">
        <f>_xlfn.XLOOKUP(tblWorkOrders5[[#This Row],[Trade]],tblLaborRates[Trade],tblLaborRates[Hourly Rate])</f>
        <v>52</v>
      </c>
      <c r="I201" s="4">
        <f>tblWorkOrders5[[#This Row],[Labor Hours]]*tblWorkOrders5[[#This Row],[Hourly Rate]]</f>
        <v>364</v>
      </c>
      <c r="J201" s="4">
        <f>_xlfn.XLOOKUP(tblWorkOrders5[[#This Row],[WO Number]],tblInvoices[WO Number],tblInvoices[Vendor Cost])</f>
        <v>2151.2600000000002</v>
      </c>
      <c r="K201" s="4">
        <f>tblWorkOrders5[[#This Row],[Labor Cost]]+tblWorkOrders5[[#This Row],[Vendor Cost]]</f>
        <v>2515.2600000000002</v>
      </c>
    </row>
    <row r="202" spans="1:11" x14ac:dyDescent="0.25">
      <c r="A202" t="s">
        <v>229</v>
      </c>
      <c r="B202" s="1">
        <v>45808</v>
      </c>
      <c r="C202" t="s">
        <v>41</v>
      </c>
      <c r="D202" t="s">
        <v>16</v>
      </c>
      <c r="E202" t="s">
        <v>16</v>
      </c>
      <c r="F202" t="s">
        <v>14</v>
      </c>
      <c r="G202">
        <v>2.9</v>
      </c>
      <c r="H202" s="4">
        <f>_xlfn.XLOOKUP(tblWorkOrders5[[#This Row],[Trade]],tblLaborRates[Trade],tblLaborRates[Hourly Rate])</f>
        <v>52</v>
      </c>
      <c r="I202" s="4">
        <f>tblWorkOrders5[[#This Row],[Labor Hours]]*tblWorkOrders5[[#This Row],[Hourly Rate]]</f>
        <v>150.79999999999998</v>
      </c>
      <c r="J202" s="4">
        <f>_xlfn.XLOOKUP(tblWorkOrders5[[#This Row],[WO Number]],tblInvoices[WO Number],tblInvoices[Vendor Cost])</f>
        <v>2500.96</v>
      </c>
      <c r="K202" s="4">
        <f>tblWorkOrders5[[#This Row],[Labor Cost]]+tblWorkOrders5[[#This Row],[Vendor Cost]]</f>
        <v>2651.76</v>
      </c>
    </row>
    <row r="203" spans="1:11" x14ac:dyDescent="0.25">
      <c r="A203" t="s">
        <v>230</v>
      </c>
      <c r="B203" s="1">
        <v>45993</v>
      </c>
      <c r="C203" t="s">
        <v>13</v>
      </c>
      <c r="D203" t="s">
        <v>31</v>
      </c>
      <c r="E203" t="s">
        <v>32</v>
      </c>
      <c r="F203" t="s">
        <v>14</v>
      </c>
      <c r="G203">
        <v>8</v>
      </c>
      <c r="H203" s="4">
        <f>_xlfn.XLOOKUP(tblWorkOrders5[[#This Row],[Trade]],tblLaborRates[Trade],tblLaborRates[Hourly Rate])</f>
        <v>82</v>
      </c>
      <c r="I203" s="4">
        <f>tblWorkOrders5[[#This Row],[Labor Hours]]*tblWorkOrders5[[#This Row],[Hourly Rate]]</f>
        <v>656</v>
      </c>
      <c r="J203" s="4">
        <f>_xlfn.XLOOKUP(tblWorkOrders5[[#This Row],[WO Number]],tblInvoices[WO Number],tblInvoices[Vendor Cost])</f>
        <v>915.45</v>
      </c>
      <c r="K203" s="4">
        <f>tblWorkOrders5[[#This Row],[Labor Cost]]+tblWorkOrders5[[#This Row],[Vendor Cost]]</f>
        <v>1571.45</v>
      </c>
    </row>
    <row r="204" spans="1:11" x14ac:dyDescent="0.25">
      <c r="A204" t="s">
        <v>231</v>
      </c>
      <c r="B204" s="1">
        <v>45831</v>
      </c>
      <c r="C204" t="s">
        <v>41</v>
      </c>
      <c r="D204" t="s">
        <v>19</v>
      </c>
      <c r="E204" t="s">
        <v>20</v>
      </c>
      <c r="F204" t="s">
        <v>14</v>
      </c>
      <c r="G204">
        <v>12.1</v>
      </c>
      <c r="H204" s="4">
        <f>_xlfn.XLOOKUP(tblWorkOrders5[[#This Row],[Trade]],tblLaborRates[Trade],tblLaborRates[Hourly Rate])</f>
        <v>68</v>
      </c>
      <c r="I204" s="4">
        <f>tblWorkOrders5[[#This Row],[Labor Hours]]*tblWorkOrders5[[#This Row],[Hourly Rate]]</f>
        <v>822.8</v>
      </c>
      <c r="J204" s="4">
        <f>_xlfn.XLOOKUP(tblWorkOrders5[[#This Row],[WO Number]],tblInvoices[WO Number],tblInvoices[Vendor Cost])</f>
        <v>1197.04</v>
      </c>
      <c r="K204" s="4">
        <f>tblWorkOrders5[[#This Row],[Labor Cost]]+tblWorkOrders5[[#This Row],[Vendor Cost]]</f>
        <v>2019.84</v>
      </c>
    </row>
    <row r="205" spans="1:11" x14ac:dyDescent="0.25">
      <c r="A205" t="s">
        <v>232</v>
      </c>
      <c r="B205" s="1">
        <v>45818</v>
      </c>
      <c r="C205" t="s">
        <v>27</v>
      </c>
      <c r="D205" t="s">
        <v>36</v>
      </c>
      <c r="E205" t="s">
        <v>37</v>
      </c>
      <c r="F205" t="s">
        <v>39</v>
      </c>
      <c r="G205">
        <v>11.5</v>
      </c>
      <c r="H205" s="4">
        <f>_xlfn.XLOOKUP(tblWorkOrders5[[#This Row],[Trade]],tblLaborRates[Trade],tblLaborRates[Hourly Rate])</f>
        <v>79</v>
      </c>
      <c r="I205" s="4">
        <f>tblWorkOrders5[[#This Row],[Labor Hours]]*tblWorkOrders5[[#This Row],[Hourly Rate]]</f>
        <v>908.5</v>
      </c>
      <c r="J205" s="4">
        <f>_xlfn.XLOOKUP(tblWorkOrders5[[#This Row],[WO Number]],tblInvoices[WO Number],tblInvoices[Vendor Cost])</f>
        <v>1738.8</v>
      </c>
      <c r="K205" s="4">
        <f>tblWorkOrders5[[#This Row],[Labor Cost]]+tblWorkOrders5[[#This Row],[Vendor Cost]]</f>
        <v>2647.3</v>
      </c>
    </row>
    <row r="206" spans="1:11" x14ac:dyDescent="0.25">
      <c r="A206" t="s">
        <v>233</v>
      </c>
      <c r="B206" s="1">
        <v>45704</v>
      </c>
      <c r="C206" t="s">
        <v>8</v>
      </c>
      <c r="D206" t="s">
        <v>9</v>
      </c>
      <c r="E206" t="s">
        <v>10</v>
      </c>
      <c r="F206" t="s">
        <v>14</v>
      </c>
      <c r="G206">
        <v>2.9</v>
      </c>
      <c r="H206" s="4">
        <f>_xlfn.XLOOKUP(tblWorkOrders5[[#This Row],[Trade]],tblLaborRates[Trade],tblLaborRates[Hourly Rate])</f>
        <v>75</v>
      </c>
      <c r="I206" s="4">
        <f>tblWorkOrders5[[#This Row],[Labor Hours]]*tblWorkOrders5[[#This Row],[Hourly Rate]]</f>
        <v>217.5</v>
      </c>
      <c r="J206" s="4">
        <f>_xlfn.XLOOKUP(tblWorkOrders5[[#This Row],[WO Number]],tblInvoices[WO Number],tblInvoices[Vendor Cost])</f>
        <v>2624.97</v>
      </c>
      <c r="K206" s="4">
        <f>tblWorkOrders5[[#This Row],[Labor Cost]]+tblWorkOrders5[[#This Row],[Vendor Cost]]</f>
        <v>2842.47</v>
      </c>
    </row>
    <row r="207" spans="1:11" x14ac:dyDescent="0.25">
      <c r="A207" t="s">
        <v>234</v>
      </c>
      <c r="B207" s="1">
        <v>45724</v>
      </c>
      <c r="C207" t="s">
        <v>13</v>
      </c>
      <c r="D207" t="s">
        <v>9</v>
      </c>
      <c r="E207" t="s">
        <v>10</v>
      </c>
      <c r="F207" t="s">
        <v>24</v>
      </c>
      <c r="G207">
        <v>11.2</v>
      </c>
      <c r="H207" s="4">
        <f>_xlfn.XLOOKUP(tblWorkOrders5[[#This Row],[Trade]],tblLaborRates[Trade],tblLaborRates[Hourly Rate])</f>
        <v>75</v>
      </c>
      <c r="I207" s="4">
        <f>tblWorkOrders5[[#This Row],[Labor Hours]]*tblWorkOrders5[[#This Row],[Hourly Rate]]</f>
        <v>840</v>
      </c>
      <c r="J207" s="4">
        <f>_xlfn.XLOOKUP(tblWorkOrders5[[#This Row],[WO Number]],tblInvoices[WO Number],tblInvoices[Vendor Cost])</f>
        <v>1526.21</v>
      </c>
      <c r="K207" s="4">
        <f>tblWorkOrders5[[#This Row],[Labor Cost]]+tblWorkOrders5[[#This Row],[Vendor Cost]]</f>
        <v>2366.21</v>
      </c>
    </row>
    <row r="208" spans="1:11" x14ac:dyDescent="0.25">
      <c r="A208" t="s">
        <v>235</v>
      </c>
      <c r="B208" s="1">
        <v>45998</v>
      </c>
      <c r="C208" t="s">
        <v>41</v>
      </c>
      <c r="D208" t="s">
        <v>9</v>
      </c>
      <c r="E208" t="s">
        <v>10</v>
      </c>
      <c r="F208" t="s">
        <v>11</v>
      </c>
      <c r="G208">
        <v>10.199999999999999</v>
      </c>
      <c r="H208" s="4">
        <f>_xlfn.XLOOKUP(tblWorkOrders5[[#This Row],[Trade]],tblLaborRates[Trade],tblLaborRates[Hourly Rate])</f>
        <v>75</v>
      </c>
      <c r="I208" s="4">
        <f>tblWorkOrders5[[#This Row],[Labor Hours]]*tblWorkOrders5[[#This Row],[Hourly Rate]]</f>
        <v>765</v>
      </c>
      <c r="J208" s="4">
        <f>_xlfn.XLOOKUP(tblWorkOrders5[[#This Row],[WO Number]],tblInvoices[WO Number],tblInvoices[Vendor Cost])</f>
        <v>1328.01</v>
      </c>
      <c r="K208" s="4">
        <f>tblWorkOrders5[[#This Row],[Labor Cost]]+tblWorkOrders5[[#This Row],[Vendor Cost]]</f>
        <v>2093.0100000000002</v>
      </c>
    </row>
    <row r="209" spans="1:11" x14ac:dyDescent="0.25">
      <c r="A209" t="s">
        <v>236</v>
      </c>
      <c r="B209" s="1">
        <v>45953</v>
      </c>
      <c r="C209" t="s">
        <v>13</v>
      </c>
      <c r="D209" t="s">
        <v>31</v>
      </c>
      <c r="E209" t="s">
        <v>32</v>
      </c>
      <c r="F209" t="s">
        <v>39</v>
      </c>
      <c r="G209">
        <v>11</v>
      </c>
      <c r="H209" s="4">
        <f>_xlfn.XLOOKUP(tblWorkOrders5[[#This Row],[Trade]],tblLaborRates[Trade],tblLaborRates[Hourly Rate])</f>
        <v>82</v>
      </c>
      <c r="I209" s="4">
        <f>tblWorkOrders5[[#This Row],[Labor Hours]]*tblWorkOrders5[[#This Row],[Hourly Rate]]</f>
        <v>902</v>
      </c>
      <c r="J209" s="4">
        <f>_xlfn.XLOOKUP(tblWorkOrders5[[#This Row],[WO Number]],tblInvoices[WO Number],tblInvoices[Vendor Cost])</f>
        <v>901.22</v>
      </c>
      <c r="K209" s="4">
        <f>tblWorkOrders5[[#This Row],[Labor Cost]]+tblWorkOrders5[[#This Row],[Vendor Cost]]</f>
        <v>1803.22</v>
      </c>
    </row>
    <row r="210" spans="1:11" x14ac:dyDescent="0.25">
      <c r="A210" t="s">
        <v>237</v>
      </c>
      <c r="B210" s="1">
        <v>45713</v>
      </c>
      <c r="C210" t="s">
        <v>27</v>
      </c>
      <c r="D210" t="s">
        <v>16</v>
      </c>
      <c r="E210" t="s">
        <v>16</v>
      </c>
      <c r="F210" t="s">
        <v>24</v>
      </c>
      <c r="G210">
        <v>3.2</v>
      </c>
      <c r="H210" s="4">
        <f>_xlfn.XLOOKUP(tblWorkOrders5[[#This Row],[Trade]],tblLaborRates[Trade],tblLaborRates[Hourly Rate])</f>
        <v>52</v>
      </c>
      <c r="I210" s="4">
        <f>tblWorkOrders5[[#This Row],[Labor Hours]]*tblWorkOrders5[[#This Row],[Hourly Rate]]</f>
        <v>166.4</v>
      </c>
      <c r="J210" s="4">
        <f>_xlfn.XLOOKUP(tblWorkOrders5[[#This Row],[WO Number]],tblInvoices[WO Number],tblInvoices[Vendor Cost])</f>
        <v>1083.2</v>
      </c>
      <c r="K210" s="4">
        <f>tblWorkOrders5[[#This Row],[Labor Cost]]+tblWorkOrders5[[#This Row],[Vendor Cost]]</f>
        <v>1249.6000000000001</v>
      </c>
    </row>
    <row r="211" spans="1:11" x14ac:dyDescent="0.25">
      <c r="A211" t="s">
        <v>238</v>
      </c>
      <c r="B211" s="1">
        <v>45773</v>
      </c>
      <c r="C211" t="s">
        <v>41</v>
      </c>
      <c r="D211" t="s">
        <v>16</v>
      </c>
      <c r="E211" t="s">
        <v>16</v>
      </c>
      <c r="F211" t="s">
        <v>17</v>
      </c>
      <c r="G211">
        <v>10.3</v>
      </c>
      <c r="H211" s="4">
        <f>_xlfn.XLOOKUP(tblWorkOrders5[[#This Row],[Trade]],tblLaborRates[Trade],tblLaborRates[Hourly Rate])</f>
        <v>52</v>
      </c>
      <c r="I211" s="4">
        <f>tblWorkOrders5[[#This Row],[Labor Hours]]*tblWorkOrders5[[#This Row],[Hourly Rate]]</f>
        <v>535.6</v>
      </c>
      <c r="J211" s="4">
        <f>_xlfn.XLOOKUP(tblWorkOrders5[[#This Row],[WO Number]],tblInvoices[WO Number],tblInvoices[Vendor Cost])</f>
        <v>2353.73</v>
      </c>
      <c r="K211" s="4">
        <f>tblWorkOrders5[[#This Row],[Labor Cost]]+tblWorkOrders5[[#This Row],[Vendor Cost]]</f>
        <v>2889.33</v>
      </c>
    </row>
    <row r="212" spans="1:11" x14ac:dyDescent="0.25">
      <c r="A212" t="s">
        <v>239</v>
      </c>
      <c r="B212" s="1">
        <v>46013</v>
      </c>
      <c r="C212" t="s">
        <v>27</v>
      </c>
      <c r="D212" t="s">
        <v>9</v>
      </c>
      <c r="E212" t="s">
        <v>10</v>
      </c>
      <c r="F212" t="s">
        <v>39</v>
      </c>
      <c r="G212">
        <v>5.5</v>
      </c>
      <c r="H212" s="4">
        <f>_xlfn.XLOOKUP(tblWorkOrders5[[#This Row],[Trade]],tblLaborRates[Trade],tblLaborRates[Hourly Rate])</f>
        <v>75</v>
      </c>
      <c r="I212" s="4">
        <f>tblWorkOrders5[[#This Row],[Labor Hours]]*tblWorkOrders5[[#This Row],[Hourly Rate]]</f>
        <v>412.5</v>
      </c>
      <c r="J212" s="4">
        <f>_xlfn.XLOOKUP(tblWorkOrders5[[#This Row],[WO Number]],tblInvoices[WO Number],tblInvoices[Vendor Cost])</f>
        <v>2704.07</v>
      </c>
      <c r="K212" s="4">
        <f>tblWorkOrders5[[#This Row],[Labor Cost]]+tblWorkOrders5[[#This Row],[Vendor Cost]]</f>
        <v>3116.57</v>
      </c>
    </row>
    <row r="213" spans="1:11" x14ac:dyDescent="0.25">
      <c r="A213" t="s">
        <v>240</v>
      </c>
      <c r="B213" s="1">
        <v>45831</v>
      </c>
      <c r="C213" t="s">
        <v>27</v>
      </c>
      <c r="D213" t="s">
        <v>9</v>
      </c>
      <c r="E213" t="s">
        <v>10</v>
      </c>
      <c r="F213" t="s">
        <v>39</v>
      </c>
      <c r="G213">
        <v>14.1</v>
      </c>
      <c r="H213" s="4">
        <f>_xlfn.XLOOKUP(tblWorkOrders5[[#This Row],[Trade]],tblLaborRates[Trade],tblLaborRates[Hourly Rate])</f>
        <v>75</v>
      </c>
      <c r="I213" s="4">
        <f>tblWorkOrders5[[#This Row],[Labor Hours]]*tblWorkOrders5[[#This Row],[Hourly Rate]]</f>
        <v>1057.5</v>
      </c>
      <c r="J213" s="4">
        <f>_xlfn.XLOOKUP(tblWorkOrders5[[#This Row],[WO Number]],tblInvoices[WO Number],tblInvoices[Vendor Cost])</f>
        <v>2047.18</v>
      </c>
      <c r="K213" s="4">
        <f>tblWorkOrders5[[#This Row],[Labor Cost]]+tblWorkOrders5[[#This Row],[Vendor Cost]]</f>
        <v>3104.6800000000003</v>
      </c>
    </row>
    <row r="214" spans="1:11" x14ac:dyDescent="0.25">
      <c r="A214" t="s">
        <v>241</v>
      </c>
      <c r="B214" s="1">
        <v>45863</v>
      </c>
      <c r="C214" t="s">
        <v>8</v>
      </c>
      <c r="D214" t="s">
        <v>31</v>
      </c>
      <c r="E214" t="s">
        <v>32</v>
      </c>
      <c r="F214" t="s">
        <v>17</v>
      </c>
      <c r="G214">
        <v>2.8</v>
      </c>
      <c r="H214" s="4">
        <f>_xlfn.XLOOKUP(tblWorkOrders5[[#This Row],[Trade]],tblLaborRates[Trade],tblLaborRates[Hourly Rate])</f>
        <v>82</v>
      </c>
      <c r="I214" s="4">
        <f>tblWorkOrders5[[#This Row],[Labor Hours]]*tblWorkOrders5[[#This Row],[Hourly Rate]]</f>
        <v>229.6</v>
      </c>
      <c r="J214" s="4">
        <f>_xlfn.XLOOKUP(tblWorkOrders5[[#This Row],[WO Number]],tblInvoices[WO Number],tblInvoices[Vendor Cost])</f>
        <v>1927.12</v>
      </c>
      <c r="K214" s="4">
        <f>tblWorkOrders5[[#This Row],[Labor Cost]]+tblWorkOrders5[[#This Row],[Vendor Cost]]</f>
        <v>2156.7199999999998</v>
      </c>
    </row>
    <row r="215" spans="1:11" x14ac:dyDescent="0.25">
      <c r="A215" t="s">
        <v>242</v>
      </c>
      <c r="B215" s="1">
        <v>45850</v>
      </c>
      <c r="C215" t="s">
        <v>41</v>
      </c>
      <c r="D215" t="s">
        <v>19</v>
      </c>
      <c r="E215" t="s">
        <v>20</v>
      </c>
      <c r="F215" t="s">
        <v>24</v>
      </c>
      <c r="G215">
        <v>3.8</v>
      </c>
      <c r="H215" s="4">
        <f>_xlfn.XLOOKUP(tblWorkOrders5[[#This Row],[Trade]],tblLaborRates[Trade],tblLaborRates[Hourly Rate])</f>
        <v>68</v>
      </c>
      <c r="I215" s="4">
        <f>tblWorkOrders5[[#This Row],[Labor Hours]]*tblWorkOrders5[[#This Row],[Hourly Rate]]</f>
        <v>258.39999999999998</v>
      </c>
      <c r="J215" s="4">
        <f>_xlfn.XLOOKUP(tblWorkOrders5[[#This Row],[WO Number]],tblInvoices[WO Number],tblInvoices[Vendor Cost])</f>
        <v>1193.99</v>
      </c>
      <c r="K215" s="4">
        <f>tblWorkOrders5[[#This Row],[Labor Cost]]+tblWorkOrders5[[#This Row],[Vendor Cost]]</f>
        <v>1452.3899999999999</v>
      </c>
    </row>
    <row r="216" spans="1:11" x14ac:dyDescent="0.25">
      <c r="A216" t="s">
        <v>243</v>
      </c>
      <c r="B216" s="1">
        <v>45824</v>
      </c>
      <c r="C216" t="s">
        <v>13</v>
      </c>
      <c r="D216" t="s">
        <v>16</v>
      </c>
      <c r="E216" t="s">
        <v>16</v>
      </c>
      <c r="F216" t="s">
        <v>33</v>
      </c>
      <c r="G216">
        <v>14.3</v>
      </c>
      <c r="H216" s="4">
        <f>_xlfn.XLOOKUP(tblWorkOrders5[[#This Row],[Trade]],tblLaborRates[Trade],tblLaborRates[Hourly Rate])</f>
        <v>52</v>
      </c>
      <c r="I216" s="4">
        <f>tblWorkOrders5[[#This Row],[Labor Hours]]*tblWorkOrders5[[#This Row],[Hourly Rate]]</f>
        <v>743.6</v>
      </c>
      <c r="J216" s="4">
        <f>_xlfn.XLOOKUP(tblWorkOrders5[[#This Row],[WO Number]],tblInvoices[WO Number],tblInvoices[Vendor Cost])</f>
        <v>671.19</v>
      </c>
      <c r="K216" s="4">
        <f>tblWorkOrders5[[#This Row],[Labor Cost]]+tblWorkOrders5[[#This Row],[Vendor Cost]]</f>
        <v>1414.79</v>
      </c>
    </row>
    <row r="217" spans="1:11" x14ac:dyDescent="0.25">
      <c r="A217" t="s">
        <v>244</v>
      </c>
      <c r="B217" s="1">
        <v>45974</v>
      </c>
      <c r="C217" t="s">
        <v>8</v>
      </c>
      <c r="D217" t="s">
        <v>9</v>
      </c>
      <c r="E217" t="s">
        <v>10</v>
      </c>
      <c r="F217" t="s">
        <v>11</v>
      </c>
      <c r="G217">
        <v>7.9</v>
      </c>
      <c r="H217" s="4">
        <f>_xlfn.XLOOKUP(tblWorkOrders5[[#This Row],[Trade]],tblLaborRates[Trade],tblLaborRates[Hourly Rate])</f>
        <v>75</v>
      </c>
      <c r="I217" s="4">
        <f>tblWorkOrders5[[#This Row],[Labor Hours]]*tblWorkOrders5[[#This Row],[Hourly Rate]]</f>
        <v>592.5</v>
      </c>
      <c r="J217" s="4">
        <f>_xlfn.XLOOKUP(tblWorkOrders5[[#This Row],[WO Number]],tblInvoices[WO Number],tblInvoices[Vendor Cost])</f>
        <v>1570.45</v>
      </c>
      <c r="K217" s="4">
        <f>tblWorkOrders5[[#This Row],[Labor Cost]]+tblWorkOrders5[[#This Row],[Vendor Cost]]</f>
        <v>2162.9499999999998</v>
      </c>
    </row>
    <row r="218" spans="1:11" x14ac:dyDescent="0.25">
      <c r="A218" t="s">
        <v>245</v>
      </c>
      <c r="B218" s="1">
        <v>45968</v>
      </c>
      <c r="C218" t="s">
        <v>41</v>
      </c>
      <c r="D218" t="s">
        <v>19</v>
      </c>
      <c r="E218" t="s">
        <v>20</v>
      </c>
      <c r="F218" t="s">
        <v>11</v>
      </c>
      <c r="G218">
        <v>4.5999999999999996</v>
      </c>
      <c r="H218" s="4">
        <f>_xlfn.XLOOKUP(tblWorkOrders5[[#This Row],[Trade]],tblLaborRates[Trade],tblLaborRates[Hourly Rate])</f>
        <v>68</v>
      </c>
      <c r="I218" s="4">
        <f>tblWorkOrders5[[#This Row],[Labor Hours]]*tblWorkOrders5[[#This Row],[Hourly Rate]]</f>
        <v>312.79999999999995</v>
      </c>
      <c r="J218" s="4">
        <f>_xlfn.XLOOKUP(tblWorkOrders5[[#This Row],[WO Number]],tblInvoices[WO Number],tblInvoices[Vendor Cost])</f>
        <v>1866.36</v>
      </c>
      <c r="K218" s="4">
        <f>tblWorkOrders5[[#This Row],[Labor Cost]]+tblWorkOrders5[[#This Row],[Vendor Cost]]</f>
        <v>2179.16</v>
      </c>
    </row>
    <row r="219" spans="1:11" x14ac:dyDescent="0.25">
      <c r="A219" t="s">
        <v>246</v>
      </c>
      <c r="B219" s="1">
        <v>45834</v>
      </c>
      <c r="C219" t="s">
        <v>41</v>
      </c>
      <c r="D219" t="s">
        <v>9</v>
      </c>
      <c r="E219" t="s">
        <v>10</v>
      </c>
      <c r="F219" t="s">
        <v>11</v>
      </c>
      <c r="G219">
        <v>11.3</v>
      </c>
      <c r="H219" s="4">
        <f>_xlfn.XLOOKUP(tblWorkOrders5[[#This Row],[Trade]],tblLaborRates[Trade],tblLaborRates[Hourly Rate])</f>
        <v>75</v>
      </c>
      <c r="I219" s="4">
        <f>tblWorkOrders5[[#This Row],[Labor Hours]]*tblWorkOrders5[[#This Row],[Hourly Rate]]</f>
        <v>847.5</v>
      </c>
      <c r="J219" s="4">
        <f>_xlfn.XLOOKUP(tblWorkOrders5[[#This Row],[WO Number]],tblInvoices[WO Number],tblInvoices[Vendor Cost])</f>
        <v>2137</v>
      </c>
      <c r="K219" s="4">
        <f>tblWorkOrders5[[#This Row],[Labor Cost]]+tblWorkOrders5[[#This Row],[Vendor Cost]]</f>
        <v>2984.5</v>
      </c>
    </row>
    <row r="220" spans="1:11" x14ac:dyDescent="0.25">
      <c r="A220" t="s">
        <v>247</v>
      </c>
      <c r="B220" s="1">
        <v>45927</v>
      </c>
      <c r="C220" t="s">
        <v>27</v>
      </c>
      <c r="D220" t="s">
        <v>9</v>
      </c>
      <c r="E220" t="s">
        <v>10</v>
      </c>
      <c r="F220" t="s">
        <v>21</v>
      </c>
      <c r="G220">
        <v>7.2</v>
      </c>
      <c r="H220" s="4">
        <f>_xlfn.XLOOKUP(tblWorkOrders5[[#This Row],[Trade]],tblLaborRates[Trade],tblLaborRates[Hourly Rate])</f>
        <v>75</v>
      </c>
      <c r="I220" s="4">
        <f>tblWorkOrders5[[#This Row],[Labor Hours]]*tblWorkOrders5[[#This Row],[Hourly Rate]]</f>
        <v>540</v>
      </c>
      <c r="J220" s="4">
        <f>_xlfn.XLOOKUP(tblWorkOrders5[[#This Row],[WO Number]],tblInvoices[WO Number],tblInvoices[Vendor Cost])</f>
        <v>2157.7399999999998</v>
      </c>
      <c r="K220" s="4">
        <f>tblWorkOrders5[[#This Row],[Labor Cost]]+tblWorkOrders5[[#This Row],[Vendor Cost]]</f>
        <v>2697.74</v>
      </c>
    </row>
    <row r="221" spans="1:11" x14ac:dyDescent="0.25">
      <c r="A221" t="s">
        <v>248</v>
      </c>
      <c r="B221" s="1">
        <v>45661</v>
      </c>
      <c r="C221" t="s">
        <v>23</v>
      </c>
      <c r="D221" t="s">
        <v>36</v>
      </c>
      <c r="E221" t="s">
        <v>37</v>
      </c>
      <c r="F221" t="s">
        <v>21</v>
      </c>
      <c r="G221">
        <v>12.6</v>
      </c>
      <c r="H221" s="4">
        <f>_xlfn.XLOOKUP(tblWorkOrders5[[#This Row],[Trade]],tblLaborRates[Trade],tblLaborRates[Hourly Rate])</f>
        <v>79</v>
      </c>
      <c r="I221" s="4">
        <f>tblWorkOrders5[[#This Row],[Labor Hours]]*tblWorkOrders5[[#This Row],[Hourly Rate]]</f>
        <v>995.4</v>
      </c>
      <c r="J221" s="4">
        <f>_xlfn.XLOOKUP(tblWorkOrders5[[#This Row],[WO Number]],tblInvoices[WO Number],tblInvoices[Vendor Cost])</f>
        <v>2709.94</v>
      </c>
      <c r="K221" s="4">
        <f>tblWorkOrders5[[#This Row],[Labor Cost]]+tblWorkOrders5[[#This Row],[Vendor Cost]]</f>
        <v>3705.34</v>
      </c>
    </row>
    <row r="222" spans="1:11" x14ac:dyDescent="0.25">
      <c r="A222" t="s">
        <v>249</v>
      </c>
      <c r="B222" s="1">
        <v>45806</v>
      </c>
      <c r="C222" t="s">
        <v>27</v>
      </c>
      <c r="D222" t="s">
        <v>9</v>
      </c>
      <c r="E222" t="s">
        <v>10</v>
      </c>
      <c r="F222" t="s">
        <v>17</v>
      </c>
      <c r="G222">
        <v>8.6999999999999993</v>
      </c>
      <c r="H222" s="4">
        <f>_xlfn.XLOOKUP(tblWorkOrders5[[#This Row],[Trade]],tblLaborRates[Trade],tblLaborRates[Hourly Rate])</f>
        <v>75</v>
      </c>
      <c r="I222" s="4">
        <f>tblWorkOrders5[[#This Row],[Labor Hours]]*tblWorkOrders5[[#This Row],[Hourly Rate]]</f>
        <v>652.5</v>
      </c>
      <c r="J222" s="4">
        <f>_xlfn.XLOOKUP(tblWorkOrders5[[#This Row],[WO Number]],tblInvoices[WO Number],tblInvoices[Vendor Cost])</f>
        <v>1592.69</v>
      </c>
      <c r="K222" s="4">
        <f>tblWorkOrders5[[#This Row],[Labor Cost]]+tblWorkOrders5[[#This Row],[Vendor Cost]]</f>
        <v>2245.19</v>
      </c>
    </row>
    <row r="223" spans="1:11" x14ac:dyDescent="0.25">
      <c r="A223" t="s">
        <v>250</v>
      </c>
      <c r="B223" s="1">
        <v>45724</v>
      </c>
      <c r="C223" t="s">
        <v>41</v>
      </c>
      <c r="D223" t="s">
        <v>16</v>
      </c>
      <c r="E223" t="s">
        <v>16</v>
      </c>
      <c r="F223" t="s">
        <v>21</v>
      </c>
      <c r="G223">
        <v>8.8000000000000007</v>
      </c>
      <c r="H223" s="4">
        <f>_xlfn.XLOOKUP(tblWorkOrders5[[#This Row],[Trade]],tblLaborRates[Trade],tblLaborRates[Hourly Rate])</f>
        <v>52</v>
      </c>
      <c r="I223" s="4">
        <f>tblWorkOrders5[[#This Row],[Labor Hours]]*tblWorkOrders5[[#This Row],[Hourly Rate]]</f>
        <v>457.6</v>
      </c>
      <c r="J223" s="4">
        <f>_xlfn.XLOOKUP(tblWorkOrders5[[#This Row],[WO Number]],tblInvoices[WO Number],tblInvoices[Vendor Cost])</f>
        <v>2941.74</v>
      </c>
      <c r="K223" s="4">
        <f>tblWorkOrders5[[#This Row],[Labor Cost]]+tblWorkOrders5[[#This Row],[Vendor Cost]]</f>
        <v>3399.3399999999997</v>
      </c>
    </row>
    <row r="224" spans="1:11" x14ac:dyDescent="0.25">
      <c r="A224" t="s">
        <v>251</v>
      </c>
      <c r="B224" s="1">
        <v>45839</v>
      </c>
      <c r="C224" t="s">
        <v>8</v>
      </c>
      <c r="D224" t="s">
        <v>19</v>
      </c>
      <c r="E224" t="s">
        <v>20</v>
      </c>
      <c r="F224" t="s">
        <v>17</v>
      </c>
      <c r="G224">
        <v>7.8</v>
      </c>
      <c r="H224" s="4">
        <f>_xlfn.XLOOKUP(tblWorkOrders5[[#This Row],[Trade]],tblLaborRates[Trade],tblLaborRates[Hourly Rate])</f>
        <v>68</v>
      </c>
      <c r="I224" s="4">
        <f>tblWorkOrders5[[#This Row],[Labor Hours]]*tblWorkOrders5[[#This Row],[Hourly Rate]]</f>
        <v>530.4</v>
      </c>
      <c r="J224" s="4">
        <f>_xlfn.XLOOKUP(tblWorkOrders5[[#This Row],[WO Number]],tblInvoices[WO Number],tblInvoices[Vendor Cost])</f>
        <v>1690.18</v>
      </c>
      <c r="K224" s="4">
        <f>tblWorkOrders5[[#This Row],[Labor Cost]]+tblWorkOrders5[[#This Row],[Vendor Cost]]</f>
        <v>2220.58</v>
      </c>
    </row>
    <row r="225" spans="1:11" x14ac:dyDescent="0.25">
      <c r="A225" t="s">
        <v>252</v>
      </c>
      <c r="B225" s="1">
        <v>45697</v>
      </c>
      <c r="C225" t="s">
        <v>27</v>
      </c>
      <c r="D225" t="s">
        <v>16</v>
      </c>
      <c r="E225" t="s">
        <v>16</v>
      </c>
      <c r="F225" t="s">
        <v>14</v>
      </c>
      <c r="G225">
        <v>9.8000000000000007</v>
      </c>
      <c r="H225" s="4">
        <f>_xlfn.XLOOKUP(tblWorkOrders5[[#This Row],[Trade]],tblLaborRates[Trade],tblLaborRates[Hourly Rate])</f>
        <v>52</v>
      </c>
      <c r="I225" s="4">
        <f>tblWorkOrders5[[#This Row],[Labor Hours]]*tblWorkOrders5[[#This Row],[Hourly Rate]]</f>
        <v>509.6</v>
      </c>
      <c r="J225" s="4">
        <f>_xlfn.XLOOKUP(tblWorkOrders5[[#This Row],[WO Number]],tblInvoices[WO Number],tblInvoices[Vendor Cost])</f>
        <v>2526.8200000000002</v>
      </c>
      <c r="K225" s="4">
        <f>tblWorkOrders5[[#This Row],[Labor Cost]]+tblWorkOrders5[[#This Row],[Vendor Cost]]</f>
        <v>3036.42</v>
      </c>
    </row>
    <row r="226" spans="1:11" x14ac:dyDescent="0.25">
      <c r="A226" t="s">
        <v>253</v>
      </c>
      <c r="B226" s="1">
        <v>45871</v>
      </c>
      <c r="C226" t="s">
        <v>27</v>
      </c>
      <c r="D226" t="s">
        <v>9</v>
      </c>
      <c r="E226" t="s">
        <v>10</v>
      </c>
      <c r="F226" t="s">
        <v>14</v>
      </c>
      <c r="G226">
        <v>1.8</v>
      </c>
      <c r="H226" s="4">
        <f>_xlfn.XLOOKUP(tblWorkOrders5[[#This Row],[Trade]],tblLaborRates[Trade],tblLaborRates[Hourly Rate])</f>
        <v>75</v>
      </c>
      <c r="I226" s="4">
        <f>tblWorkOrders5[[#This Row],[Labor Hours]]*tblWorkOrders5[[#This Row],[Hourly Rate]]</f>
        <v>135</v>
      </c>
      <c r="J226" s="4">
        <f>_xlfn.XLOOKUP(tblWorkOrders5[[#This Row],[WO Number]],tblInvoices[WO Number],tblInvoices[Vendor Cost])</f>
        <v>1237.97</v>
      </c>
      <c r="K226" s="4">
        <f>tblWorkOrders5[[#This Row],[Labor Cost]]+tblWorkOrders5[[#This Row],[Vendor Cost]]</f>
        <v>1372.97</v>
      </c>
    </row>
    <row r="227" spans="1:11" x14ac:dyDescent="0.25">
      <c r="A227" t="s">
        <v>254</v>
      </c>
      <c r="B227" s="1">
        <v>45974</v>
      </c>
      <c r="C227" t="s">
        <v>41</v>
      </c>
      <c r="D227" t="s">
        <v>36</v>
      </c>
      <c r="E227" t="s">
        <v>37</v>
      </c>
      <c r="F227" t="s">
        <v>33</v>
      </c>
      <c r="G227">
        <v>7.8</v>
      </c>
      <c r="H227" s="4">
        <f>_xlfn.XLOOKUP(tblWorkOrders5[[#This Row],[Trade]],tblLaborRates[Trade],tblLaborRates[Hourly Rate])</f>
        <v>79</v>
      </c>
      <c r="I227" s="4">
        <f>tblWorkOrders5[[#This Row],[Labor Hours]]*tblWorkOrders5[[#This Row],[Hourly Rate]]</f>
        <v>616.19999999999993</v>
      </c>
      <c r="J227" s="4">
        <f>_xlfn.XLOOKUP(tblWorkOrders5[[#This Row],[WO Number]],tblInvoices[WO Number],tblInvoices[Vendor Cost])</f>
        <v>504.64</v>
      </c>
      <c r="K227" s="4">
        <f>tblWorkOrders5[[#This Row],[Labor Cost]]+tblWorkOrders5[[#This Row],[Vendor Cost]]</f>
        <v>1120.8399999999999</v>
      </c>
    </row>
    <row r="228" spans="1:11" x14ac:dyDescent="0.25">
      <c r="A228" t="s">
        <v>255</v>
      </c>
      <c r="B228" s="1">
        <v>45881</v>
      </c>
      <c r="C228" t="s">
        <v>13</v>
      </c>
      <c r="D228" t="s">
        <v>19</v>
      </c>
      <c r="E228" t="s">
        <v>20</v>
      </c>
      <c r="F228" t="s">
        <v>33</v>
      </c>
      <c r="G228">
        <v>7.2</v>
      </c>
      <c r="H228" s="4">
        <f>_xlfn.XLOOKUP(tblWorkOrders5[[#This Row],[Trade]],tblLaborRates[Trade],tblLaborRates[Hourly Rate])</f>
        <v>68</v>
      </c>
      <c r="I228" s="4">
        <f>tblWorkOrders5[[#This Row],[Labor Hours]]*tblWorkOrders5[[#This Row],[Hourly Rate]]</f>
        <v>489.6</v>
      </c>
      <c r="J228" s="4">
        <f>_xlfn.XLOOKUP(tblWorkOrders5[[#This Row],[WO Number]],tblInvoices[WO Number],tblInvoices[Vendor Cost])</f>
        <v>1189.42</v>
      </c>
      <c r="K228" s="4">
        <f>tblWorkOrders5[[#This Row],[Labor Cost]]+tblWorkOrders5[[#This Row],[Vendor Cost]]</f>
        <v>1679.02</v>
      </c>
    </row>
    <row r="229" spans="1:11" x14ac:dyDescent="0.25">
      <c r="A229" t="s">
        <v>256</v>
      </c>
      <c r="B229" s="1">
        <v>45831</v>
      </c>
      <c r="C229" t="s">
        <v>23</v>
      </c>
      <c r="D229" t="s">
        <v>36</v>
      </c>
      <c r="E229" t="s">
        <v>37</v>
      </c>
      <c r="F229" t="s">
        <v>39</v>
      </c>
      <c r="G229">
        <v>2.6</v>
      </c>
      <c r="H229" s="4">
        <f>_xlfn.XLOOKUP(tblWorkOrders5[[#This Row],[Trade]],tblLaborRates[Trade],tblLaborRates[Hourly Rate])</f>
        <v>79</v>
      </c>
      <c r="I229" s="4">
        <f>tblWorkOrders5[[#This Row],[Labor Hours]]*tblWorkOrders5[[#This Row],[Hourly Rate]]</f>
        <v>205.4</v>
      </c>
      <c r="J229" s="4">
        <f>_xlfn.XLOOKUP(tblWorkOrders5[[#This Row],[WO Number]],tblInvoices[WO Number],tblInvoices[Vendor Cost])</f>
        <v>2271.3000000000002</v>
      </c>
      <c r="K229" s="4">
        <f>tblWorkOrders5[[#This Row],[Labor Cost]]+tblWorkOrders5[[#This Row],[Vendor Cost]]</f>
        <v>2476.7000000000003</v>
      </c>
    </row>
    <row r="230" spans="1:11" x14ac:dyDescent="0.25">
      <c r="A230" t="s">
        <v>257</v>
      </c>
      <c r="B230" s="1">
        <v>45929</v>
      </c>
      <c r="C230" t="s">
        <v>13</v>
      </c>
      <c r="D230" t="s">
        <v>31</v>
      </c>
      <c r="E230" t="s">
        <v>32</v>
      </c>
      <c r="F230" t="s">
        <v>24</v>
      </c>
      <c r="G230">
        <v>6.6</v>
      </c>
      <c r="H230" s="4">
        <f>_xlfn.XLOOKUP(tblWorkOrders5[[#This Row],[Trade]],tblLaborRates[Trade],tblLaborRates[Hourly Rate])</f>
        <v>82</v>
      </c>
      <c r="I230" s="4">
        <f>tblWorkOrders5[[#This Row],[Labor Hours]]*tblWorkOrders5[[#This Row],[Hourly Rate]]</f>
        <v>541.19999999999993</v>
      </c>
      <c r="J230" s="4">
        <f>_xlfn.XLOOKUP(tblWorkOrders5[[#This Row],[WO Number]],tblInvoices[WO Number],tblInvoices[Vendor Cost])</f>
        <v>3360.05</v>
      </c>
      <c r="K230" s="4">
        <f>tblWorkOrders5[[#This Row],[Labor Cost]]+tblWorkOrders5[[#This Row],[Vendor Cost]]</f>
        <v>3901.25</v>
      </c>
    </row>
    <row r="231" spans="1:11" x14ac:dyDescent="0.25">
      <c r="A231" t="s">
        <v>258</v>
      </c>
      <c r="B231" s="1">
        <v>45988</v>
      </c>
      <c r="C231" t="s">
        <v>23</v>
      </c>
      <c r="D231" t="s">
        <v>31</v>
      </c>
      <c r="E231" t="s">
        <v>32</v>
      </c>
      <c r="F231" t="s">
        <v>33</v>
      </c>
      <c r="G231">
        <v>3.6</v>
      </c>
      <c r="H231" s="4">
        <f>_xlfn.XLOOKUP(tblWorkOrders5[[#This Row],[Trade]],tblLaborRates[Trade],tblLaborRates[Hourly Rate])</f>
        <v>82</v>
      </c>
      <c r="I231" s="4">
        <f>tblWorkOrders5[[#This Row],[Labor Hours]]*tblWorkOrders5[[#This Row],[Hourly Rate]]</f>
        <v>295.2</v>
      </c>
      <c r="J231" s="4">
        <f>_xlfn.XLOOKUP(tblWorkOrders5[[#This Row],[WO Number]],tblInvoices[WO Number],tblInvoices[Vendor Cost])</f>
        <v>810.86</v>
      </c>
      <c r="K231" s="4">
        <f>tblWorkOrders5[[#This Row],[Labor Cost]]+tblWorkOrders5[[#This Row],[Vendor Cost]]</f>
        <v>1106.06</v>
      </c>
    </row>
    <row r="232" spans="1:11" x14ac:dyDescent="0.25">
      <c r="A232" t="s">
        <v>259</v>
      </c>
      <c r="B232" s="1">
        <v>45966</v>
      </c>
      <c r="C232" t="s">
        <v>23</v>
      </c>
      <c r="D232" t="s">
        <v>9</v>
      </c>
      <c r="E232" t="s">
        <v>10</v>
      </c>
      <c r="F232" t="s">
        <v>39</v>
      </c>
      <c r="G232">
        <v>15.3</v>
      </c>
      <c r="H232" s="4">
        <f>_xlfn.XLOOKUP(tblWorkOrders5[[#This Row],[Trade]],tblLaborRates[Trade],tblLaborRates[Hourly Rate])</f>
        <v>75</v>
      </c>
      <c r="I232" s="4">
        <f>tblWorkOrders5[[#This Row],[Labor Hours]]*tblWorkOrders5[[#This Row],[Hourly Rate]]</f>
        <v>1147.5</v>
      </c>
      <c r="J232" s="4">
        <f>_xlfn.XLOOKUP(tblWorkOrders5[[#This Row],[WO Number]],tblInvoices[WO Number],tblInvoices[Vendor Cost])</f>
        <v>2253.63</v>
      </c>
      <c r="K232" s="4">
        <f>tblWorkOrders5[[#This Row],[Labor Cost]]+tblWorkOrders5[[#This Row],[Vendor Cost]]</f>
        <v>3401.13</v>
      </c>
    </row>
    <row r="233" spans="1:11" x14ac:dyDescent="0.25">
      <c r="A233" t="s">
        <v>260</v>
      </c>
      <c r="B233" s="1">
        <v>45895</v>
      </c>
      <c r="C233" t="s">
        <v>13</v>
      </c>
      <c r="D233" t="s">
        <v>16</v>
      </c>
      <c r="E233" t="s">
        <v>16</v>
      </c>
      <c r="F233" t="s">
        <v>28</v>
      </c>
      <c r="G233">
        <v>11.4</v>
      </c>
      <c r="H233" s="4">
        <f>_xlfn.XLOOKUP(tblWorkOrders5[[#This Row],[Trade]],tblLaborRates[Trade],tblLaborRates[Hourly Rate])</f>
        <v>52</v>
      </c>
      <c r="I233" s="4">
        <f>tblWorkOrders5[[#This Row],[Labor Hours]]*tblWorkOrders5[[#This Row],[Hourly Rate]]</f>
        <v>592.80000000000007</v>
      </c>
      <c r="J233" s="4">
        <f>_xlfn.XLOOKUP(tblWorkOrders5[[#This Row],[WO Number]],tblInvoices[WO Number],tblInvoices[Vendor Cost])</f>
        <v>3104.86</v>
      </c>
      <c r="K233" s="4">
        <f>tblWorkOrders5[[#This Row],[Labor Cost]]+tblWorkOrders5[[#This Row],[Vendor Cost]]</f>
        <v>3697.6600000000003</v>
      </c>
    </row>
    <row r="234" spans="1:11" x14ac:dyDescent="0.25">
      <c r="A234" t="s">
        <v>261</v>
      </c>
      <c r="B234" s="1">
        <v>45987</v>
      </c>
      <c r="C234" t="s">
        <v>13</v>
      </c>
      <c r="D234" t="s">
        <v>36</v>
      </c>
      <c r="E234" t="s">
        <v>37</v>
      </c>
      <c r="F234" t="s">
        <v>24</v>
      </c>
      <c r="G234">
        <v>3.7</v>
      </c>
      <c r="H234" s="4">
        <f>_xlfn.XLOOKUP(tblWorkOrders5[[#This Row],[Trade]],tblLaborRates[Trade],tblLaborRates[Hourly Rate])</f>
        <v>79</v>
      </c>
      <c r="I234" s="4">
        <f>tblWorkOrders5[[#This Row],[Labor Hours]]*tblWorkOrders5[[#This Row],[Hourly Rate]]</f>
        <v>292.3</v>
      </c>
      <c r="J234" s="4">
        <f>_xlfn.XLOOKUP(tblWorkOrders5[[#This Row],[WO Number]],tblInvoices[WO Number],tblInvoices[Vendor Cost])</f>
        <v>378.76</v>
      </c>
      <c r="K234" s="4">
        <f>tblWorkOrders5[[#This Row],[Labor Cost]]+tblWorkOrders5[[#This Row],[Vendor Cost]]</f>
        <v>671.06</v>
      </c>
    </row>
    <row r="235" spans="1:11" x14ac:dyDescent="0.25">
      <c r="A235" t="s">
        <v>262</v>
      </c>
      <c r="B235" s="1">
        <v>45884</v>
      </c>
      <c r="C235" t="s">
        <v>27</v>
      </c>
      <c r="D235" t="s">
        <v>36</v>
      </c>
      <c r="E235" t="s">
        <v>37</v>
      </c>
      <c r="F235" t="s">
        <v>17</v>
      </c>
      <c r="G235">
        <v>6.6</v>
      </c>
      <c r="H235" s="4">
        <f>_xlfn.XLOOKUP(tblWorkOrders5[[#This Row],[Trade]],tblLaborRates[Trade],tblLaborRates[Hourly Rate])</f>
        <v>79</v>
      </c>
      <c r="I235" s="4">
        <f>tblWorkOrders5[[#This Row],[Labor Hours]]*tblWorkOrders5[[#This Row],[Hourly Rate]]</f>
        <v>521.4</v>
      </c>
      <c r="J235" s="4">
        <f>_xlfn.XLOOKUP(tblWorkOrders5[[#This Row],[WO Number]],tblInvoices[WO Number],tblInvoices[Vendor Cost])</f>
        <v>398.54</v>
      </c>
      <c r="K235" s="4">
        <f>tblWorkOrders5[[#This Row],[Labor Cost]]+tblWorkOrders5[[#This Row],[Vendor Cost]]</f>
        <v>919.94</v>
      </c>
    </row>
    <row r="236" spans="1:11" x14ac:dyDescent="0.25">
      <c r="A236" t="s">
        <v>263</v>
      </c>
      <c r="B236" s="1">
        <v>45894</v>
      </c>
      <c r="C236" t="s">
        <v>41</v>
      </c>
      <c r="D236" t="s">
        <v>9</v>
      </c>
      <c r="E236" t="s">
        <v>10</v>
      </c>
      <c r="F236" t="s">
        <v>17</v>
      </c>
      <c r="G236">
        <v>6.8</v>
      </c>
      <c r="H236" s="4">
        <f>_xlfn.XLOOKUP(tblWorkOrders5[[#This Row],[Trade]],tblLaborRates[Trade],tblLaborRates[Hourly Rate])</f>
        <v>75</v>
      </c>
      <c r="I236" s="4">
        <f>tblWorkOrders5[[#This Row],[Labor Hours]]*tblWorkOrders5[[#This Row],[Hourly Rate]]</f>
        <v>510</v>
      </c>
      <c r="J236" s="4">
        <f>_xlfn.XLOOKUP(tblWorkOrders5[[#This Row],[WO Number]],tblInvoices[WO Number],tblInvoices[Vendor Cost])</f>
        <v>1111.71</v>
      </c>
      <c r="K236" s="4">
        <f>tblWorkOrders5[[#This Row],[Labor Cost]]+tblWorkOrders5[[#This Row],[Vendor Cost]]</f>
        <v>1621.71</v>
      </c>
    </row>
    <row r="237" spans="1:11" x14ac:dyDescent="0.25">
      <c r="A237" t="s">
        <v>264</v>
      </c>
      <c r="B237" s="1">
        <v>45988</v>
      </c>
      <c r="C237" t="s">
        <v>8</v>
      </c>
      <c r="D237" t="s">
        <v>16</v>
      </c>
      <c r="E237" t="s">
        <v>16</v>
      </c>
      <c r="F237" t="s">
        <v>14</v>
      </c>
      <c r="G237">
        <v>8.1999999999999993</v>
      </c>
      <c r="H237" s="4">
        <f>_xlfn.XLOOKUP(tblWorkOrders5[[#This Row],[Trade]],tblLaborRates[Trade],tblLaborRates[Hourly Rate])</f>
        <v>52</v>
      </c>
      <c r="I237" s="4">
        <f>tblWorkOrders5[[#This Row],[Labor Hours]]*tblWorkOrders5[[#This Row],[Hourly Rate]]</f>
        <v>426.4</v>
      </c>
      <c r="J237" s="4">
        <f>_xlfn.XLOOKUP(tblWorkOrders5[[#This Row],[WO Number]],tblInvoices[WO Number],tblInvoices[Vendor Cost])</f>
        <v>2006.96</v>
      </c>
      <c r="K237" s="4">
        <f>tblWorkOrders5[[#This Row],[Labor Cost]]+tblWorkOrders5[[#This Row],[Vendor Cost]]</f>
        <v>2433.36</v>
      </c>
    </row>
    <row r="238" spans="1:11" x14ac:dyDescent="0.25">
      <c r="A238" t="s">
        <v>265</v>
      </c>
      <c r="B238" s="1">
        <v>45679</v>
      </c>
      <c r="C238" t="s">
        <v>41</v>
      </c>
      <c r="D238" t="s">
        <v>16</v>
      </c>
      <c r="E238" t="s">
        <v>16</v>
      </c>
      <c r="F238" t="s">
        <v>21</v>
      </c>
      <c r="G238">
        <v>6.2</v>
      </c>
      <c r="H238" s="4">
        <f>_xlfn.XLOOKUP(tblWorkOrders5[[#This Row],[Trade]],tblLaborRates[Trade],tblLaborRates[Hourly Rate])</f>
        <v>52</v>
      </c>
      <c r="I238" s="4">
        <f>tblWorkOrders5[[#This Row],[Labor Hours]]*tblWorkOrders5[[#This Row],[Hourly Rate]]</f>
        <v>322.40000000000003</v>
      </c>
      <c r="J238" s="4">
        <f>_xlfn.XLOOKUP(tblWorkOrders5[[#This Row],[WO Number]],tblInvoices[WO Number],tblInvoices[Vendor Cost])</f>
        <v>1743.36</v>
      </c>
      <c r="K238" s="4">
        <f>tblWorkOrders5[[#This Row],[Labor Cost]]+tblWorkOrders5[[#This Row],[Vendor Cost]]</f>
        <v>2065.7599999999998</v>
      </c>
    </row>
    <row r="239" spans="1:11" x14ac:dyDescent="0.25">
      <c r="A239" t="s">
        <v>266</v>
      </c>
      <c r="B239" s="1">
        <v>45735</v>
      </c>
      <c r="C239" t="s">
        <v>8</v>
      </c>
      <c r="D239" t="s">
        <v>19</v>
      </c>
      <c r="E239" t="s">
        <v>20</v>
      </c>
      <c r="F239" t="s">
        <v>33</v>
      </c>
      <c r="G239">
        <v>13.3</v>
      </c>
      <c r="H239" s="4">
        <f>_xlfn.XLOOKUP(tblWorkOrders5[[#This Row],[Trade]],tblLaborRates[Trade],tblLaborRates[Hourly Rate])</f>
        <v>68</v>
      </c>
      <c r="I239" s="4">
        <f>tblWorkOrders5[[#This Row],[Labor Hours]]*tblWorkOrders5[[#This Row],[Hourly Rate]]</f>
        <v>904.40000000000009</v>
      </c>
      <c r="J239" s="4">
        <f>_xlfn.XLOOKUP(tblWorkOrders5[[#This Row],[WO Number]],tblInvoices[WO Number],tblInvoices[Vendor Cost])</f>
        <v>2955.21</v>
      </c>
      <c r="K239" s="4">
        <f>tblWorkOrders5[[#This Row],[Labor Cost]]+tblWorkOrders5[[#This Row],[Vendor Cost]]</f>
        <v>3859.61</v>
      </c>
    </row>
    <row r="240" spans="1:11" x14ac:dyDescent="0.25">
      <c r="A240" t="s">
        <v>267</v>
      </c>
      <c r="B240" s="1">
        <v>45701</v>
      </c>
      <c r="C240" t="s">
        <v>13</v>
      </c>
      <c r="D240" t="s">
        <v>31</v>
      </c>
      <c r="E240" t="s">
        <v>32</v>
      </c>
      <c r="F240" t="s">
        <v>17</v>
      </c>
      <c r="G240">
        <v>5.0999999999999996</v>
      </c>
      <c r="H240" s="4">
        <f>_xlfn.XLOOKUP(tblWorkOrders5[[#This Row],[Trade]],tblLaborRates[Trade],tblLaborRates[Hourly Rate])</f>
        <v>82</v>
      </c>
      <c r="I240" s="4">
        <f>tblWorkOrders5[[#This Row],[Labor Hours]]*tblWorkOrders5[[#This Row],[Hourly Rate]]</f>
        <v>418.2</v>
      </c>
      <c r="J240" s="4">
        <f>_xlfn.XLOOKUP(tblWorkOrders5[[#This Row],[WO Number]],tblInvoices[WO Number],tblInvoices[Vendor Cost])</f>
        <v>1616.49</v>
      </c>
      <c r="K240" s="4">
        <f>tblWorkOrders5[[#This Row],[Labor Cost]]+tblWorkOrders5[[#This Row],[Vendor Cost]]</f>
        <v>2034.69</v>
      </c>
    </row>
    <row r="241" spans="1:11" x14ac:dyDescent="0.25">
      <c r="A241" t="s">
        <v>268</v>
      </c>
      <c r="B241" s="1">
        <v>45882</v>
      </c>
      <c r="C241" t="s">
        <v>13</v>
      </c>
      <c r="D241" t="s">
        <v>16</v>
      </c>
      <c r="E241" t="s">
        <v>16</v>
      </c>
      <c r="F241" t="s">
        <v>39</v>
      </c>
      <c r="G241">
        <v>6.8</v>
      </c>
      <c r="H241" s="4">
        <f>_xlfn.XLOOKUP(tblWorkOrders5[[#This Row],[Trade]],tblLaborRates[Trade],tblLaborRates[Hourly Rate])</f>
        <v>52</v>
      </c>
      <c r="I241" s="4">
        <f>tblWorkOrders5[[#This Row],[Labor Hours]]*tblWorkOrders5[[#This Row],[Hourly Rate]]</f>
        <v>353.59999999999997</v>
      </c>
      <c r="J241" s="4">
        <f>_xlfn.XLOOKUP(tblWorkOrders5[[#This Row],[WO Number]],tblInvoices[WO Number],tblInvoices[Vendor Cost])</f>
        <v>3225.09</v>
      </c>
      <c r="K241" s="4">
        <f>tblWorkOrders5[[#This Row],[Labor Cost]]+tblWorkOrders5[[#This Row],[Vendor Cost]]</f>
        <v>3578.69</v>
      </c>
    </row>
    <row r="242" spans="1:11" x14ac:dyDescent="0.25">
      <c r="A242" t="s">
        <v>269</v>
      </c>
      <c r="B242" s="1">
        <v>45856</v>
      </c>
      <c r="C242" t="s">
        <v>41</v>
      </c>
      <c r="D242" t="s">
        <v>36</v>
      </c>
      <c r="E242" t="s">
        <v>37</v>
      </c>
      <c r="F242" t="s">
        <v>17</v>
      </c>
      <c r="G242">
        <v>12.9</v>
      </c>
      <c r="H242" s="4">
        <f>_xlfn.XLOOKUP(tblWorkOrders5[[#This Row],[Trade]],tblLaborRates[Trade],tblLaborRates[Hourly Rate])</f>
        <v>79</v>
      </c>
      <c r="I242" s="4">
        <f>tblWorkOrders5[[#This Row],[Labor Hours]]*tblWorkOrders5[[#This Row],[Hourly Rate]]</f>
        <v>1019.1</v>
      </c>
      <c r="J242" s="4">
        <f>_xlfn.XLOOKUP(tblWorkOrders5[[#This Row],[WO Number]],tblInvoices[WO Number],tblInvoices[Vendor Cost])</f>
        <v>2318.4699999999998</v>
      </c>
      <c r="K242" s="4">
        <f>tblWorkOrders5[[#This Row],[Labor Cost]]+tblWorkOrders5[[#This Row],[Vendor Cost]]</f>
        <v>3337.5699999999997</v>
      </c>
    </row>
    <row r="243" spans="1:11" x14ac:dyDescent="0.25">
      <c r="A243" t="s">
        <v>270</v>
      </c>
      <c r="B243" s="1">
        <v>45691</v>
      </c>
      <c r="C243" t="s">
        <v>27</v>
      </c>
      <c r="D243" t="s">
        <v>9</v>
      </c>
      <c r="E243" t="s">
        <v>10</v>
      </c>
      <c r="F243" t="s">
        <v>14</v>
      </c>
      <c r="G243">
        <v>5.6</v>
      </c>
      <c r="H243" s="4">
        <f>_xlfn.XLOOKUP(tblWorkOrders5[[#This Row],[Trade]],tblLaborRates[Trade],tblLaborRates[Hourly Rate])</f>
        <v>75</v>
      </c>
      <c r="I243" s="4">
        <f>tblWorkOrders5[[#This Row],[Labor Hours]]*tblWorkOrders5[[#This Row],[Hourly Rate]]</f>
        <v>420</v>
      </c>
      <c r="J243" s="4">
        <f>_xlfn.XLOOKUP(tblWorkOrders5[[#This Row],[WO Number]],tblInvoices[WO Number],tblInvoices[Vendor Cost])</f>
        <v>2574.5100000000002</v>
      </c>
      <c r="K243" s="4">
        <f>tblWorkOrders5[[#This Row],[Labor Cost]]+tblWorkOrders5[[#This Row],[Vendor Cost]]</f>
        <v>2994.51</v>
      </c>
    </row>
    <row r="244" spans="1:11" x14ac:dyDescent="0.25">
      <c r="A244" t="s">
        <v>271</v>
      </c>
      <c r="B244" s="1">
        <v>45994</v>
      </c>
      <c r="C244" t="s">
        <v>13</v>
      </c>
      <c r="D244" t="s">
        <v>31</v>
      </c>
      <c r="E244" t="s">
        <v>32</v>
      </c>
      <c r="F244" t="s">
        <v>24</v>
      </c>
      <c r="G244">
        <v>2.7</v>
      </c>
      <c r="H244" s="4">
        <f>_xlfn.XLOOKUP(tblWorkOrders5[[#This Row],[Trade]],tblLaborRates[Trade],tblLaborRates[Hourly Rate])</f>
        <v>82</v>
      </c>
      <c r="I244" s="4">
        <f>tblWorkOrders5[[#This Row],[Labor Hours]]*tblWorkOrders5[[#This Row],[Hourly Rate]]</f>
        <v>221.4</v>
      </c>
      <c r="J244" s="4">
        <f>_xlfn.XLOOKUP(tblWorkOrders5[[#This Row],[WO Number]],tblInvoices[WO Number],tblInvoices[Vendor Cost])</f>
        <v>2373.1</v>
      </c>
      <c r="K244" s="4">
        <f>tblWorkOrders5[[#This Row],[Labor Cost]]+tblWorkOrders5[[#This Row],[Vendor Cost]]</f>
        <v>2594.5</v>
      </c>
    </row>
    <row r="245" spans="1:11" x14ac:dyDescent="0.25">
      <c r="A245" t="s">
        <v>272</v>
      </c>
      <c r="B245" s="1">
        <v>45837</v>
      </c>
      <c r="C245" t="s">
        <v>27</v>
      </c>
      <c r="D245" t="s">
        <v>19</v>
      </c>
      <c r="E245" t="s">
        <v>20</v>
      </c>
      <c r="F245" t="s">
        <v>39</v>
      </c>
      <c r="G245">
        <v>10.1</v>
      </c>
      <c r="H245" s="4">
        <f>_xlfn.XLOOKUP(tblWorkOrders5[[#This Row],[Trade]],tblLaborRates[Trade],tblLaborRates[Hourly Rate])</f>
        <v>68</v>
      </c>
      <c r="I245" s="4">
        <f>tblWorkOrders5[[#This Row],[Labor Hours]]*tblWorkOrders5[[#This Row],[Hourly Rate]]</f>
        <v>686.8</v>
      </c>
      <c r="J245" s="4">
        <f>_xlfn.XLOOKUP(tblWorkOrders5[[#This Row],[WO Number]],tblInvoices[WO Number],tblInvoices[Vendor Cost])</f>
        <v>3292.31</v>
      </c>
      <c r="K245" s="4">
        <f>tblWorkOrders5[[#This Row],[Labor Cost]]+tblWorkOrders5[[#This Row],[Vendor Cost]]</f>
        <v>3979.1099999999997</v>
      </c>
    </row>
    <row r="246" spans="1:11" x14ac:dyDescent="0.25">
      <c r="A246" t="s">
        <v>273</v>
      </c>
      <c r="B246" s="1">
        <v>45816</v>
      </c>
      <c r="C246" t="s">
        <v>13</v>
      </c>
      <c r="D246" t="s">
        <v>19</v>
      </c>
      <c r="E246" t="s">
        <v>20</v>
      </c>
      <c r="F246" t="s">
        <v>24</v>
      </c>
      <c r="G246">
        <v>13.3</v>
      </c>
      <c r="H246" s="4">
        <f>_xlfn.XLOOKUP(tblWorkOrders5[[#This Row],[Trade]],tblLaborRates[Trade],tblLaborRates[Hourly Rate])</f>
        <v>68</v>
      </c>
      <c r="I246" s="4">
        <f>tblWorkOrders5[[#This Row],[Labor Hours]]*tblWorkOrders5[[#This Row],[Hourly Rate]]</f>
        <v>904.40000000000009</v>
      </c>
      <c r="J246" s="4">
        <f>_xlfn.XLOOKUP(tblWorkOrders5[[#This Row],[WO Number]],tblInvoices[WO Number],tblInvoices[Vendor Cost])</f>
        <v>2394.89</v>
      </c>
      <c r="K246" s="4">
        <f>tblWorkOrders5[[#This Row],[Labor Cost]]+tblWorkOrders5[[#This Row],[Vendor Cost]]</f>
        <v>3299.29</v>
      </c>
    </row>
    <row r="247" spans="1:11" x14ac:dyDescent="0.25">
      <c r="A247" t="s">
        <v>274</v>
      </c>
      <c r="B247" s="1">
        <v>46008</v>
      </c>
      <c r="C247" t="s">
        <v>13</v>
      </c>
      <c r="D247" t="s">
        <v>9</v>
      </c>
      <c r="E247" t="s">
        <v>10</v>
      </c>
      <c r="F247" t="s">
        <v>14</v>
      </c>
      <c r="G247">
        <v>8.9</v>
      </c>
      <c r="H247" s="4">
        <f>_xlfn.XLOOKUP(tblWorkOrders5[[#This Row],[Trade]],tblLaborRates[Trade],tblLaborRates[Hourly Rate])</f>
        <v>75</v>
      </c>
      <c r="I247" s="4">
        <f>tblWorkOrders5[[#This Row],[Labor Hours]]*tblWorkOrders5[[#This Row],[Hourly Rate]]</f>
        <v>667.5</v>
      </c>
      <c r="J247" s="4">
        <f>_xlfn.XLOOKUP(tblWorkOrders5[[#This Row],[WO Number]],tblInvoices[WO Number],tblInvoices[Vendor Cost])</f>
        <v>211.07</v>
      </c>
      <c r="K247" s="4">
        <f>tblWorkOrders5[[#This Row],[Labor Cost]]+tblWorkOrders5[[#This Row],[Vendor Cost]]</f>
        <v>878.56999999999994</v>
      </c>
    </row>
    <row r="248" spans="1:11" x14ac:dyDescent="0.25">
      <c r="A248" t="s">
        <v>275</v>
      </c>
      <c r="B248" s="1">
        <v>45816</v>
      </c>
      <c r="C248" t="s">
        <v>23</v>
      </c>
      <c r="D248" t="s">
        <v>31</v>
      </c>
      <c r="E248" t="s">
        <v>32</v>
      </c>
      <c r="F248" t="s">
        <v>24</v>
      </c>
      <c r="G248">
        <v>15.2</v>
      </c>
      <c r="H248" s="4">
        <f>_xlfn.XLOOKUP(tblWorkOrders5[[#This Row],[Trade]],tblLaborRates[Trade],tblLaborRates[Hourly Rate])</f>
        <v>82</v>
      </c>
      <c r="I248" s="4">
        <f>tblWorkOrders5[[#This Row],[Labor Hours]]*tblWorkOrders5[[#This Row],[Hourly Rate]]</f>
        <v>1246.3999999999999</v>
      </c>
      <c r="J248" s="4">
        <f>_xlfn.XLOOKUP(tblWorkOrders5[[#This Row],[WO Number]],tblInvoices[WO Number],tblInvoices[Vendor Cost])</f>
        <v>1779.01</v>
      </c>
      <c r="K248" s="4">
        <f>tblWorkOrders5[[#This Row],[Labor Cost]]+tblWorkOrders5[[#This Row],[Vendor Cost]]</f>
        <v>3025.41</v>
      </c>
    </row>
    <row r="249" spans="1:11" x14ac:dyDescent="0.25">
      <c r="A249" t="s">
        <v>276</v>
      </c>
      <c r="B249" s="1">
        <v>45773</v>
      </c>
      <c r="C249" t="s">
        <v>23</v>
      </c>
      <c r="D249" t="s">
        <v>31</v>
      </c>
      <c r="E249" t="s">
        <v>32</v>
      </c>
      <c r="F249" t="s">
        <v>33</v>
      </c>
      <c r="G249">
        <v>5.8</v>
      </c>
      <c r="H249" s="4">
        <f>_xlfn.XLOOKUP(tblWorkOrders5[[#This Row],[Trade]],tblLaborRates[Trade],tblLaborRates[Hourly Rate])</f>
        <v>82</v>
      </c>
      <c r="I249" s="4">
        <f>tblWorkOrders5[[#This Row],[Labor Hours]]*tblWorkOrders5[[#This Row],[Hourly Rate]]</f>
        <v>475.59999999999997</v>
      </c>
      <c r="J249" s="4">
        <f>_xlfn.XLOOKUP(tblWorkOrders5[[#This Row],[WO Number]],tblInvoices[WO Number],tblInvoices[Vendor Cost])</f>
        <v>2790.2</v>
      </c>
      <c r="K249" s="4">
        <f>tblWorkOrders5[[#This Row],[Labor Cost]]+tblWorkOrders5[[#This Row],[Vendor Cost]]</f>
        <v>3265.7999999999997</v>
      </c>
    </row>
    <row r="250" spans="1:11" x14ac:dyDescent="0.25">
      <c r="A250" t="s">
        <v>277</v>
      </c>
      <c r="B250" s="1">
        <v>45917</v>
      </c>
      <c r="C250" t="s">
        <v>13</v>
      </c>
      <c r="D250" t="s">
        <v>16</v>
      </c>
      <c r="E250" t="s">
        <v>16</v>
      </c>
      <c r="F250" t="s">
        <v>17</v>
      </c>
      <c r="G250">
        <v>11.1</v>
      </c>
      <c r="H250" s="4">
        <f>_xlfn.XLOOKUP(tblWorkOrders5[[#This Row],[Trade]],tblLaborRates[Trade],tblLaborRates[Hourly Rate])</f>
        <v>52</v>
      </c>
      <c r="I250" s="4">
        <f>tblWorkOrders5[[#This Row],[Labor Hours]]*tblWorkOrders5[[#This Row],[Hourly Rate]]</f>
        <v>577.19999999999993</v>
      </c>
      <c r="J250" s="4">
        <f>_xlfn.XLOOKUP(tblWorkOrders5[[#This Row],[WO Number]],tblInvoices[WO Number],tblInvoices[Vendor Cost])</f>
        <v>3085.92</v>
      </c>
      <c r="K250" s="4">
        <f>tblWorkOrders5[[#This Row],[Labor Cost]]+tblWorkOrders5[[#This Row],[Vendor Cost]]</f>
        <v>3663.12</v>
      </c>
    </row>
    <row r="251" spans="1:11" x14ac:dyDescent="0.25">
      <c r="A251" t="s">
        <v>278</v>
      </c>
      <c r="B251" s="1">
        <v>45974</v>
      </c>
      <c r="C251" t="s">
        <v>23</v>
      </c>
      <c r="D251" t="s">
        <v>16</v>
      </c>
      <c r="E251" t="s">
        <v>16</v>
      </c>
      <c r="F251" t="s">
        <v>14</v>
      </c>
      <c r="G251">
        <v>3.7</v>
      </c>
      <c r="H251" s="4">
        <f>_xlfn.XLOOKUP(tblWorkOrders5[[#This Row],[Trade]],tblLaborRates[Trade],tblLaborRates[Hourly Rate])</f>
        <v>52</v>
      </c>
      <c r="I251" s="4">
        <f>tblWorkOrders5[[#This Row],[Labor Hours]]*tblWorkOrders5[[#This Row],[Hourly Rate]]</f>
        <v>192.4</v>
      </c>
      <c r="J251" s="4">
        <f>_xlfn.XLOOKUP(tblWorkOrders5[[#This Row],[WO Number]],tblInvoices[WO Number],tblInvoices[Vendor Cost])</f>
        <v>755.83</v>
      </c>
      <c r="K251" s="4">
        <f>tblWorkOrders5[[#This Row],[Labor Cost]]+tblWorkOrders5[[#This Row],[Vendor Cost]]</f>
        <v>948.23</v>
      </c>
    </row>
    <row r="252" spans="1:11" x14ac:dyDescent="0.25">
      <c r="A252" t="s">
        <v>279</v>
      </c>
      <c r="B252" s="1">
        <v>46012</v>
      </c>
      <c r="C252" t="s">
        <v>13</v>
      </c>
      <c r="D252" t="s">
        <v>31</v>
      </c>
      <c r="E252" t="s">
        <v>32</v>
      </c>
      <c r="F252" t="s">
        <v>28</v>
      </c>
      <c r="G252">
        <v>2.1</v>
      </c>
      <c r="H252" s="4">
        <f>_xlfn.XLOOKUP(tblWorkOrders5[[#This Row],[Trade]],tblLaborRates[Trade],tblLaborRates[Hourly Rate])</f>
        <v>82</v>
      </c>
      <c r="I252" s="4">
        <f>tblWorkOrders5[[#This Row],[Labor Hours]]*tblWorkOrders5[[#This Row],[Hourly Rate]]</f>
        <v>172.20000000000002</v>
      </c>
      <c r="J252" s="4">
        <f>_xlfn.XLOOKUP(tblWorkOrders5[[#This Row],[WO Number]],tblInvoices[WO Number],tblInvoices[Vendor Cost])</f>
        <v>1370.4</v>
      </c>
      <c r="K252" s="4">
        <f>tblWorkOrders5[[#This Row],[Labor Cost]]+tblWorkOrders5[[#This Row],[Vendor Cost]]</f>
        <v>1542.6000000000001</v>
      </c>
    </row>
    <row r="253" spans="1:11" x14ac:dyDescent="0.25">
      <c r="A253" t="s">
        <v>280</v>
      </c>
      <c r="B253" s="1">
        <v>45779</v>
      </c>
      <c r="C253" t="s">
        <v>41</v>
      </c>
      <c r="D253" t="s">
        <v>16</v>
      </c>
      <c r="E253" t="s">
        <v>16</v>
      </c>
      <c r="F253" t="s">
        <v>11</v>
      </c>
      <c r="G253">
        <v>12.4</v>
      </c>
      <c r="H253" s="4">
        <f>_xlfn.XLOOKUP(tblWorkOrders5[[#This Row],[Trade]],tblLaborRates[Trade],tblLaborRates[Hourly Rate])</f>
        <v>52</v>
      </c>
      <c r="I253" s="4">
        <f>tblWorkOrders5[[#This Row],[Labor Hours]]*tblWorkOrders5[[#This Row],[Hourly Rate]]</f>
        <v>644.80000000000007</v>
      </c>
      <c r="J253" s="4">
        <f>_xlfn.XLOOKUP(tblWorkOrders5[[#This Row],[WO Number]],tblInvoices[WO Number],tblInvoices[Vendor Cost])</f>
        <v>2775.73</v>
      </c>
      <c r="K253" s="4">
        <f>tblWorkOrders5[[#This Row],[Labor Cost]]+tblWorkOrders5[[#This Row],[Vendor Cost]]</f>
        <v>3420.53</v>
      </c>
    </row>
    <row r="254" spans="1:11" x14ac:dyDescent="0.25">
      <c r="A254" t="s">
        <v>281</v>
      </c>
      <c r="B254" s="1">
        <v>45777</v>
      </c>
      <c r="C254" t="s">
        <v>13</v>
      </c>
      <c r="D254" t="s">
        <v>31</v>
      </c>
      <c r="E254" t="s">
        <v>32</v>
      </c>
      <c r="F254" t="s">
        <v>11</v>
      </c>
      <c r="G254">
        <v>15.5</v>
      </c>
      <c r="H254" s="4">
        <f>_xlfn.XLOOKUP(tblWorkOrders5[[#This Row],[Trade]],tblLaborRates[Trade],tblLaborRates[Hourly Rate])</f>
        <v>82</v>
      </c>
      <c r="I254" s="4">
        <f>tblWorkOrders5[[#This Row],[Labor Hours]]*tblWorkOrders5[[#This Row],[Hourly Rate]]</f>
        <v>1271</v>
      </c>
      <c r="J254" s="4">
        <f>_xlfn.XLOOKUP(tblWorkOrders5[[#This Row],[WO Number]],tblInvoices[WO Number],tblInvoices[Vendor Cost])</f>
        <v>2777.64</v>
      </c>
      <c r="K254" s="4">
        <f>tblWorkOrders5[[#This Row],[Labor Cost]]+tblWorkOrders5[[#This Row],[Vendor Cost]]</f>
        <v>4048.64</v>
      </c>
    </row>
    <row r="255" spans="1:11" x14ac:dyDescent="0.25">
      <c r="A255" t="s">
        <v>282</v>
      </c>
      <c r="B255" s="1">
        <v>45757</v>
      </c>
      <c r="C255" t="s">
        <v>27</v>
      </c>
      <c r="D255" t="s">
        <v>16</v>
      </c>
      <c r="E255" t="s">
        <v>16</v>
      </c>
      <c r="F255" t="s">
        <v>28</v>
      </c>
      <c r="G255">
        <v>8.1999999999999993</v>
      </c>
      <c r="H255" s="4">
        <f>_xlfn.XLOOKUP(tblWorkOrders5[[#This Row],[Trade]],tblLaborRates[Trade],tblLaborRates[Hourly Rate])</f>
        <v>52</v>
      </c>
      <c r="I255" s="4">
        <f>tblWorkOrders5[[#This Row],[Labor Hours]]*tblWorkOrders5[[#This Row],[Hourly Rate]]</f>
        <v>426.4</v>
      </c>
      <c r="J255" s="4">
        <f>_xlfn.XLOOKUP(tblWorkOrders5[[#This Row],[WO Number]],tblInvoices[WO Number],tblInvoices[Vendor Cost])</f>
        <v>1093.94</v>
      </c>
      <c r="K255" s="4">
        <f>tblWorkOrders5[[#This Row],[Labor Cost]]+tblWorkOrders5[[#This Row],[Vendor Cost]]</f>
        <v>1520.3400000000001</v>
      </c>
    </row>
    <row r="256" spans="1:11" x14ac:dyDescent="0.25">
      <c r="A256" t="s">
        <v>283</v>
      </c>
      <c r="B256" s="1">
        <v>45853</v>
      </c>
      <c r="C256" t="s">
        <v>13</v>
      </c>
      <c r="D256" t="s">
        <v>16</v>
      </c>
      <c r="E256" t="s">
        <v>16</v>
      </c>
      <c r="F256" t="s">
        <v>14</v>
      </c>
      <c r="G256">
        <v>15.5</v>
      </c>
      <c r="H256" s="4">
        <f>_xlfn.XLOOKUP(tblWorkOrders5[[#This Row],[Trade]],tblLaborRates[Trade],tblLaborRates[Hourly Rate])</f>
        <v>52</v>
      </c>
      <c r="I256" s="4">
        <f>tblWorkOrders5[[#This Row],[Labor Hours]]*tblWorkOrders5[[#This Row],[Hourly Rate]]</f>
        <v>806</v>
      </c>
      <c r="J256" s="4">
        <f>_xlfn.XLOOKUP(tblWorkOrders5[[#This Row],[WO Number]],tblInvoices[WO Number],tblInvoices[Vendor Cost])</f>
        <v>2886.59</v>
      </c>
      <c r="K256" s="4">
        <f>tblWorkOrders5[[#This Row],[Labor Cost]]+tblWorkOrders5[[#This Row],[Vendor Cost]]</f>
        <v>3692.59</v>
      </c>
    </row>
    <row r="257" spans="1:11" x14ac:dyDescent="0.25">
      <c r="A257" t="s">
        <v>284</v>
      </c>
      <c r="B257" s="1">
        <v>45967</v>
      </c>
      <c r="C257" t="s">
        <v>23</v>
      </c>
      <c r="D257" t="s">
        <v>36</v>
      </c>
      <c r="E257" t="s">
        <v>37</v>
      </c>
      <c r="F257" t="s">
        <v>17</v>
      </c>
      <c r="G257">
        <v>10.8</v>
      </c>
      <c r="H257" s="4">
        <f>_xlfn.XLOOKUP(tblWorkOrders5[[#This Row],[Trade]],tblLaborRates[Trade],tblLaborRates[Hourly Rate])</f>
        <v>79</v>
      </c>
      <c r="I257" s="4">
        <f>tblWorkOrders5[[#This Row],[Labor Hours]]*tblWorkOrders5[[#This Row],[Hourly Rate]]</f>
        <v>853.2</v>
      </c>
      <c r="J257" s="4">
        <f>_xlfn.XLOOKUP(tblWorkOrders5[[#This Row],[WO Number]],tblInvoices[WO Number],tblInvoices[Vendor Cost])</f>
        <v>3078.29</v>
      </c>
      <c r="K257" s="4">
        <f>tblWorkOrders5[[#This Row],[Labor Cost]]+tblWorkOrders5[[#This Row],[Vendor Cost]]</f>
        <v>3931.49</v>
      </c>
    </row>
    <row r="258" spans="1:11" x14ac:dyDescent="0.25">
      <c r="A258" t="s">
        <v>285</v>
      </c>
      <c r="B258" s="1">
        <v>45941</v>
      </c>
      <c r="C258" t="s">
        <v>8</v>
      </c>
      <c r="D258" t="s">
        <v>16</v>
      </c>
      <c r="E258" t="s">
        <v>16</v>
      </c>
      <c r="F258" t="s">
        <v>33</v>
      </c>
      <c r="G258">
        <v>5.6</v>
      </c>
      <c r="H258" s="4">
        <f>_xlfn.XLOOKUP(tblWorkOrders5[[#This Row],[Trade]],tblLaborRates[Trade],tblLaborRates[Hourly Rate])</f>
        <v>52</v>
      </c>
      <c r="I258" s="4">
        <f>tblWorkOrders5[[#This Row],[Labor Hours]]*tblWorkOrders5[[#This Row],[Hourly Rate]]</f>
        <v>291.2</v>
      </c>
      <c r="J258" s="4">
        <f>_xlfn.XLOOKUP(tblWorkOrders5[[#This Row],[WO Number]],tblInvoices[WO Number],tblInvoices[Vendor Cost])</f>
        <v>2706.44</v>
      </c>
      <c r="K258" s="4">
        <f>tblWorkOrders5[[#This Row],[Labor Cost]]+tblWorkOrders5[[#This Row],[Vendor Cost]]</f>
        <v>2997.64</v>
      </c>
    </row>
    <row r="259" spans="1:11" x14ac:dyDescent="0.25">
      <c r="A259" t="s">
        <v>286</v>
      </c>
      <c r="B259" s="1">
        <v>45797</v>
      </c>
      <c r="C259" t="s">
        <v>41</v>
      </c>
      <c r="D259" t="s">
        <v>16</v>
      </c>
      <c r="E259" t="s">
        <v>16</v>
      </c>
      <c r="F259" t="s">
        <v>39</v>
      </c>
      <c r="G259">
        <v>13.6</v>
      </c>
      <c r="H259" s="4">
        <f>_xlfn.XLOOKUP(tblWorkOrders5[[#This Row],[Trade]],tblLaborRates[Trade],tblLaborRates[Hourly Rate])</f>
        <v>52</v>
      </c>
      <c r="I259" s="4">
        <f>tblWorkOrders5[[#This Row],[Labor Hours]]*tblWorkOrders5[[#This Row],[Hourly Rate]]</f>
        <v>707.19999999999993</v>
      </c>
      <c r="J259" s="4">
        <f>_xlfn.XLOOKUP(tblWorkOrders5[[#This Row],[WO Number]],tblInvoices[WO Number],tblInvoices[Vendor Cost])</f>
        <v>457.24</v>
      </c>
      <c r="K259" s="4">
        <f>tblWorkOrders5[[#This Row],[Labor Cost]]+tblWorkOrders5[[#This Row],[Vendor Cost]]</f>
        <v>1164.44</v>
      </c>
    </row>
    <row r="260" spans="1:11" x14ac:dyDescent="0.25">
      <c r="A260" t="s">
        <v>287</v>
      </c>
      <c r="B260" s="1">
        <v>45771</v>
      </c>
      <c r="C260" t="s">
        <v>41</v>
      </c>
      <c r="D260" t="s">
        <v>36</v>
      </c>
      <c r="E260" t="s">
        <v>37</v>
      </c>
      <c r="F260" t="s">
        <v>17</v>
      </c>
      <c r="G260">
        <v>7.5</v>
      </c>
      <c r="H260" s="4">
        <f>_xlfn.XLOOKUP(tblWorkOrders5[[#This Row],[Trade]],tblLaborRates[Trade],tblLaborRates[Hourly Rate])</f>
        <v>79</v>
      </c>
      <c r="I260" s="4">
        <f>tblWorkOrders5[[#This Row],[Labor Hours]]*tblWorkOrders5[[#This Row],[Hourly Rate]]</f>
        <v>592.5</v>
      </c>
      <c r="J260" s="4">
        <f>_xlfn.XLOOKUP(tblWorkOrders5[[#This Row],[WO Number]],tblInvoices[WO Number],tblInvoices[Vendor Cost])</f>
        <v>1478.12</v>
      </c>
      <c r="K260" s="4">
        <f>tblWorkOrders5[[#This Row],[Labor Cost]]+tblWorkOrders5[[#This Row],[Vendor Cost]]</f>
        <v>2070.62</v>
      </c>
    </row>
    <row r="261" spans="1:11" x14ac:dyDescent="0.25">
      <c r="A261" t="s">
        <v>288</v>
      </c>
      <c r="B261" s="1">
        <v>45849</v>
      </c>
      <c r="C261" t="s">
        <v>23</v>
      </c>
      <c r="D261" t="s">
        <v>19</v>
      </c>
      <c r="E261" t="s">
        <v>20</v>
      </c>
      <c r="F261" t="s">
        <v>33</v>
      </c>
      <c r="G261">
        <v>6.9</v>
      </c>
      <c r="H261" s="4">
        <f>_xlfn.XLOOKUP(tblWorkOrders5[[#This Row],[Trade]],tblLaborRates[Trade],tblLaborRates[Hourly Rate])</f>
        <v>68</v>
      </c>
      <c r="I261" s="4">
        <f>tblWorkOrders5[[#This Row],[Labor Hours]]*tblWorkOrders5[[#This Row],[Hourly Rate]]</f>
        <v>469.20000000000005</v>
      </c>
      <c r="J261" s="4">
        <f>_xlfn.XLOOKUP(tblWorkOrders5[[#This Row],[WO Number]],tblInvoices[WO Number],tblInvoices[Vendor Cost])</f>
        <v>244.43</v>
      </c>
      <c r="K261" s="4">
        <f>tblWorkOrders5[[#This Row],[Labor Cost]]+tblWorkOrders5[[#This Row],[Vendor Cost]]</f>
        <v>713.63000000000011</v>
      </c>
    </row>
    <row r="262" spans="1:11" x14ac:dyDescent="0.25">
      <c r="A262" t="s">
        <v>289</v>
      </c>
      <c r="B262" s="1">
        <v>45708</v>
      </c>
      <c r="C262" t="s">
        <v>27</v>
      </c>
      <c r="D262" t="s">
        <v>31</v>
      </c>
      <c r="E262" t="s">
        <v>32</v>
      </c>
      <c r="F262" t="s">
        <v>39</v>
      </c>
      <c r="G262">
        <v>2.1</v>
      </c>
      <c r="H262" s="4">
        <f>_xlfn.XLOOKUP(tblWorkOrders5[[#This Row],[Trade]],tblLaborRates[Trade],tblLaborRates[Hourly Rate])</f>
        <v>82</v>
      </c>
      <c r="I262" s="4">
        <f>tblWorkOrders5[[#This Row],[Labor Hours]]*tblWorkOrders5[[#This Row],[Hourly Rate]]</f>
        <v>172.20000000000002</v>
      </c>
      <c r="J262" s="4">
        <f>_xlfn.XLOOKUP(tblWorkOrders5[[#This Row],[WO Number]],tblInvoices[WO Number],tblInvoices[Vendor Cost])</f>
        <v>3223.28</v>
      </c>
      <c r="K262" s="4">
        <f>tblWorkOrders5[[#This Row],[Labor Cost]]+tblWorkOrders5[[#This Row],[Vendor Cost]]</f>
        <v>3395.48</v>
      </c>
    </row>
    <row r="263" spans="1:11" x14ac:dyDescent="0.25">
      <c r="A263" t="s">
        <v>290</v>
      </c>
      <c r="B263" s="1">
        <v>45899</v>
      </c>
      <c r="C263" t="s">
        <v>23</v>
      </c>
      <c r="D263" t="s">
        <v>19</v>
      </c>
      <c r="E263" t="s">
        <v>20</v>
      </c>
      <c r="F263" t="s">
        <v>28</v>
      </c>
      <c r="G263">
        <v>10.4</v>
      </c>
      <c r="H263" s="4">
        <f>_xlfn.XLOOKUP(tblWorkOrders5[[#This Row],[Trade]],tblLaborRates[Trade],tblLaborRates[Hourly Rate])</f>
        <v>68</v>
      </c>
      <c r="I263" s="4">
        <f>tblWorkOrders5[[#This Row],[Labor Hours]]*tblWorkOrders5[[#This Row],[Hourly Rate]]</f>
        <v>707.2</v>
      </c>
      <c r="J263" s="4">
        <f>_xlfn.XLOOKUP(tblWorkOrders5[[#This Row],[WO Number]],tblInvoices[WO Number],tblInvoices[Vendor Cost])</f>
        <v>3184.62</v>
      </c>
      <c r="K263" s="4">
        <f>tblWorkOrders5[[#This Row],[Labor Cost]]+tblWorkOrders5[[#This Row],[Vendor Cost]]</f>
        <v>3891.8199999999997</v>
      </c>
    </row>
    <row r="264" spans="1:11" x14ac:dyDescent="0.25">
      <c r="A264" t="s">
        <v>291</v>
      </c>
      <c r="B264" s="1">
        <v>45667</v>
      </c>
      <c r="C264" t="s">
        <v>27</v>
      </c>
      <c r="D264" t="s">
        <v>31</v>
      </c>
      <c r="E264" t="s">
        <v>32</v>
      </c>
      <c r="F264" t="s">
        <v>39</v>
      </c>
      <c r="G264">
        <v>9.5</v>
      </c>
      <c r="H264" s="4">
        <f>_xlfn.XLOOKUP(tblWorkOrders5[[#This Row],[Trade]],tblLaborRates[Trade],tblLaborRates[Hourly Rate])</f>
        <v>82</v>
      </c>
      <c r="I264" s="4">
        <f>tblWorkOrders5[[#This Row],[Labor Hours]]*tblWorkOrders5[[#This Row],[Hourly Rate]]</f>
        <v>779</v>
      </c>
      <c r="J264" s="4">
        <f>_xlfn.XLOOKUP(tblWorkOrders5[[#This Row],[WO Number]],tblInvoices[WO Number],tblInvoices[Vendor Cost])</f>
        <v>2586.2399999999998</v>
      </c>
      <c r="K264" s="4">
        <f>tblWorkOrders5[[#This Row],[Labor Cost]]+tblWorkOrders5[[#This Row],[Vendor Cost]]</f>
        <v>3365.24</v>
      </c>
    </row>
    <row r="265" spans="1:11" x14ac:dyDescent="0.25">
      <c r="A265" t="s">
        <v>292</v>
      </c>
      <c r="B265" s="1">
        <v>45928</v>
      </c>
      <c r="C265" t="s">
        <v>41</v>
      </c>
      <c r="D265" t="s">
        <v>9</v>
      </c>
      <c r="E265" t="s">
        <v>10</v>
      </c>
      <c r="F265" t="s">
        <v>11</v>
      </c>
      <c r="G265">
        <v>4.9000000000000004</v>
      </c>
      <c r="H265" s="4">
        <f>_xlfn.XLOOKUP(tblWorkOrders5[[#This Row],[Trade]],tblLaborRates[Trade],tblLaborRates[Hourly Rate])</f>
        <v>75</v>
      </c>
      <c r="I265" s="4">
        <f>tblWorkOrders5[[#This Row],[Labor Hours]]*tblWorkOrders5[[#This Row],[Hourly Rate]]</f>
        <v>367.5</v>
      </c>
      <c r="J265" s="4">
        <f>_xlfn.XLOOKUP(tblWorkOrders5[[#This Row],[WO Number]],tblInvoices[WO Number],tblInvoices[Vendor Cost])</f>
        <v>558.19000000000005</v>
      </c>
      <c r="K265" s="4">
        <f>tblWorkOrders5[[#This Row],[Labor Cost]]+tblWorkOrders5[[#This Row],[Vendor Cost]]</f>
        <v>925.69</v>
      </c>
    </row>
    <row r="266" spans="1:11" x14ac:dyDescent="0.25">
      <c r="A266" t="s">
        <v>293</v>
      </c>
      <c r="B266" s="1">
        <v>45780</v>
      </c>
      <c r="C266" t="s">
        <v>41</v>
      </c>
      <c r="D266" t="s">
        <v>16</v>
      </c>
      <c r="E266" t="s">
        <v>16</v>
      </c>
      <c r="F266" t="s">
        <v>28</v>
      </c>
      <c r="G266">
        <v>2.4</v>
      </c>
      <c r="H266" s="4">
        <f>_xlfn.XLOOKUP(tblWorkOrders5[[#This Row],[Trade]],tblLaborRates[Trade],tblLaborRates[Hourly Rate])</f>
        <v>52</v>
      </c>
      <c r="I266" s="4">
        <f>tblWorkOrders5[[#This Row],[Labor Hours]]*tblWorkOrders5[[#This Row],[Hourly Rate]]</f>
        <v>124.8</v>
      </c>
      <c r="J266" s="4">
        <f>_xlfn.XLOOKUP(tblWorkOrders5[[#This Row],[WO Number]],tblInvoices[WO Number],tblInvoices[Vendor Cost])</f>
        <v>2952.9</v>
      </c>
      <c r="K266" s="4">
        <f>tblWorkOrders5[[#This Row],[Labor Cost]]+tblWorkOrders5[[#This Row],[Vendor Cost]]</f>
        <v>3077.7000000000003</v>
      </c>
    </row>
    <row r="267" spans="1:11" x14ac:dyDescent="0.25">
      <c r="A267" t="s">
        <v>294</v>
      </c>
      <c r="B267" s="1">
        <v>45913</v>
      </c>
      <c r="C267" t="s">
        <v>13</v>
      </c>
      <c r="D267" t="s">
        <v>16</v>
      </c>
      <c r="E267" t="s">
        <v>16</v>
      </c>
      <c r="F267" t="s">
        <v>17</v>
      </c>
      <c r="G267">
        <v>10.7</v>
      </c>
      <c r="H267" s="4">
        <f>_xlfn.XLOOKUP(tblWorkOrders5[[#This Row],[Trade]],tblLaborRates[Trade],tblLaborRates[Hourly Rate])</f>
        <v>52</v>
      </c>
      <c r="I267" s="4">
        <f>tblWorkOrders5[[#This Row],[Labor Hours]]*tblWorkOrders5[[#This Row],[Hourly Rate]]</f>
        <v>556.4</v>
      </c>
      <c r="J267" s="4">
        <f>_xlfn.XLOOKUP(tblWorkOrders5[[#This Row],[WO Number]],tblInvoices[WO Number],tblInvoices[Vendor Cost])</f>
        <v>2076.41</v>
      </c>
      <c r="K267" s="4">
        <f>tblWorkOrders5[[#This Row],[Labor Cost]]+tblWorkOrders5[[#This Row],[Vendor Cost]]</f>
        <v>2632.81</v>
      </c>
    </row>
    <row r="268" spans="1:11" x14ac:dyDescent="0.25">
      <c r="A268" t="s">
        <v>295</v>
      </c>
      <c r="B268" s="1">
        <v>45731</v>
      </c>
      <c r="C268" t="s">
        <v>27</v>
      </c>
      <c r="D268" t="s">
        <v>19</v>
      </c>
      <c r="E268" t="s">
        <v>20</v>
      </c>
      <c r="F268" t="s">
        <v>17</v>
      </c>
      <c r="G268">
        <v>10.4</v>
      </c>
      <c r="H268" s="4">
        <f>_xlfn.XLOOKUP(tblWorkOrders5[[#This Row],[Trade]],tblLaborRates[Trade],tblLaborRates[Hourly Rate])</f>
        <v>68</v>
      </c>
      <c r="I268" s="4">
        <f>tblWorkOrders5[[#This Row],[Labor Hours]]*tblWorkOrders5[[#This Row],[Hourly Rate]]</f>
        <v>707.2</v>
      </c>
      <c r="J268" s="4">
        <f>_xlfn.XLOOKUP(tblWorkOrders5[[#This Row],[WO Number]],tblInvoices[WO Number],tblInvoices[Vendor Cost])</f>
        <v>955.89</v>
      </c>
      <c r="K268" s="4">
        <f>tblWorkOrders5[[#This Row],[Labor Cost]]+tblWorkOrders5[[#This Row],[Vendor Cost]]</f>
        <v>1663.0900000000001</v>
      </c>
    </row>
    <row r="269" spans="1:11" x14ac:dyDescent="0.25">
      <c r="A269" t="s">
        <v>296</v>
      </c>
      <c r="B269" s="1">
        <v>45871</v>
      </c>
      <c r="C269" t="s">
        <v>23</v>
      </c>
      <c r="D269" t="s">
        <v>9</v>
      </c>
      <c r="E269" t="s">
        <v>10</v>
      </c>
      <c r="F269" t="s">
        <v>24</v>
      </c>
      <c r="G269">
        <v>2.5</v>
      </c>
      <c r="H269" s="4">
        <f>_xlfn.XLOOKUP(tblWorkOrders5[[#This Row],[Trade]],tblLaborRates[Trade],tblLaborRates[Hourly Rate])</f>
        <v>75</v>
      </c>
      <c r="I269" s="4">
        <f>tblWorkOrders5[[#This Row],[Labor Hours]]*tblWorkOrders5[[#This Row],[Hourly Rate]]</f>
        <v>187.5</v>
      </c>
      <c r="J269" s="4">
        <f>_xlfn.XLOOKUP(tblWorkOrders5[[#This Row],[WO Number]],tblInvoices[WO Number],tblInvoices[Vendor Cost])</f>
        <v>1912.3</v>
      </c>
      <c r="K269" s="4">
        <f>tblWorkOrders5[[#This Row],[Labor Cost]]+tblWorkOrders5[[#This Row],[Vendor Cost]]</f>
        <v>2099.8000000000002</v>
      </c>
    </row>
    <row r="270" spans="1:11" x14ac:dyDescent="0.25">
      <c r="A270" t="s">
        <v>297</v>
      </c>
      <c r="B270" s="1">
        <v>45917</v>
      </c>
      <c r="C270" t="s">
        <v>13</v>
      </c>
      <c r="D270" t="s">
        <v>16</v>
      </c>
      <c r="E270" t="s">
        <v>16</v>
      </c>
      <c r="F270" t="s">
        <v>17</v>
      </c>
      <c r="G270">
        <v>7.2</v>
      </c>
      <c r="H270" s="4">
        <f>_xlfn.XLOOKUP(tblWorkOrders5[[#This Row],[Trade]],tblLaborRates[Trade],tblLaborRates[Hourly Rate])</f>
        <v>52</v>
      </c>
      <c r="I270" s="4">
        <f>tblWorkOrders5[[#This Row],[Labor Hours]]*tblWorkOrders5[[#This Row],[Hourly Rate]]</f>
        <v>374.40000000000003</v>
      </c>
      <c r="J270" s="4">
        <f>_xlfn.XLOOKUP(tblWorkOrders5[[#This Row],[WO Number]],tblInvoices[WO Number],tblInvoices[Vendor Cost])</f>
        <v>1724.95</v>
      </c>
      <c r="K270" s="4">
        <f>tblWorkOrders5[[#This Row],[Labor Cost]]+tblWorkOrders5[[#This Row],[Vendor Cost]]</f>
        <v>2099.35</v>
      </c>
    </row>
    <row r="271" spans="1:11" x14ac:dyDescent="0.25">
      <c r="A271" t="s">
        <v>298</v>
      </c>
      <c r="B271" s="1">
        <v>45983</v>
      </c>
      <c r="C271" t="s">
        <v>41</v>
      </c>
      <c r="D271" t="s">
        <v>36</v>
      </c>
      <c r="E271" t="s">
        <v>37</v>
      </c>
      <c r="F271" t="s">
        <v>11</v>
      </c>
      <c r="G271">
        <v>12.3</v>
      </c>
      <c r="H271" s="4">
        <f>_xlfn.XLOOKUP(tblWorkOrders5[[#This Row],[Trade]],tblLaborRates[Trade],tblLaborRates[Hourly Rate])</f>
        <v>79</v>
      </c>
      <c r="I271" s="4">
        <f>tblWorkOrders5[[#This Row],[Labor Hours]]*tblWorkOrders5[[#This Row],[Hourly Rate]]</f>
        <v>971.7</v>
      </c>
      <c r="J271" s="4">
        <f>_xlfn.XLOOKUP(tblWorkOrders5[[#This Row],[WO Number]],tblInvoices[WO Number],tblInvoices[Vendor Cost])</f>
        <v>1346.26</v>
      </c>
      <c r="K271" s="4">
        <f>tblWorkOrders5[[#This Row],[Labor Cost]]+tblWorkOrders5[[#This Row],[Vendor Cost]]</f>
        <v>2317.96</v>
      </c>
    </row>
    <row r="272" spans="1:11" x14ac:dyDescent="0.25">
      <c r="A272" t="s">
        <v>299</v>
      </c>
      <c r="B272" s="1">
        <v>45692</v>
      </c>
      <c r="C272" t="s">
        <v>27</v>
      </c>
      <c r="D272" t="s">
        <v>31</v>
      </c>
      <c r="E272" t="s">
        <v>32</v>
      </c>
      <c r="F272" t="s">
        <v>33</v>
      </c>
      <c r="G272">
        <v>12.7</v>
      </c>
      <c r="H272" s="4">
        <f>_xlfn.XLOOKUP(tblWorkOrders5[[#This Row],[Trade]],tblLaborRates[Trade],tblLaborRates[Hourly Rate])</f>
        <v>82</v>
      </c>
      <c r="I272" s="4">
        <f>tblWorkOrders5[[#This Row],[Labor Hours]]*tblWorkOrders5[[#This Row],[Hourly Rate]]</f>
        <v>1041.3999999999999</v>
      </c>
      <c r="J272" s="4">
        <f>_xlfn.XLOOKUP(tblWorkOrders5[[#This Row],[WO Number]],tblInvoices[WO Number],tblInvoices[Vendor Cost])</f>
        <v>2612.88</v>
      </c>
      <c r="K272" s="4">
        <f>tblWorkOrders5[[#This Row],[Labor Cost]]+tblWorkOrders5[[#This Row],[Vendor Cost]]</f>
        <v>3654.2799999999997</v>
      </c>
    </row>
    <row r="273" spans="1:11" x14ac:dyDescent="0.25">
      <c r="A273" t="s">
        <v>300</v>
      </c>
      <c r="B273" s="1">
        <v>45828</v>
      </c>
      <c r="C273" t="s">
        <v>23</v>
      </c>
      <c r="D273" t="s">
        <v>9</v>
      </c>
      <c r="E273" t="s">
        <v>10</v>
      </c>
      <c r="F273" t="s">
        <v>24</v>
      </c>
      <c r="G273">
        <v>9.4</v>
      </c>
      <c r="H273" s="4">
        <f>_xlfn.XLOOKUP(tblWorkOrders5[[#This Row],[Trade]],tblLaborRates[Trade],tblLaborRates[Hourly Rate])</f>
        <v>75</v>
      </c>
      <c r="I273" s="4">
        <f>tblWorkOrders5[[#This Row],[Labor Hours]]*tblWorkOrders5[[#This Row],[Hourly Rate]]</f>
        <v>705</v>
      </c>
      <c r="J273" s="4">
        <f>_xlfn.XLOOKUP(tblWorkOrders5[[#This Row],[WO Number]],tblInvoices[WO Number],tblInvoices[Vendor Cost])</f>
        <v>2875.25</v>
      </c>
      <c r="K273" s="4">
        <f>tblWorkOrders5[[#This Row],[Labor Cost]]+tblWorkOrders5[[#This Row],[Vendor Cost]]</f>
        <v>3580.25</v>
      </c>
    </row>
    <row r="274" spans="1:11" x14ac:dyDescent="0.25">
      <c r="A274" t="s">
        <v>301</v>
      </c>
      <c r="B274" s="1">
        <v>45747</v>
      </c>
      <c r="C274" t="s">
        <v>41</v>
      </c>
      <c r="D274" t="s">
        <v>19</v>
      </c>
      <c r="E274" t="s">
        <v>20</v>
      </c>
      <c r="F274" t="s">
        <v>39</v>
      </c>
      <c r="G274">
        <v>13.3</v>
      </c>
      <c r="H274" s="4">
        <f>_xlfn.XLOOKUP(tblWorkOrders5[[#This Row],[Trade]],tblLaborRates[Trade],tblLaborRates[Hourly Rate])</f>
        <v>68</v>
      </c>
      <c r="I274" s="4">
        <f>tblWorkOrders5[[#This Row],[Labor Hours]]*tblWorkOrders5[[#This Row],[Hourly Rate]]</f>
        <v>904.40000000000009</v>
      </c>
      <c r="J274" s="4">
        <f>_xlfn.XLOOKUP(tblWorkOrders5[[#This Row],[WO Number]],tblInvoices[WO Number],tblInvoices[Vendor Cost])</f>
        <v>361.39</v>
      </c>
      <c r="K274" s="4">
        <f>tblWorkOrders5[[#This Row],[Labor Cost]]+tblWorkOrders5[[#This Row],[Vendor Cost]]</f>
        <v>1265.79</v>
      </c>
    </row>
    <row r="275" spans="1:11" x14ac:dyDescent="0.25">
      <c r="A275" t="s">
        <v>302</v>
      </c>
      <c r="B275" s="1">
        <v>45892</v>
      </c>
      <c r="C275" t="s">
        <v>8</v>
      </c>
      <c r="D275" t="s">
        <v>36</v>
      </c>
      <c r="E275" t="s">
        <v>37</v>
      </c>
      <c r="F275" t="s">
        <v>21</v>
      </c>
      <c r="G275">
        <v>2.1</v>
      </c>
      <c r="H275" s="4">
        <f>_xlfn.XLOOKUP(tblWorkOrders5[[#This Row],[Trade]],tblLaborRates[Trade],tblLaborRates[Hourly Rate])</f>
        <v>79</v>
      </c>
      <c r="I275" s="4">
        <f>tblWorkOrders5[[#This Row],[Labor Hours]]*tblWorkOrders5[[#This Row],[Hourly Rate]]</f>
        <v>165.9</v>
      </c>
      <c r="J275" s="4">
        <f>_xlfn.XLOOKUP(tblWorkOrders5[[#This Row],[WO Number]],tblInvoices[WO Number],tblInvoices[Vendor Cost])</f>
        <v>818.22</v>
      </c>
      <c r="K275" s="4">
        <f>tblWorkOrders5[[#This Row],[Labor Cost]]+tblWorkOrders5[[#This Row],[Vendor Cost]]</f>
        <v>984.12</v>
      </c>
    </row>
    <row r="276" spans="1:11" x14ac:dyDescent="0.25">
      <c r="A276" t="s">
        <v>303</v>
      </c>
      <c r="B276" s="1">
        <v>45679</v>
      </c>
      <c r="C276" t="s">
        <v>27</v>
      </c>
      <c r="D276" t="s">
        <v>36</v>
      </c>
      <c r="E276" t="s">
        <v>37</v>
      </c>
      <c r="F276" t="s">
        <v>14</v>
      </c>
      <c r="G276">
        <v>15.8</v>
      </c>
      <c r="H276" s="4">
        <f>_xlfn.XLOOKUP(tblWorkOrders5[[#This Row],[Trade]],tblLaborRates[Trade],tblLaborRates[Hourly Rate])</f>
        <v>79</v>
      </c>
      <c r="I276" s="4">
        <f>tblWorkOrders5[[#This Row],[Labor Hours]]*tblWorkOrders5[[#This Row],[Hourly Rate]]</f>
        <v>1248.2</v>
      </c>
      <c r="J276" s="4">
        <f>_xlfn.XLOOKUP(tblWorkOrders5[[#This Row],[WO Number]],tblInvoices[WO Number],tblInvoices[Vendor Cost])</f>
        <v>1969.15</v>
      </c>
      <c r="K276" s="4">
        <f>tblWorkOrders5[[#This Row],[Labor Cost]]+tblWorkOrders5[[#This Row],[Vendor Cost]]</f>
        <v>3217.3500000000004</v>
      </c>
    </row>
    <row r="277" spans="1:11" x14ac:dyDescent="0.25">
      <c r="A277" t="s">
        <v>304</v>
      </c>
      <c r="B277" s="1">
        <v>45787</v>
      </c>
      <c r="C277" t="s">
        <v>8</v>
      </c>
      <c r="D277" t="s">
        <v>31</v>
      </c>
      <c r="E277" t="s">
        <v>32</v>
      </c>
      <c r="F277" t="s">
        <v>11</v>
      </c>
      <c r="G277">
        <v>6.7</v>
      </c>
      <c r="H277" s="4">
        <f>_xlfn.XLOOKUP(tblWorkOrders5[[#This Row],[Trade]],tblLaborRates[Trade],tblLaborRates[Hourly Rate])</f>
        <v>82</v>
      </c>
      <c r="I277" s="4">
        <f>tblWorkOrders5[[#This Row],[Labor Hours]]*tblWorkOrders5[[#This Row],[Hourly Rate]]</f>
        <v>549.4</v>
      </c>
      <c r="J277" s="4">
        <f>_xlfn.XLOOKUP(tblWorkOrders5[[#This Row],[WO Number]],tblInvoices[WO Number],tblInvoices[Vendor Cost])</f>
        <v>2765.82</v>
      </c>
      <c r="K277" s="4">
        <f>tblWorkOrders5[[#This Row],[Labor Cost]]+tblWorkOrders5[[#This Row],[Vendor Cost]]</f>
        <v>3315.2200000000003</v>
      </c>
    </row>
    <row r="278" spans="1:11" x14ac:dyDescent="0.25">
      <c r="A278" t="s">
        <v>305</v>
      </c>
      <c r="B278" s="1">
        <v>45993</v>
      </c>
      <c r="C278" t="s">
        <v>27</v>
      </c>
      <c r="D278" t="s">
        <v>36</v>
      </c>
      <c r="E278" t="s">
        <v>37</v>
      </c>
      <c r="F278" t="s">
        <v>33</v>
      </c>
      <c r="G278">
        <v>13.1</v>
      </c>
      <c r="H278" s="4">
        <f>_xlfn.XLOOKUP(tblWorkOrders5[[#This Row],[Trade]],tblLaborRates[Trade],tblLaborRates[Hourly Rate])</f>
        <v>79</v>
      </c>
      <c r="I278" s="4">
        <f>tblWorkOrders5[[#This Row],[Labor Hours]]*tblWorkOrders5[[#This Row],[Hourly Rate]]</f>
        <v>1034.8999999999999</v>
      </c>
      <c r="J278" s="4">
        <f>_xlfn.XLOOKUP(tblWorkOrders5[[#This Row],[WO Number]],tblInvoices[WO Number],tblInvoices[Vendor Cost])</f>
        <v>1613.79</v>
      </c>
      <c r="K278" s="4">
        <f>tblWorkOrders5[[#This Row],[Labor Cost]]+tblWorkOrders5[[#This Row],[Vendor Cost]]</f>
        <v>2648.6899999999996</v>
      </c>
    </row>
    <row r="279" spans="1:11" x14ac:dyDescent="0.25">
      <c r="A279" t="s">
        <v>306</v>
      </c>
      <c r="B279" s="1">
        <v>45862</v>
      </c>
      <c r="C279" t="s">
        <v>41</v>
      </c>
      <c r="D279" t="s">
        <v>19</v>
      </c>
      <c r="E279" t="s">
        <v>20</v>
      </c>
      <c r="F279" t="s">
        <v>24</v>
      </c>
      <c r="G279">
        <v>15.6</v>
      </c>
      <c r="H279" s="4">
        <f>_xlfn.XLOOKUP(tblWorkOrders5[[#This Row],[Trade]],tblLaborRates[Trade],tblLaborRates[Hourly Rate])</f>
        <v>68</v>
      </c>
      <c r="I279" s="4">
        <f>tblWorkOrders5[[#This Row],[Labor Hours]]*tblWorkOrders5[[#This Row],[Hourly Rate]]</f>
        <v>1060.8</v>
      </c>
      <c r="J279" s="4">
        <f>_xlfn.XLOOKUP(tblWorkOrders5[[#This Row],[WO Number]],tblInvoices[WO Number],tblInvoices[Vendor Cost])</f>
        <v>1812.28</v>
      </c>
      <c r="K279" s="4">
        <f>tblWorkOrders5[[#This Row],[Labor Cost]]+tblWorkOrders5[[#This Row],[Vendor Cost]]</f>
        <v>2873.08</v>
      </c>
    </row>
    <row r="280" spans="1:11" x14ac:dyDescent="0.25">
      <c r="A280" t="s">
        <v>307</v>
      </c>
      <c r="B280" s="1">
        <v>45912</v>
      </c>
      <c r="C280" t="s">
        <v>27</v>
      </c>
      <c r="D280" t="s">
        <v>16</v>
      </c>
      <c r="E280" t="s">
        <v>16</v>
      </c>
      <c r="F280" t="s">
        <v>11</v>
      </c>
      <c r="G280">
        <v>13.1</v>
      </c>
      <c r="H280" s="4">
        <f>_xlfn.XLOOKUP(tblWorkOrders5[[#This Row],[Trade]],tblLaborRates[Trade],tblLaborRates[Hourly Rate])</f>
        <v>52</v>
      </c>
      <c r="I280" s="4">
        <f>tblWorkOrders5[[#This Row],[Labor Hours]]*tblWorkOrders5[[#This Row],[Hourly Rate]]</f>
        <v>681.19999999999993</v>
      </c>
      <c r="J280" s="4">
        <f>_xlfn.XLOOKUP(tblWorkOrders5[[#This Row],[WO Number]],tblInvoices[WO Number],tblInvoices[Vendor Cost])</f>
        <v>2585.7199999999998</v>
      </c>
      <c r="K280" s="4">
        <f>tblWorkOrders5[[#This Row],[Labor Cost]]+tblWorkOrders5[[#This Row],[Vendor Cost]]</f>
        <v>3266.9199999999996</v>
      </c>
    </row>
    <row r="281" spans="1:11" x14ac:dyDescent="0.25">
      <c r="A281" t="s">
        <v>308</v>
      </c>
      <c r="B281" s="1">
        <v>45698</v>
      </c>
      <c r="C281" t="s">
        <v>41</v>
      </c>
      <c r="D281" t="s">
        <v>16</v>
      </c>
      <c r="E281" t="s">
        <v>16</v>
      </c>
      <c r="F281" t="s">
        <v>39</v>
      </c>
      <c r="G281">
        <v>9.4</v>
      </c>
      <c r="H281" s="4">
        <f>_xlfn.XLOOKUP(tblWorkOrders5[[#This Row],[Trade]],tblLaborRates[Trade],tblLaborRates[Hourly Rate])</f>
        <v>52</v>
      </c>
      <c r="I281" s="4">
        <f>tblWorkOrders5[[#This Row],[Labor Hours]]*tblWorkOrders5[[#This Row],[Hourly Rate]]</f>
        <v>488.8</v>
      </c>
      <c r="J281" s="4">
        <f>_xlfn.XLOOKUP(tblWorkOrders5[[#This Row],[WO Number]],tblInvoices[WO Number],tblInvoices[Vendor Cost])</f>
        <v>1226.06</v>
      </c>
      <c r="K281" s="4">
        <f>tblWorkOrders5[[#This Row],[Labor Cost]]+tblWorkOrders5[[#This Row],[Vendor Cost]]</f>
        <v>1714.86</v>
      </c>
    </row>
    <row r="282" spans="1:11" x14ac:dyDescent="0.25">
      <c r="A282" t="s">
        <v>309</v>
      </c>
      <c r="B282" s="1">
        <v>45698</v>
      </c>
      <c r="C282" t="s">
        <v>27</v>
      </c>
      <c r="D282" t="s">
        <v>36</v>
      </c>
      <c r="E282" t="s">
        <v>37</v>
      </c>
      <c r="F282" t="s">
        <v>11</v>
      </c>
      <c r="G282">
        <v>8</v>
      </c>
      <c r="H282" s="4">
        <f>_xlfn.XLOOKUP(tblWorkOrders5[[#This Row],[Trade]],tblLaborRates[Trade],tblLaborRates[Hourly Rate])</f>
        <v>79</v>
      </c>
      <c r="I282" s="4">
        <f>tblWorkOrders5[[#This Row],[Labor Hours]]*tblWorkOrders5[[#This Row],[Hourly Rate]]</f>
        <v>632</v>
      </c>
      <c r="J282" s="4">
        <f>_xlfn.XLOOKUP(tblWorkOrders5[[#This Row],[WO Number]],tblInvoices[WO Number],tblInvoices[Vendor Cost])</f>
        <v>2554.17</v>
      </c>
      <c r="K282" s="4">
        <f>tblWorkOrders5[[#This Row],[Labor Cost]]+tblWorkOrders5[[#This Row],[Vendor Cost]]</f>
        <v>3186.17</v>
      </c>
    </row>
    <row r="283" spans="1:11" x14ac:dyDescent="0.25">
      <c r="A283" t="s">
        <v>310</v>
      </c>
      <c r="B283" s="1">
        <v>45743</v>
      </c>
      <c r="C283" t="s">
        <v>41</v>
      </c>
      <c r="D283" t="s">
        <v>36</v>
      </c>
      <c r="E283" t="s">
        <v>37</v>
      </c>
      <c r="F283" t="s">
        <v>28</v>
      </c>
      <c r="G283">
        <v>2.1</v>
      </c>
      <c r="H283" s="4">
        <f>_xlfn.XLOOKUP(tblWorkOrders5[[#This Row],[Trade]],tblLaborRates[Trade],tblLaborRates[Hourly Rate])</f>
        <v>79</v>
      </c>
      <c r="I283" s="4">
        <f>tblWorkOrders5[[#This Row],[Labor Hours]]*tblWorkOrders5[[#This Row],[Hourly Rate]]</f>
        <v>165.9</v>
      </c>
      <c r="J283" s="4">
        <f>_xlfn.XLOOKUP(tblWorkOrders5[[#This Row],[WO Number]],tblInvoices[WO Number],tblInvoices[Vendor Cost])</f>
        <v>3064.62</v>
      </c>
      <c r="K283" s="4">
        <f>tblWorkOrders5[[#This Row],[Labor Cost]]+tblWorkOrders5[[#This Row],[Vendor Cost]]</f>
        <v>3230.52</v>
      </c>
    </row>
    <row r="284" spans="1:11" x14ac:dyDescent="0.25">
      <c r="A284" t="s">
        <v>311</v>
      </c>
      <c r="B284" s="1">
        <v>45838</v>
      </c>
      <c r="C284" t="s">
        <v>13</v>
      </c>
      <c r="D284" t="s">
        <v>19</v>
      </c>
      <c r="E284" t="s">
        <v>20</v>
      </c>
      <c r="F284" t="s">
        <v>11</v>
      </c>
      <c r="G284">
        <v>10.8</v>
      </c>
      <c r="H284" s="4">
        <f>_xlfn.XLOOKUP(tblWorkOrders5[[#This Row],[Trade]],tblLaborRates[Trade],tblLaborRates[Hourly Rate])</f>
        <v>68</v>
      </c>
      <c r="I284" s="4">
        <f>tblWorkOrders5[[#This Row],[Labor Hours]]*tblWorkOrders5[[#This Row],[Hourly Rate]]</f>
        <v>734.40000000000009</v>
      </c>
      <c r="J284" s="4">
        <f>_xlfn.XLOOKUP(tblWorkOrders5[[#This Row],[WO Number]],tblInvoices[WO Number],tblInvoices[Vendor Cost])</f>
        <v>2801.45</v>
      </c>
      <c r="K284" s="4">
        <f>tblWorkOrders5[[#This Row],[Labor Cost]]+tblWorkOrders5[[#This Row],[Vendor Cost]]</f>
        <v>3535.85</v>
      </c>
    </row>
    <row r="285" spans="1:11" x14ac:dyDescent="0.25">
      <c r="A285" t="s">
        <v>312</v>
      </c>
      <c r="B285" s="1">
        <v>45687</v>
      </c>
      <c r="C285" t="s">
        <v>8</v>
      </c>
      <c r="D285" t="s">
        <v>19</v>
      </c>
      <c r="E285" t="s">
        <v>20</v>
      </c>
      <c r="F285" t="s">
        <v>24</v>
      </c>
      <c r="G285">
        <v>8.9</v>
      </c>
      <c r="H285" s="4">
        <f>_xlfn.XLOOKUP(tblWorkOrders5[[#This Row],[Trade]],tblLaborRates[Trade],tblLaborRates[Hourly Rate])</f>
        <v>68</v>
      </c>
      <c r="I285" s="4">
        <f>tblWorkOrders5[[#This Row],[Labor Hours]]*tblWorkOrders5[[#This Row],[Hourly Rate]]</f>
        <v>605.20000000000005</v>
      </c>
      <c r="J285" s="4">
        <f>_xlfn.XLOOKUP(tblWorkOrders5[[#This Row],[WO Number]],tblInvoices[WO Number],tblInvoices[Vendor Cost])</f>
        <v>2662.16</v>
      </c>
      <c r="K285" s="4">
        <f>tblWorkOrders5[[#This Row],[Labor Cost]]+tblWorkOrders5[[#This Row],[Vendor Cost]]</f>
        <v>3267.3599999999997</v>
      </c>
    </row>
    <row r="286" spans="1:11" x14ac:dyDescent="0.25">
      <c r="A286" t="s">
        <v>313</v>
      </c>
      <c r="B286" s="1">
        <v>45739</v>
      </c>
      <c r="C286" t="s">
        <v>8</v>
      </c>
      <c r="D286" t="s">
        <v>31</v>
      </c>
      <c r="E286" t="s">
        <v>32</v>
      </c>
      <c r="F286" t="s">
        <v>28</v>
      </c>
      <c r="G286">
        <v>2</v>
      </c>
      <c r="H286" s="4">
        <f>_xlfn.XLOOKUP(tblWorkOrders5[[#This Row],[Trade]],tblLaborRates[Trade],tblLaborRates[Hourly Rate])</f>
        <v>82</v>
      </c>
      <c r="I286" s="4">
        <f>tblWorkOrders5[[#This Row],[Labor Hours]]*tblWorkOrders5[[#This Row],[Hourly Rate]]</f>
        <v>164</v>
      </c>
      <c r="J286" s="4">
        <f>_xlfn.XLOOKUP(tblWorkOrders5[[#This Row],[WO Number]],tblInvoices[WO Number],tblInvoices[Vendor Cost])</f>
        <v>375.23</v>
      </c>
      <c r="K286" s="4">
        <f>tblWorkOrders5[[#This Row],[Labor Cost]]+tblWorkOrders5[[#This Row],[Vendor Cost]]</f>
        <v>539.23</v>
      </c>
    </row>
    <row r="287" spans="1:11" x14ac:dyDescent="0.25">
      <c r="A287" t="s">
        <v>314</v>
      </c>
      <c r="B287" s="1">
        <v>45988</v>
      </c>
      <c r="C287" t="s">
        <v>27</v>
      </c>
      <c r="D287" t="s">
        <v>36</v>
      </c>
      <c r="E287" t="s">
        <v>37</v>
      </c>
      <c r="F287" t="s">
        <v>14</v>
      </c>
      <c r="G287">
        <v>15.3</v>
      </c>
      <c r="H287" s="4">
        <f>_xlfn.XLOOKUP(tblWorkOrders5[[#This Row],[Trade]],tblLaborRates[Trade],tblLaborRates[Hourly Rate])</f>
        <v>79</v>
      </c>
      <c r="I287" s="4">
        <f>tblWorkOrders5[[#This Row],[Labor Hours]]*tblWorkOrders5[[#This Row],[Hourly Rate]]</f>
        <v>1208.7</v>
      </c>
      <c r="J287" s="4">
        <f>_xlfn.XLOOKUP(tblWorkOrders5[[#This Row],[WO Number]],tblInvoices[WO Number],tblInvoices[Vendor Cost])</f>
        <v>258.49</v>
      </c>
      <c r="K287" s="4">
        <f>tblWorkOrders5[[#This Row],[Labor Cost]]+tblWorkOrders5[[#This Row],[Vendor Cost]]</f>
        <v>1467.19</v>
      </c>
    </row>
    <row r="288" spans="1:11" x14ac:dyDescent="0.25">
      <c r="A288" t="s">
        <v>315</v>
      </c>
      <c r="B288" s="1">
        <v>45736</v>
      </c>
      <c r="C288" t="s">
        <v>41</v>
      </c>
      <c r="D288" t="s">
        <v>36</v>
      </c>
      <c r="E288" t="s">
        <v>37</v>
      </c>
      <c r="F288" t="s">
        <v>24</v>
      </c>
      <c r="G288">
        <v>7.9</v>
      </c>
      <c r="H288" s="4">
        <f>_xlfn.XLOOKUP(tblWorkOrders5[[#This Row],[Trade]],tblLaborRates[Trade],tblLaborRates[Hourly Rate])</f>
        <v>79</v>
      </c>
      <c r="I288" s="4">
        <f>tblWorkOrders5[[#This Row],[Labor Hours]]*tblWorkOrders5[[#This Row],[Hourly Rate]]</f>
        <v>624.1</v>
      </c>
      <c r="J288" s="4">
        <f>_xlfn.XLOOKUP(tblWorkOrders5[[#This Row],[WO Number]],tblInvoices[WO Number],tblInvoices[Vendor Cost])</f>
        <v>407.57</v>
      </c>
      <c r="K288" s="4">
        <f>tblWorkOrders5[[#This Row],[Labor Cost]]+tblWorkOrders5[[#This Row],[Vendor Cost]]</f>
        <v>1031.67</v>
      </c>
    </row>
    <row r="289" spans="1:11" x14ac:dyDescent="0.25">
      <c r="A289" t="s">
        <v>316</v>
      </c>
      <c r="B289" s="1">
        <v>45728</v>
      </c>
      <c r="C289" t="s">
        <v>13</v>
      </c>
      <c r="D289" t="s">
        <v>36</v>
      </c>
      <c r="E289" t="s">
        <v>37</v>
      </c>
      <c r="F289" t="s">
        <v>14</v>
      </c>
      <c r="G289">
        <v>6.1</v>
      </c>
      <c r="H289" s="4">
        <f>_xlfn.XLOOKUP(tblWorkOrders5[[#This Row],[Trade]],tblLaborRates[Trade],tblLaborRates[Hourly Rate])</f>
        <v>79</v>
      </c>
      <c r="I289" s="4">
        <f>tblWorkOrders5[[#This Row],[Labor Hours]]*tblWorkOrders5[[#This Row],[Hourly Rate]]</f>
        <v>481.9</v>
      </c>
      <c r="J289" s="4">
        <f>_xlfn.XLOOKUP(tblWorkOrders5[[#This Row],[WO Number]],tblInvoices[WO Number],tblInvoices[Vendor Cost])</f>
        <v>1083.6099999999999</v>
      </c>
      <c r="K289" s="4">
        <f>tblWorkOrders5[[#This Row],[Labor Cost]]+tblWorkOrders5[[#This Row],[Vendor Cost]]</f>
        <v>1565.5099999999998</v>
      </c>
    </row>
    <row r="290" spans="1:11" x14ac:dyDescent="0.25">
      <c r="A290" t="s">
        <v>317</v>
      </c>
      <c r="B290" s="1">
        <v>45716</v>
      </c>
      <c r="C290" t="s">
        <v>8</v>
      </c>
      <c r="D290" t="s">
        <v>31</v>
      </c>
      <c r="E290" t="s">
        <v>32</v>
      </c>
      <c r="F290" t="s">
        <v>28</v>
      </c>
      <c r="G290">
        <v>9</v>
      </c>
      <c r="H290" s="4">
        <f>_xlfn.XLOOKUP(tblWorkOrders5[[#This Row],[Trade]],tblLaborRates[Trade],tblLaborRates[Hourly Rate])</f>
        <v>82</v>
      </c>
      <c r="I290" s="4">
        <f>tblWorkOrders5[[#This Row],[Labor Hours]]*tblWorkOrders5[[#This Row],[Hourly Rate]]</f>
        <v>738</v>
      </c>
      <c r="J290" s="4">
        <f>_xlfn.XLOOKUP(tblWorkOrders5[[#This Row],[WO Number]],tblInvoices[WO Number],tblInvoices[Vendor Cost])</f>
        <v>3210.37</v>
      </c>
      <c r="K290" s="4">
        <f>tblWorkOrders5[[#This Row],[Labor Cost]]+tblWorkOrders5[[#This Row],[Vendor Cost]]</f>
        <v>3948.37</v>
      </c>
    </row>
    <row r="291" spans="1:11" x14ac:dyDescent="0.25">
      <c r="A291" t="s">
        <v>318</v>
      </c>
      <c r="B291" s="1">
        <v>45718</v>
      </c>
      <c r="C291" t="s">
        <v>27</v>
      </c>
      <c r="D291" t="s">
        <v>36</v>
      </c>
      <c r="E291" t="s">
        <v>37</v>
      </c>
      <c r="F291" t="s">
        <v>28</v>
      </c>
      <c r="G291">
        <v>4.5999999999999996</v>
      </c>
      <c r="H291" s="4">
        <f>_xlfn.XLOOKUP(tblWorkOrders5[[#This Row],[Trade]],tblLaborRates[Trade],tblLaborRates[Hourly Rate])</f>
        <v>79</v>
      </c>
      <c r="I291" s="4">
        <f>tblWorkOrders5[[#This Row],[Labor Hours]]*tblWorkOrders5[[#This Row],[Hourly Rate]]</f>
        <v>363.4</v>
      </c>
      <c r="J291" s="4">
        <f>_xlfn.XLOOKUP(tblWorkOrders5[[#This Row],[WO Number]],tblInvoices[WO Number],tblInvoices[Vendor Cost])</f>
        <v>2199.79</v>
      </c>
      <c r="K291" s="4">
        <f>tblWorkOrders5[[#This Row],[Labor Cost]]+tblWorkOrders5[[#This Row],[Vendor Cost]]</f>
        <v>2563.19</v>
      </c>
    </row>
    <row r="292" spans="1:11" x14ac:dyDescent="0.25">
      <c r="A292" t="s">
        <v>319</v>
      </c>
      <c r="B292" s="1">
        <v>46013</v>
      </c>
      <c r="C292" t="s">
        <v>41</v>
      </c>
      <c r="D292" t="s">
        <v>31</v>
      </c>
      <c r="E292" t="s">
        <v>32</v>
      </c>
      <c r="F292" t="s">
        <v>33</v>
      </c>
      <c r="G292">
        <v>3.5</v>
      </c>
      <c r="H292" s="4">
        <f>_xlfn.XLOOKUP(tblWorkOrders5[[#This Row],[Trade]],tblLaborRates[Trade],tblLaborRates[Hourly Rate])</f>
        <v>82</v>
      </c>
      <c r="I292" s="4">
        <f>tblWorkOrders5[[#This Row],[Labor Hours]]*tblWorkOrders5[[#This Row],[Hourly Rate]]</f>
        <v>287</v>
      </c>
      <c r="J292" s="4">
        <f>_xlfn.XLOOKUP(tblWorkOrders5[[#This Row],[WO Number]],tblInvoices[WO Number],tblInvoices[Vendor Cost])</f>
        <v>398.07</v>
      </c>
      <c r="K292" s="4">
        <f>tblWorkOrders5[[#This Row],[Labor Cost]]+tblWorkOrders5[[#This Row],[Vendor Cost]]</f>
        <v>685.06999999999994</v>
      </c>
    </row>
    <row r="293" spans="1:11" x14ac:dyDescent="0.25">
      <c r="A293" t="s">
        <v>320</v>
      </c>
      <c r="B293" s="1">
        <v>45746</v>
      </c>
      <c r="C293" t="s">
        <v>41</v>
      </c>
      <c r="D293" t="s">
        <v>9</v>
      </c>
      <c r="E293" t="s">
        <v>10</v>
      </c>
      <c r="F293" t="s">
        <v>24</v>
      </c>
      <c r="G293">
        <v>11.2</v>
      </c>
      <c r="H293" s="4">
        <f>_xlfn.XLOOKUP(tblWorkOrders5[[#This Row],[Trade]],tblLaborRates[Trade],tblLaborRates[Hourly Rate])</f>
        <v>75</v>
      </c>
      <c r="I293" s="4">
        <f>tblWorkOrders5[[#This Row],[Labor Hours]]*tblWorkOrders5[[#This Row],[Hourly Rate]]</f>
        <v>840</v>
      </c>
      <c r="J293" s="4">
        <f>_xlfn.XLOOKUP(tblWorkOrders5[[#This Row],[WO Number]],tblInvoices[WO Number],tblInvoices[Vendor Cost])</f>
        <v>2526.96</v>
      </c>
      <c r="K293" s="4">
        <f>tblWorkOrders5[[#This Row],[Labor Cost]]+tblWorkOrders5[[#This Row],[Vendor Cost]]</f>
        <v>3366.96</v>
      </c>
    </row>
    <row r="294" spans="1:11" x14ac:dyDescent="0.25">
      <c r="A294" t="s">
        <v>321</v>
      </c>
      <c r="B294" s="1">
        <v>45939</v>
      </c>
      <c r="C294" t="s">
        <v>13</v>
      </c>
      <c r="D294" t="s">
        <v>36</v>
      </c>
      <c r="E294" t="s">
        <v>37</v>
      </c>
      <c r="F294" t="s">
        <v>11</v>
      </c>
      <c r="G294">
        <v>13.8</v>
      </c>
      <c r="H294" s="4">
        <f>_xlfn.XLOOKUP(tblWorkOrders5[[#This Row],[Trade]],tblLaborRates[Trade],tblLaborRates[Hourly Rate])</f>
        <v>79</v>
      </c>
      <c r="I294" s="4">
        <f>tblWorkOrders5[[#This Row],[Labor Hours]]*tblWorkOrders5[[#This Row],[Hourly Rate]]</f>
        <v>1090.2</v>
      </c>
      <c r="J294" s="4">
        <f>_xlfn.XLOOKUP(tblWorkOrders5[[#This Row],[WO Number]],tblInvoices[WO Number],tblInvoices[Vendor Cost])</f>
        <v>2534.56</v>
      </c>
      <c r="K294" s="4">
        <f>tblWorkOrders5[[#This Row],[Labor Cost]]+tblWorkOrders5[[#This Row],[Vendor Cost]]</f>
        <v>3624.76</v>
      </c>
    </row>
    <row r="295" spans="1:11" x14ac:dyDescent="0.25">
      <c r="A295" t="s">
        <v>322</v>
      </c>
      <c r="B295" s="1">
        <v>46016</v>
      </c>
      <c r="C295" t="s">
        <v>23</v>
      </c>
      <c r="D295" t="s">
        <v>36</v>
      </c>
      <c r="E295" t="s">
        <v>37</v>
      </c>
      <c r="F295" t="s">
        <v>21</v>
      </c>
      <c r="G295">
        <v>3.3</v>
      </c>
      <c r="H295" s="4">
        <f>_xlfn.XLOOKUP(tblWorkOrders5[[#This Row],[Trade]],tblLaborRates[Trade],tblLaborRates[Hourly Rate])</f>
        <v>79</v>
      </c>
      <c r="I295" s="4">
        <f>tblWorkOrders5[[#This Row],[Labor Hours]]*tblWorkOrders5[[#This Row],[Hourly Rate]]</f>
        <v>260.7</v>
      </c>
      <c r="J295" s="4">
        <f>_xlfn.XLOOKUP(tblWorkOrders5[[#This Row],[WO Number]],tblInvoices[WO Number],tblInvoices[Vendor Cost])</f>
        <v>823.28</v>
      </c>
      <c r="K295" s="4">
        <f>tblWorkOrders5[[#This Row],[Labor Cost]]+tblWorkOrders5[[#This Row],[Vendor Cost]]</f>
        <v>1083.98</v>
      </c>
    </row>
    <row r="296" spans="1:11" x14ac:dyDescent="0.25">
      <c r="A296" t="s">
        <v>323</v>
      </c>
      <c r="B296" s="1">
        <v>45729</v>
      </c>
      <c r="C296" t="s">
        <v>23</v>
      </c>
      <c r="D296" t="s">
        <v>19</v>
      </c>
      <c r="E296" t="s">
        <v>20</v>
      </c>
      <c r="F296" t="s">
        <v>17</v>
      </c>
      <c r="G296">
        <v>6.7</v>
      </c>
      <c r="H296" s="4">
        <f>_xlfn.XLOOKUP(tblWorkOrders5[[#This Row],[Trade]],tblLaborRates[Trade],tblLaborRates[Hourly Rate])</f>
        <v>68</v>
      </c>
      <c r="I296" s="4">
        <f>tblWorkOrders5[[#This Row],[Labor Hours]]*tblWorkOrders5[[#This Row],[Hourly Rate]]</f>
        <v>455.6</v>
      </c>
      <c r="J296" s="4">
        <f>_xlfn.XLOOKUP(tblWorkOrders5[[#This Row],[WO Number]],tblInvoices[WO Number],tblInvoices[Vendor Cost])</f>
        <v>2067.13</v>
      </c>
      <c r="K296" s="4">
        <f>tblWorkOrders5[[#This Row],[Labor Cost]]+tblWorkOrders5[[#This Row],[Vendor Cost]]</f>
        <v>2522.73</v>
      </c>
    </row>
    <row r="297" spans="1:11" x14ac:dyDescent="0.25">
      <c r="A297" t="s">
        <v>324</v>
      </c>
      <c r="B297" s="1">
        <v>45897</v>
      </c>
      <c r="C297" t="s">
        <v>13</v>
      </c>
      <c r="D297" t="s">
        <v>31</v>
      </c>
      <c r="E297" t="s">
        <v>32</v>
      </c>
      <c r="F297" t="s">
        <v>33</v>
      </c>
      <c r="G297">
        <v>2.5</v>
      </c>
      <c r="H297" s="4">
        <f>_xlfn.XLOOKUP(tblWorkOrders5[[#This Row],[Trade]],tblLaborRates[Trade],tblLaborRates[Hourly Rate])</f>
        <v>82</v>
      </c>
      <c r="I297" s="4">
        <f>tblWorkOrders5[[#This Row],[Labor Hours]]*tblWorkOrders5[[#This Row],[Hourly Rate]]</f>
        <v>205</v>
      </c>
      <c r="J297" s="4">
        <f>_xlfn.XLOOKUP(tblWorkOrders5[[#This Row],[WO Number]],tblInvoices[WO Number],tblInvoices[Vendor Cost])</f>
        <v>1483.84</v>
      </c>
      <c r="K297" s="4">
        <f>tblWorkOrders5[[#This Row],[Labor Cost]]+tblWorkOrders5[[#This Row],[Vendor Cost]]</f>
        <v>1688.84</v>
      </c>
    </row>
    <row r="298" spans="1:11" x14ac:dyDescent="0.25">
      <c r="A298" t="s">
        <v>325</v>
      </c>
      <c r="B298" s="1">
        <v>45903</v>
      </c>
      <c r="C298" t="s">
        <v>13</v>
      </c>
      <c r="D298" t="s">
        <v>19</v>
      </c>
      <c r="E298" t="s">
        <v>20</v>
      </c>
      <c r="F298" t="s">
        <v>14</v>
      </c>
      <c r="G298">
        <v>13.4</v>
      </c>
      <c r="H298" s="4">
        <f>_xlfn.XLOOKUP(tblWorkOrders5[[#This Row],[Trade]],tblLaborRates[Trade],tblLaborRates[Hourly Rate])</f>
        <v>68</v>
      </c>
      <c r="I298" s="4">
        <f>tblWorkOrders5[[#This Row],[Labor Hours]]*tblWorkOrders5[[#This Row],[Hourly Rate]]</f>
        <v>911.2</v>
      </c>
      <c r="J298" s="4">
        <f>_xlfn.XLOOKUP(tblWorkOrders5[[#This Row],[WO Number]],tblInvoices[WO Number],tblInvoices[Vendor Cost])</f>
        <v>397.06</v>
      </c>
      <c r="K298" s="4">
        <f>tblWorkOrders5[[#This Row],[Labor Cost]]+tblWorkOrders5[[#This Row],[Vendor Cost]]</f>
        <v>1308.26</v>
      </c>
    </row>
    <row r="299" spans="1:11" x14ac:dyDescent="0.25">
      <c r="A299" t="s">
        <v>326</v>
      </c>
      <c r="B299" s="1">
        <v>45820</v>
      </c>
      <c r="C299" t="s">
        <v>8</v>
      </c>
      <c r="D299" t="s">
        <v>19</v>
      </c>
      <c r="E299" t="s">
        <v>20</v>
      </c>
      <c r="F299" t="s">
        <v>28</v>
      </c>
      <c r="G299">
        <v>11.4</v>
      </c>
      <c r="H299" s="4">
        <f>_xlfn.XLOOKUP(tblWorkOrders5[[#This Row],[Trade]],tblLaborRates[Trade],tblLaborRates[Hourly Rate])</f>
        <v>68</v>
      </c>
      <c r="I299" s="4">
        <f>tblWorkOrders5[[#This Row],[Labor Hours]]*tblWorkOrders5[[#This Row],[Hourly Rate]]</f>
        <v>775.2</v>
      </c>
      <c r="J299" s="4">
        <f>_xlfn.XLOOKUP(tblWorkOrders5[[#This Row],[WO Number]],tblInvoices[WO Number],tblInvoices[Vendor Cost])</f>
        <v>1304.1199999999999</v>
      </c>
      <c r="K299" s="4">
        <f>tblWorkOrders5[[#This Row],[Labor Cost]]+tblWorkOrders5[[#This Row],[Vendor Cost]]</f>
        <v>2079.3199999999997</v>
      </c>
    </row>
    <row r="300" spans="1:11" x14ac:dyDescent="0.25">
      <c r="A300" t="s">
        <v>327</v>
      </c>
      <c r="B300" s="1">
        <v>45940</v>
      </c>
      <c r="C300" t="s">
        <v>13</v>
      </c>
      <c r="D300" t="s">
        <v>31</v>
      </c>
      <c r="E300" t="s">
        <v>32</v>
      </c>
      <c r="F300" t="s">
        <v>39</v>
      </c>
      <c r="G300">
        <v>7.8</v>
      </c>
      <c r="H300" s="4">
        <f>_xlfn.XLOOKUP(tblWorkOrders5[[#This Row],[Trade]],tblLaborRates[Trade],tblLaborRates[Hourly Rate])</f>
        <v>82</v>
      </c>
      <c r="I300" s="4">
        <f>tblWorkOrders5[[#This Row],[Labor Hours]]*tblWorkOrders5[[#This Row],[Hourly Rate]]</f>
        <v>639.6</v>
      </c>
      <c r="J300" s="4">
        <f>_xlfn.XLOOKUP(tblWorkOrders5[[#This Row],[WO Number]],tblInvoices[WO Number],tblInvoices[Vendor Cost])</f>
        <v>3200.89</v>
      </c>
      <c r="K300" s="4">
        <f>tblWorkOrders5[[#This Row],[Labor Cost]]+tblWorkOrders5[[#This Row],[Vendor Cost]]</f>
        <v>3840.49</v>
      </c>
    </row>
    <row r="301" spans="1:11" x14ac:dyDescent="0.25">
      <c r="A301" t="s">
        <v>328</v>
      </c>
      <c r="B301" s="1">
        <v>45686</v>
      </c>
      <c r="C301" t="s">
        <v>8</v>
      </c>
      <c r="D301" t="s">
        <v>16</v>
      </c>
      <c r="E301" t="s">
        <v>16</v>
      </c>
      <c r="F301" t="s">
        <v>39</v>
      </c>
      <c r="G301">
        <v>5.9</v>
      </c>
      <c r="H301" s="4">
        <f>_xlfn.XLOOKUP(tblWorkOrders5[[#This Row],[Trade]],tblLaborRates[Trade],tblLaborRates[Hourly Rate])</f>
        <v>52</v>
      </c>
      <c r="I301" s="4">
        <f>tblWorkOrders5[[#This Row],[Labor Hours]]*tblWorkOrders5[[#This Row],[Hourly Rate]]</f>
        <v>306.8</v>
      </c>
      <c r="J301" s="4">
        <f>_xlfn.XLOOKUP(tblWorkOrders5[[#This Row],[WO Number]],tblInvoices[WO Number],tblInvoices[Vendor Cost])</f>
        <v>692.59</v>
      </c>
      <c r="K301" s="4">
        <f>tblWorkOrders5[[#This Row],[Labor Cost]]+tblWorkOrders5[[#This Row],[Vendor Cost]]</f>
        <v>999.3900000000001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8048-A00A-47C3-8FCB-D12F38ED9088}">
  <dimension ref="A3:B9"/>
  <sheetViews>
    <sheetView workbookViewId="0">
      <selection activeCell="C29" sqref="C29"/>
    </sheetView>
  </sheetViews>
  <sheetFormatPr defaultRowHeight="15" x14ac:dyDescent="0.25"/>
  <cols>
    <col min="1" max="1" width="21.42578125" bestFit="1" customWidth="1"/>
    <col min="2" max="2" width="17" bestFit="1" customWidth="1"/>
  </cols>
  <sheetData>
    <row r="3" spans="1:2" x14ac:dyDescent="0.25">
      <c r="A3" s="5" t="s">
        <v>333</v>
      </c>
      <c r="B3" t="s">
        <v>335</v>
      </c>
    </row>
    <row r="4" spans="1:2" x14ac:dyDescent="0.25">
      <c r="A4" s="6" t="s">
        <v>41</v>
      </c>
      <c r="B4" s="4">
        <v>150528.74999999994</v>
      </c>
    </row>
    <row r="5" spans="1:2" x14ac:dyDescent="0.25">
      <c r="A5" s="6" t="s">
        <v>13</v>
      </c>
      <c r="B5" s="4">
        <v>165420.46000000002</v>
      </c>
    </row>
    <row r="6" spans="1:2" x14ac:dyDescent="0.25">
      <c r="A6" s="6" t="s">
        <v>23</v>
      </c>
      <c r="B6" s="4">
        <v>140661.38999999998</v>
      </c>
    </row>
    <row r="7" spans="1:2" x14ac:dyDescent="0.25">
      <c r="A7" s="6" t="s">
        <v>27</v>
      </c>
      <c r="B7" s="4">
        <v>155175.69000000006</v>
      </c>
    </row>
    <row r="8" spans="1:2" x14ac:dyDescent="0.25">
      <c r="A8" s="6" t="s">
        <v>8</v>
      </c>
      <c r="B8" s="4">
        <v>117390.71</v>
      </c>
    </row>
    <row r="9" spans="1:2" x14ac:dyDescent="0.25">
      <c r="A9" s="6" t="s">
        <v>334</v>
      </c>
      <c r="B9" s="4">
        <v>729177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157E-3C50-4FD5-9510-35031523451A}">
  <dimension ref="A3:B9"/>
  <sheetViews>
    <sheetView workbookViewId="0">
      <selection activeCell="D2" sqref="D2"/>
    </sheetView>
  </sheetViews>
  <sheetFormatPr defaultRowHeight="15" x14ac:dyDescent="0.25"/>
  <cols>
    <col min="1" max="1" width="20" bestFit="1" customWidth="1"/>
    <col min="2" max="2" width="17" bestFit="1" customWidth="1"/>
  </cols>
  <sheetData>
    <row r="3" spans="1:2" x14ac:dyDescent="0.25">
      <c r="A3" s="5" t="s">
        <v>333</v>
      </c>
      <c r="B3" t="s">
        <v>335</v>
      </c>
    </row>
    <row r="4" spans="1:2" x14ac:dyDescent="0.25">
      <c r="A4" s="6" t="s">
        <v>19</v>
      </c>
      <c r="B4" s="4">
        <v>159830.74000000002</v>
      </c>
    </row>
    <row r="5" spans="1:2" x14ac:dyDescent="0.25">
      <c r="A5" s="6" t="s">
        <v>31</v>
      </c>
      <c r="B5" s="4">
        <v>144294.01</v>
      </c>
    </row>
    <row r="6" spans="1:2" x14ac:dyDescent="0.25">
      <c r="A6" s="6" t="s">
        <v>16</v>
      </c>
      <c r="B6" s="4">
        <v>149535.16</v>
      </c>
    </row>
    <row r="7" spans="1:2" x14ac:dyDescent="0.25">
      <c r="A7" s="6" t="s">
        <v>9</v>
      </c>
      <c r="B7" s="4">
        <v>138377.35</v>
      </c>
    </row>
    <row r="8" spans="1:2" x14ac:dyDescent="0.25">
      <c r="A8" s="6" t="s">
        <v>36</v>
      </c>
      <c r="B8" s="4">
        <v>137139.74000000002</v>
      </c>
    </row>
    <row r="9" spans="1:2" x14ac:dyDescent="0.25">
      <c r="A9" s="6" t="s">
        <v>334</v>
      </c>
      <c r="B9" s="4">
        <v>729177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A78B-5FF4-492A-B027-96CA73061173}">
  <dimension ref="A3:B12"/>
  <sheetViews>
    <sheetView workbookViewId="0">
      <selection activeCell="A9" sqref="A4:A11"/>
    </sheetView>
  </sheetViews>
  <sheetFormatPr defaultRowHeight="15" x14ac:dyDescent="0.25"/>
  <cols>
    <col min="1" max="1" width="21.5703125" bestFit="1" customWidth="1"/>
    <col min="2" max="2" width="17" bestFit="1" customWidth="1"/>
  </cols>
  <sheetData>
    <row r="3" spans="1:2" x14ac:dyDescent="0.25">
      <c r="A3" s="5" t="s">
        <v>333</v>
      </c>
      <c r="B3" t="s">
        <v>335</v>
      </c>
    </row>
    <row r="4" spans="1:2" x14ac:dyDescent="0.25">
      <c r="A4" s="6" t="s">
        <v>17</v>
      </c>
      <c r="B4" s="4">
        <v>107167.41</v>
      </c>
    </row>
    <row r="5" spans="1:2" x14ac:dyDescent="0.25">
      <c r="A5" s="6" t="s">
        <v>28</v>
      </c>
      <c r="B5" s="4">
        <v>99553.26999999999</v>
      </c>
    </row>
    <row r="6" spans="1:2" x14ac:dyDescent="0.25">
      <c r="A6" s="6" t="s">
        <v>33</v>
      </c>
      <c r="B6" s="4">
        <v>99229.119999999995</v>
      </c>
    </row>
    <row r="7" spans="1:2" x14ac:dyDescent="0.25">
      <c r="A7" s="6" t="s">
        <v>39</v>
      </c>
      <c r="B7" s="4">
        <v>99002.260000000009</v>
      </c>
    </row>
    <row r="8" spans="1:2" x14ac:dyDescent="0.25">
      <c r="A8" s="6" t="s">
        <v>11</v>
      </c>
      <c r="B8" s="4">
        <v>89169.37000000001</v>
      </c>
    </row>
    <row r="9" spans="1:2" x14ac:dyDescent="0.25">
      <c r="A9" s="6" t="s">
        <v>24</v>
      </c>
      <c r="B9" s="4">
        <v>84828.71</v>
      </c>
    </row>
    <row r="10" spans="1:2" x14ac:dyDescent="0.25">
      <c r="A10" s="6" t="s">
        <v>14</v>
      </c>
      <c r="B10" s="4">
        <v>76774.929999999993</v>
      </c>
    </row>
    <row r="11" spans="1:2" x14ac:dyDescent="0.25">
      <c r="A11" s="6" t="s">
        <v>21</v>
      </c>
      <c r="B11" s="4">
        <v>73451.929999999978</v>
      </c>
    </row>
    <row r="12" spans="1:2" x14ac:dyDescent="0.25">
      <c r="A12" s="6" t="s">
        <v>334</v>
      </c>
      <c r="B12" s="4">
        <v>729176.99999999988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FDF8-1D86-4775-A34A-11B70DC5E67A}">
  <dimension ref="A1:D2"/>
  <sheetViews>
    <sheetView tabSelected="1" zoomScaleNormal="100" workbookViewId="0">
      <selection activeCell="B1" sqref="B1:B1048576"/>
    </sheetView>
  </sheetViews>
  <sheetFormatPr defaultRowHeight="15" x14ac:dyDescent="0.25"/>
  <cols>
    <col min="1" max="1" width="27.28515625" bestFit="1" customWidth="1"/>
    <col min="2" max="2" width="35.7109375" bestFit="1" customWidth="1"/>
    <col min="3" max="3" width="37.28515625" bestFit="1" customWidth="1"/>
    <col min="4" max="4" width="37" bestFit="1" customWidth="1"/>
  </cols>
  <sheetData>
    <row r="1" spans="1:4" ht="24" x14ac:dyDescent="0.4">
      <c r="A1" s="7" t="s">
        <v>336</v>
      </c>
      <c r="B1" s="7" t="s">
        <v>337</v>
      </c>
      <c r="C1" s="7" t="s">
        <v>338</v>
      </c>
      <c r="D1" s="7" t="s">
        <v>339</v>
      </c>
    </row>
    <row r="2" spans="1:4" ht="24" x14ac:dyDescent="0.4">
      <c r="A2" s="7">
        <f>COUNTA('Cost Rollup'!A:A)-1</f>
        <v>300</v>
      </c>
      <c r="B2" s="8">
        <f>SUM('Cost Rollup'!K:K)</f>
        <v>729176.99999999895</v>
      </c>
      <c r="C2" s="8">
        <f>AVERAGE('Cost Rollup'!K:K)</f>
        <v>2430.5899999999965</v>
      </c>
      <c r="D2" s="8">
        <f>MAX('Cost Rollup'!K:K)</f>
        <v>4423.33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01BFE1-F631-4B3A-9807-2ECD869D39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Vendor Invoices</vt:lpstr>
      <vt:lpstr>Labor Rates</vt:lpstr>
      <vt:lpstr>Work Orders</vt:lpstr>
      <vt:lpstr>Cost Rollup</vt:lpstr>
      <vt:lpstr>Department Summary</vt:lpstr>
      <vt:lpstr>Work Type Summary</vt:lpstr>
      <vt:lpstr>Vendor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Wood</dc:creator>
  <cp:lastModifiedBy>Tyler Wood</cp:lastModifiedBy>
  <dcterms:created xsi:type="dcterms:W3CDTF">2026-08-17T18:26:03Z</dcterms:created>
  <dcterms:modified xsi:type="dcterms:W3CDTF">2026-08-17T19:08:17Z</dcterms:modified>
</cp:coreProperties>
</file>