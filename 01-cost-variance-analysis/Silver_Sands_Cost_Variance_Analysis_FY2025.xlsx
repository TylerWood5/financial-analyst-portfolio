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d.docs.live.net/ef7893da704d8080/Resumes etc/Github Projects/"/>
    </mc:Choice>
  </mc:AlternateContent>
  <xr:revisionPtr revIDLastSave="0" documentId="8_{721A2F4F-9A5F-413D-B1B3-2EDFE608A0AE}" xr6:coauthVersionLast="47" xr6:coauthVersionMax="47" xr10:uidLastSave="{00000000-0000-0000-0000-000000000000}"/>
  <bookViews>
    <workbookView xWindow="10860" yWindow="0" windowWidth="17940" windowHeight="15600" firstSheet="4" activeTab="6" xr2:uid="{F4DF2B4D-C5AE-4969-8F54-0E4E735E1BC5}"/>
  </bookViews>
  <sheets>
    <sheet name="Budget" sheetId="2" r:id="rId1"/>
    <sheet name="Actuals" sheetId="3" r:id="rId2"/>
    <sheet name="GL Mapping" sheetId="4" r:id="rId3"/>
    <sheet name="Actual Summary" sheetId="5" r:id="rId4"/>
    <sheet name="Variance Analysis" sheetId="1" r:id="rId5"/>
    <sheet name="Executive Summary" sheetId="6" r:id="rId6"/>
    <sheet name="Dashboard" sheetId="7" r:id="rId7"/>
    <sheet name="Monthly Trend" sheetId="8" r:id="rId8"/>
  </sheets>
  <definedNames>
    <definedName name="ExternalData_1" localSheetId="1" hidden="1">Actuals!$A$1:$F$1153</definedName>
    <definedName name="ExternalData_1" localSheetId="0" hidden="1">Budget!$A$1:$D$193</definedName>
    <definedName name="ExternalData_1" localSheetId="2" hidden="1">'GL Mapping'!$A$1:$C$9</definedName>
    <definedName name="ExternalData_1" localSheetId="4" hidden="1">'Variance Analysis'!$A$1:$D$193</definedName>
    <definedName name="Slicer_Department">#N/A</definedName>
  </definedNames>
  <calcPr calcId="191029"/>
  <pivotCaches>
    <pivotCache cacheId="5" r:id="rId9"/>
    <pivotCache cacheId="13"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2" i="7" l="1"/>
  <c r="C2" i="7"/>
  <c r="B2" i="7"/>
  <c r="A2" i="7"/>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2" i="1"/>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H1123" i="3"/>
  <c r="H1124" i="3"/>
  <c r="H1125" i="3"/>
  <c r="H1126" i="3"/>
  <c r="H1127" i="3"/>
  <c r="H1128" i="3"/>
  <c r="H1129" i="3"/>
  <c r="H1130" i="3"/>
  <c r="H1131" i="3"/>
  <c r="H1132" i="3"/>
  <c r="H1133" i="3"/>
  <c r="H1134" i="3"/>
  <c r="H1135" i="3"/>
  <c r="H1136" i="3"/>
  <c r="H1137" i="3"/>
  <c r="H1138" i="3"/>
  <c r="H1139" i="3"/>
  <c r="H1140" i="3"/>
  <c r="H1141" i="3"/>
  <c r="H1142" i="3"/>
  <c r="H1143" i="3"/>
  <c r="H1144" i="3"/>
  <c r="H1145" i="3"/>
  <c r="H1146" i="3"/>
  <c r="H1147" i="3"/>
  <c r="H1148" i="3"/>
  <c r="H1149" i="3"/>
  <c r="H1150" i="3"/>
  <c r="H1151" i="3"/>
  <c r="H1152" i="3"/>
  <c r="H1153" i="3"/>
  <c r="H2" i="3"/>
  <c r="G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1002" i="3"/>
  <c r="G1003" i="3"/>
  <c r="G1004" i="3"/>
  <c r="G1005" i="3"/>
  <c r="G1006" i="3"/>
  <c r="G1007" i="3"/>
  <c r="G1008" i="3"/>
  <c r="G1009" i="3"/>
  <c r="G1010" i="3"/>
  <c r="G1011" i="3"/>
  <c r="G1012" i="3"/>
  <c r="G1013" i="3"/>
  <c r="G1014" i="3"/>
  <c r="G1015" i="3"/>
  <c r="G1016" i="3"/>
  <c r="G1017" i="3"/>
  <c r="G1018" i="3"/>
  <c r="G1019" i="3"/>
  <c r="G1020" i="3"/>
  <c r="G1021" i="3"/>
  <c r="G1022" i="3"/>
  <c r="G1023" i="3"/>
  <c r="G1024" i="3"/>
  <c r="G1025" i="3"/>
  <c r="G1026" i="3"/>
  <c r="G1027" i="3"/>
  <c r="G1028" i="3"/>
  <c r="G1029" i="3"/>
  <c r="G1030" i="3"/>
  <c r="G1031" i="3"/>
  <c r="G1032" i="3"/>
  <c r="G1033" i="3"/>
  <c r="G1034" i="3"/>
  <c r="G1035" i="3"/>
  <c r="G1036" i="3"/>
  <c r="G1037" i="3"/>
  <c r="G1038" i="3"/>
  <c r="G1039" i="3"/>
  <c r="G1040" i="3"/>
  <c r="G1041" i="3"/>
  <c r="G1042" i="3"/>
  <c r="G1043" i="3"/>
  <c r="G1044" i="3"/>
  <c r="G1045" i="3"/>
  <c r="G1046" i="3"/>
  <c r="G1047" i="3"/>
  <c r="G1048" i="3"/>
  <c r="G1049" i="3"/>
  <c r="G1050" i="3"/>
  <c r="G1051" i="3"/>
  <c r="G1052" i="3"/>
  <c r="G1053" i="3"/>
  <c r="G1054" i="3"/>
  <c r="G1055" i="3"/>
  <c r="G1056" i="3"/>
  <c r="G1057" i="3"/>
  <c r="G1058" i="3"/>
  <c r="G1059" i="3"/>
  <c r="G1060" i="3"/>
  <c r="G1061" i="3"/>
  <c r="G1062" i="3"/>
  <c r="G1063" i="3"/>
  <c r="G1064" i="3"/>
  <c r="G1065" i="3"/>
  <c r="G1066" i="3"/>
  <c r="G1067" i="3"/>
  <c r="G1068" i="3"/>
  <c r="G1069" i="3"/>
  <c r="G1070" i="3"/>
  <c r="G1071" i="3"/>
  <c r="G1072" i="3"/>
  <c r="G1073" i="3"/>
  <c r="G1074" i="3"/>
  <c r="G1075" i="3"/>
  <c r="G1076" i="3"/>
  <c r="G1077" i="3"/>
  <c r="G1078" i="3"/>
  <c r="G1079" i="3"/>
  <c r="G1080" i="3"/>
  <c r="G1081" i="3"/>
  <c r="G1082" i="3"/>
  <c r="G1083" i="3"/>
  <c r="G1084" i="3"/>
  <c r="G1085" i="3"/>
  <c r="G1086" i="3"/>
  <c r="G1087" i="3"/>
  <c r="G1088" i="3"/>
  <c r="G1089" i="3"/>
  <c r="G1090" i="3"/>
  <c r="G1091" i="3"/>
  <c r="G1092" i="3"/>
  <c r="G1093" i="3"/>
  <c r="G1094" i="3"/>
  <c r="G1095" i="3"/>
  <c r="G1096" i="3"/>
  <c r="G1097" i="3"/>
  <c r="G1098" i="3"/>
  <c r="G1099" i="3"/>
  <c r="G1100" i="3"/>
  <c r="G1101" i="3"/>
  <c r="G1102" i="3"/>
  <c r="G1103" i="3"/>
  <c r="G1104" i="3"/>
  <c r="G1105" i="3"/>
  <c r="G1106" i="3"/>
  <c r="G1107" i="3"/>
  <c r="G1108" i="3"/>
  <c r="G1109" i="3"/>
  <c r="G1110" i="3"/>
  <c r="G1111" i="3"/>
  <c r="G1112" i="3"/>
  <c r="G1113" i="3"/>
  <c r="G1114" i="3"/>
  <c r="G1115" i="3"/>
  <c r="G1116" i="3"/>
  <c r="G1117" i="3"/>
  <c r="G1118" i="3"/>
  <c r="G1119" i="3"/>
  <c r="G1120" i="3"/>
  <c r="G1121" i="3"/>
  <c r="G1122" i="3"/>
  <c r="G1123" i="3"/>
  <c r="G1124" i="3"/>
  <c r="G1125" i="3"/>
  <c r="G1126" i="3"/>
  <c r="G1127" i="3"/>
  <c r="G1128" i="3"/>
  <c r="G1129" i="3"/>
  <c r="G1130" i="3"/>
  <c r="G1131" i="3"/>
  <c r="G1132" i="3"/>
  <c r="G1133" i="3"/>
  <c r="G1134" i="3"/>
  <c r="G1135" i="3"/>
  <c r="G1136" i="3"/>
  <c r="G1137" i="3"/>
  <c r="G1138" i="3"/>
  <c r="G1139" i="3"/>
  <c r="G1140" i="3"/>
  <c r="G1141" i="3"/>
  <c r="G1142" i="3"/>
  <c r="G1143" i="3"/>
  <c r="G1144" i="3"/>
  <c r="G1145" i="3"/>
  <c r="G1146" i="3"/>
  <c r="G1147" i="3"/>
  <c r="G1148" i="3"/>
  <c r="G1149" i="3"/>
  <c r="G1150" i="3"/>
  <c r="G1151" i="3"/>
  <c r="G1152" i="3"/>
  <c r="G115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30D2DD-9261-494C-8290-1256F3455B86}" keepAlive="1" name="Query - Actual_Transactions" description="Connection to the 'Actual_Transactions' query in the workbook." type="5" refreshedVersion="8" background="1" saveData="1">
    <dbPr connection="Provider=Microsoft.Mashup.OleDb.1;Data Source=$Workbook$;Location=Actual_Transactions;Extended Properties=&quot;&quot;" command="SELECT * FROM [Actual_Transactions]"/>
  </connection>
  <connection id="2" xr16:uid="{01570FE3-E79B-41B6-A5CC-2F31A781BFAF}" keepAlive="1" name="Query - Budget_2025" description="Connection to the 'Budget_2025' query in the workbook." type="5" refreshedVersion="8" background="1" saveData="1">
    <dbPr connection="Provider=Microsoft.Mashup.OleDb.1;Data Source=$Workbook$;Location=Budget_2025;Extended Properties=&quot;&quot;" command="SELECT * FROM [Budget_2025]"/>
  </connection>
  <connection id="3" xr16:uid="{1608C352-464E-4117-BD65-714CFEAF65A2}" keepAlive="1" name="Query - Budget_2025 (2)" description="Connection to the 'Budget_2025 (2)' query in the workbook." type="5" refreshedVersion="8" background="1" saveData="1">
    <dbPr connection="Provider=Microsoft.Mashup.OleDb.1;Data Source=$Workbook$;Location=&quot;Budget_2025 (2)&quot;;Extended Properties=&quot;&quot;" command="SELECT * FROM [Budget_2025 (2)]"/>
  </connection>
  <connection id="4" xr16:uid="{384BB29B-225F-4A9B-9D4E-E26EE6B932DB}" keepAlive="1" name="Query - GL_Account_Mapping" description="Connection to the 'GL_Account_Mapping' query in the workbook." type="5" refreshedVersion="8" background="1" saveData="1">
    <dbPr connection="Provider=Microsoft.Mashup.OleDb.1;Data Source=$Workbook$;Location=GL_Account_Mapping;Extended Properties=&quot;&quot;" command="SELECT * FROM [GL_Account_Mapping]"/>
  </connection>
</connections>
</file>

<file path=xl/sharedStrings.xml><?xml version="1.0" encoding="utf-8"?>
<sst xmlns="http://schemas.openxmlformats.org/spreadsheetml/2006/main" count="4933" uniqueCount="55">
  <si>
    <t>Month</t>
  </si>
  <si>
    <t>Department</t>
  </si>
  <si>
    <t>Cost Category</t>
  </si>
  <si>
    <t>Budgeted Cost</t>
  </si>
  <si>
    <t>Jan</t>
  </si>
  <si>
    <t>Food &amp; Beverage</t>
  </si>
  <si>
    <t>Labor</t>
  </si>
  <si>
    <t>Supplies &amp; Inventory</t>
  </si>
  <si>
    <t>Utilities</t>
  </si>
  <si>
    <t>Maintenance &amp; Repairs</t>
  </si>
  <si>
    <t>Housekeeping</t>
  </si>
  <si>
    <t>Gaming Operations</t>
  </si>
  <si>
    <t>Entertainment &amp; Events</t>
  </si>
  <si>
    <t>Feb</t>
  </si>
  <si>
    <t>Mar</t>
  </si>
  <si>
    <t>Apr</t>
  </si>
  <si>
    <t>May</t>
  </si>
  <si>
    <t>Jun</t>
  </si>
  <si>
    <t>Jul</t>
  </si>
  <si>
    <t>Aug</t>
  </si>
  <si>
    <t>Sep</t>
  </si>
  <si>
    <t>Oct</t>
  </si>
  <si>
    <t>Nov</t>
  </si>
  <si>
    <t>Dec</t>
  </si>
  <si>
    <t>Date</t>
  </si>
  <si>
    <t>GL Account</t>
  </si>
  <si>
    <t>Vendor</t>
  </si>
  <si>
    <t>Description</t>
  </si>
  <si>
    <t>Amount</t>
  </si>
  <si>
    <t>NV Energy</t>
  </si>
  <si>
    <t>Payroll</t>
  </si>
  <si>
    <t>Sysco</t>
  </si>
  <si>
    <t>Grainger</t>
  </si>
  <si>
    <t>Overtime Payroll</t>
  </si>
  <si>
    <t>US Foods</t>
  </si>
  <si>
    <t>Local Contractor</t>
  </si>
  <si>
    <t>Food Inventory</t>
  </si>
  <si>
    <t>Operating Supplies</t>
  </si>
  <si>
    <t>Electricity</t>
  </si>
  <si>
    <t>Cintas</t>
  </si>
  <si>
    <t>Water &amp; Sewer</t>
  </si>
  <si>
    <t>Equipment Repairs</t>
  </si>
  <si>
    <t>Preventive Maintenance</t>
  </si>
  <si>
    <t>Account Name</t>
  </si>
  <si>
    <t>Row Labels</t>
  </si>
  <si>
    <t>Grand Total</t>
  </si>
  <si>
    <t>Sum of Amount</t>
  </si>
  <si>
    <t>Actual Cost</t>
  </si>
  <si>
    <t>Variance $</t>
  </si>
  <si>
    <t>Variance %</t>
  </si>
  <si>
    <t>Sum of Variance $</t>
  </si>
  <si>
    <t>Total Budget</t>
  </si>
  <si>
    <t>Total Actual</t>
  </si>
  <si>
    <t>Total Variance</t>
  </si>
  <si>
    <t>Sum of Actual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</si>
</sst>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5" formatCode="0.0%"/>
    <numFmt numFmtId="167" formatCode="_(&quot;$&quot;* #,##0_);_(&quot;$&quot;* \(#,##0\);_(&quot;$&quot;* &quot;-&quot;??_);_(@_)"/>
  </numFmts>
  <fonts count="4" x14ac:knownFonts="1">
    <font>
      <sz val="11"/>
      <color theme="1"/>
      <name val="Aptos Narrow"/>
      <family val="2"/>
      <scheme val="minor"/>
    </font>
    <font>
      <sz val="11"/>
      <color theme="1"/>
      <name val="Aptos Narrow"/>
      <family val="2"/>
      <scheme val="minor"/>
    </font>
    <font>
      <b/>
      <sz val="20"/>
      <color theme="1"/>
      <name val="Aptos Narrow"/>
      <family val="2"/>
      <scheme val="minor"/>
    </font>
    <font>
      <sz val="20"/>
      <color theme="1"/>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44" fontId="0" fillId="0" borderId="0" xfId="0" applyNumberFormat="1"/>
    <xf numFmtId="165" fontId="0" fillId="0" borderId="0" xfId="1" applyNumberFormat="1" applyFont="1"/>
    <xf numFmtId="167" fontId="0" fillId="0" borderId="0" xfId="0" applyNumberFormat="1"/>
    <xf numFmtId="0" fontId="2" fillId="2" borderId="0" xfId="0" applyFont="1" applyFill="1"/>
    <xf numFmtId="44" fontId="3" fillId="2" borderId="0" xfId="0" applyNumberFormat="1" applyFont="1" applyFill="1"/>
    <xf numFmtId="165" fontId="3" fillId="2" borderId="0" xfId="1" applyNumberFormat="1" applyFont="1" applyFill="1"/>
  </cellXfs>
  <cellStyles count="2">
    <cellStyle name="Normal" xfId="0" builtinId="0"/>
    <cellStyle name="Percent" xfId="1" builtinId="5"/>
  </cellStyles>
  <dxfs count="22">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numFmt numFmtId="34" formatCode="_(&quot;$&quot;* #,##0.00_);_(&quot;$&quot;* \(#,##0.00\);_(&quot;$&quot;* &quot;-&quot;??_);_(@_)"/>
    </dxf>
    <dxf>
      <numFmt numFmtId="165" formatCode="0.0%"/>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s>
  <tableStyles count="0" defaultTableStyle="TableStyleMedium2" defaultPivotStyle="PivotStyleLight16"/>
  <colors>
    <mruColors>
      <color rgb="FFF3682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[Silver_Sands_Cost_Variance_Analysis_FY2025.xlsx]Executive Summary!PivotTable2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 Variance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'Executive Summary'!$B$1:$B$2</c:f>
              <c:strCache>
                <c:ptCount val="1"/>
                <c:pt idx="0">
                  <c:v>Labor</c:v>
                </c:pt>
              </c:strCache>
            </c:strRef>
          </c:tx>
          <c:spPr>
            <a:solidFill>
              <a:schemeClr val="accent1"/>
            </a:solidFill>
            <a:ln>
              <a:noFill/>
            </a:ln>
            <a:effectLst/>
          </c:spPr>
          <c:invertIfNegative val="0"/>
          <c:cat>
            <c:strRef>
              <c:f>'Executive Summary'!$A$3:$A$7</c:f>
              <c:strCache>
                <c:ptCount val="4"/>
                <c:pt idx="0">
                  <c:v>Entertainment &amp; Events</c:v>
                </c:pt>
                <c:pt idx="1">
                  <c:v>Food &amp; Beverage</c:v>
                </c:pt>
                <c:pt idx="2">
                  <c:v>Gaming Operations</c:v>
                </c:pt>
                <c:pt idx="3">
                  <c:v>Housekeeping</c:v>
                </c:pt>
              </c:strCache>
            </c:strRef>
          </c:cat>
          <c:val>
            <c:numRef>
              <c:f>'Executive Summary'!$B$3:$B$7</c:f>
              <c:numCache>
                <c:formatCode>_("$"* #,##0.00_);_("$"* \(#,##0.00\);_("$"* "-"??_);_(@_)</c:formatCode>
                <c:ptCount val="4"/>
                <c:pt idx="0">
                  <c:v>-297614</c:v>
                </c:pt>
                <c:pt idx="1">
                  <c:v>-380781</c:v>
                </c:pt>
                <c:pt idx="2">
                  <c:v>-507111</c:v>
                </c:pt>
                <c:pt idx="3">
                  <c:v>-167810</c:v>
                </c:pt>
              </c:numCache>
            </c:numRef>
          </c:val>
          <c:extLst>
            <c:ext xmlns:c16="http://schemas.microsoft.com/office/drawing/2014/chart" uri="{C3380CC4-5D6E-409C-BE32-E72D297353CC}">
              <c16:uniqueId val="{00000000-B1D3-4542-9920-70FB5E296991}"/>
            </c:ext>
          </c:extLst>
        </c:ser>
        <c:ser>
          <c:idx val="1"/>
          <c:order val="1"/>
          <c:tx>
            <c:strRef>
              <c:f>'Executive Summary'!$C$1:$C$2</c:f>
              <c:strCache>
                <c:ptCount val="1"/>
                <c:pt idx="0">
                  <c:v>Maintenance &amp; Repairs</c:v>
                </c:pt>
              </c:strCache>
            </c:strRef>
          </c:tx>
          <c:spPr>
            <a:solidFill>
              <a:schemeClr val="accent2"/>
            </a:solidFill>
            <a:ln>
              <a:noFill/>
            </a:ln>
            <a:effectLst/>
          </c:spPr>
          <c:invertIfNegative val="0"/>
          <c:cat>
            <c:strRef>
              <c:f>'Executive Summary'!$A$3:$A$7</c:f>
              <c:strCache>
                <c:ptCount val="4"/>
                <c:pt idx="0">
                  <c:v>Entertainment &amp; Events</c:v>
                </c:pt>
                <c:pt idx="1">
                  <c:v>Food &amp; Beverage</c:v>
                </c:pt>
                <c:pt idx="2">
                  <c:v>Gaming Operations</c:v>
                </c:pt>
                <c:pt idx="3">
                  <c:v>Housekeeping</c:v>
                </c:pt>
              </c:strCache>
            </c:strRef>
          </c:cat>
          <c:val>
            <c:numRef>
              <c:f>'Executive Summary'!$C$3:$C$7</c:f>
              <c:numCache>
                <c:formatCode>_("$"* #,##0.00_);_("$"* \(#,##0.00\);_("$"* "-"??_);_(@_)</c:formatCode>
                <c:ptCount val="4"/>
                <c:pt idx="0">
                  <c:v>289995</c:v>
                </c:pt>
                <c:pt idx="1">
                  <c:v>306658</c:v>
                </c:pt>
                <c:pt idx="2">
                  <c:v>262856</c:v>
                </c:pt>
                <c:pt idx="3">
                  <c:v>347226</c:v>
                </c:pt>
              </c:numCache>
            </c:numRef>
          </c:val>
          <c:extLst>
            <c:ext xmlns:c16="http://schemas.microsoft.com/office/drawing/2014/chart" uri="{C3380CC4-5D6E-409C-BE32-E72D297353CC}">
              <c16:uniqueId val="{00000001-B1D3-4542-9920-70FB5E296991}"/>
            </c:ext>
          </c:extLst>
        </c:ser>
        <c:ser>
          <c:idx val="2"/>
          <c:order val="2"/>
          <c:tx>
            <c:strRef>
              <c:f>'Executive Summary'!$D$1:$D$2</c:f>
              <c:strCache>
                <c:ptCount val="1"/>
                <c:pt idx="0">
                  <c:v>Supplies &amp; Inventory</c:v>
                </c:pt>
              </c:strCache>
            </c:strRef>
          </c:tx>
          <c:spPr>
            <a:solidFill>
              <a:schemeClr val="accent3"/>
            </a:solidFill>
            <a:ln>
              <a:noFill/>
            </a:ln>
            <a:effectLst/>
          </c:spPr>
          <c:invertIfNegative val="0"/>
          <c:cat>
            <c:strRef>
              <c:f>'Executive Summary'!$A$3:$A$7</c:f>
              <c:strCache>
                <c:ptCount val="4"/>
                <c:pt idx="0">
                  <c:v>Entertainment &amp; Events</c:v>
                </c:pt>
                <c:pt idx="1">
                  <c:v>Food &amp; Beverage</c:v>
                </c:pt>
                <c:pt idx="2">
                  <c:v>Gaming Operations</c:v>
                </c:pt>
                <c:pt idx="3">
                  <c:v>Housekeeping</c:v>
                </c:pt>
              </c:strCache>
            </c:strRef>
          </c:cat>
          <c:val>
            <c:numRef>
              <c:f>'Executive Summary'!$D$3:$D$7</c:f>
              <c:numCache>
                <c:formatCode>_("$"* #,##0.00_);_("$"* \(#,##0.00\);_("$"* "-"??_);_(@_)</c:formatCode>
                <c:ptCount val="4"/>
                <c:pt idx="0">
                  <c:v>271826</c:v>
                </c:pt>
                <c:pt idx="1">
                  <c:v>309185</c:v>
                </c:pt>
                <c:pt idx="2">
                  <c:v>236608</c:v>
                </c:pt>
                <c:pt idx="3">
                  <c:v>300986</c:v>
                </c:pt>
              </c:numCache>
            </c:numRef>
          </c:val>
          <c:extLst>
            <c:ext xmlns:c16="http://schemas.microsoft.com/office/drawing/2014/chart" uri="{C3380CC4-5D6E-409C-BE32-E72D297353CC}">
              <c16:uniqueId val="{00000002-B1D3-4542-9920-70FB5E296991}"/>
            </c:ext>
          </c:extLst>
        </c:ser>
        <c:ser>
          <c:idx val="3"/>
          <c:order val="3"/>
          <c:tx>
            <c:strRef>
              <c:f>'Executive Summary'!$E$1:$E$2</c:f>
              <c:strCache>
                <c:ptCount val="1"/>
                <c:pt idx="0">
                  <c:v>Utilities</c:v>
                </c:pt>
              </c:strCache>
            </c:strRef>
          </c:tx>
          <c:spPr>
            <a:solidFill>
              <a:schemeClr val="accent4"/>
            </a:solidFill>
            <a:ln>
              <a:noFill/>
            </a:ln>
            <a:effectLst/>
          </c:spPr>
          <c:invertIfNegative val="0"/>
          <c:cat>
            <c:strRef>
              <c:f>'Executive Summary'!$A$3:$A$7</c:f>
              <c:strCache>
                <c:ptCount val="4"/>
                <c:pt idx="0">
                  <c:v>Entertainment &amp; Events</c:v>
                </c:pt>
                <c:pt idx="1">
                  <c:v>Food &amp; Beverage</c:v>
                </c:pt>
                <c:pt idx="2">
                  <c:v>Gaming Operations</c:v>
                </c:pt>
                <c:pt idx="3">
                  <c:v>Housekeeping</c:v>
                </c:pt>
              </c:strCache>
            </c:strRef>
          </c:cat>
          <c:val>
            <c:numRef>
              <c:f>'Executive Summary'!$E$3:$E$7</c:f>
              <c:numCache>
                <c:formatCode>_("$"* #,##0.00_);_("$"* \(#,##0.00\);_("$"* "-"??_);_(@_)</c:formatCode>
                <c:ptCount val="4"/>
                <c:pt idx="0">
                  <c:v>318233</c:v>
                </c:pt>
                <c:pt idx="1">
                  <c:v>308939</c:v>
                </c:pt>
                <c:pt idx="2">
                  <c:v>344423</c:v>
                </c:pt>
                <c:pt idx="3">
                  <c:v>375305</c:v>
                </c:pt>
              </c:numCache>
            </c:numRef>
          </c:val>
          <c:extLst>
            <c:ext xmlns:c16="http://schemas.microsoft.com/office/drawing/2014/chart" uri="{C3380CC4-5D6E-409C-BE32-E72D297353CC}">
              <c16:uniqueId val="{00000003-B1D3-4542-9920-70FB5E296991}"/>
            </c:ext>
          </c:extLst>
        </c:ser>
        <c:dLbls>
          <c:showLegendKey val="0"/>
          <c:showVal val="0"/>
          <c:showCatName val="0"/>
          <c:showSerName val="0"/>
          <c:showPercent val="0"/>
          <c:showBubbleSize val="0"/>
        </c:dLbls>
        <c:gapWidth val="219"/>
        <c:axId val="1439493904"/>
        <c:axId val="264958016"/>
      </c:barChart>
      <c:catAx>
        <c:axId val="14394939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958016"/>
        <c:crosses val="autoZero"/>
        <c:auto val="1"/>
        <c:lblAlgn val="ctr"/>
        <c:lblOffset val="100"/>
        <c:noMultiLvlLbl val="0"/>
      </c:catAx>
      <c:valAx>
        <c:axId val="264958016"/>
        <c:scaling>
          <c:orientation val="minMax"/>
        </c:scaling>
        <c:delete val="0"/>
        <c:axPos val="b"/>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493904"/>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layout>
        <c:manualLayout>
          <c:xMode val="edge"/>
          <c:yMode val="edge"/>
          <c:x val="0.75587887772453177"/>
          <c:y val="0.43697024173348198"/>
          <c:w val="0.1137750886082865"/>
          <c:h val="0.161581023197953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[Silver_Sands_Cost_Variance_Analysis_FY2025.xlsx]Monthly Trend!PivotTable3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Spending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Trend'!$B$3</c:f>
              <c:strCache>
                <c:ptCount val="1"/>
                <c:pt idx="0">
                  <c:v>Total</c:v>
                </c:pt>
              </c:strCache>
            </c:strRef>
          </c:tx>
          <c:spPr>
            <a:ln w="28575" cap="rnd">
              <a:solidFill>
                <a:schemeClr val="accent1"/>
              </a:solidFill>
              <a:round/>
            </a:ln>
            <a:effectLst/>
          </c:spPr>
          <c:marker>
            <c:symbol val="none"/>
          </c:marker>
          <c:cat>
            <c:strRef>
              <c:f>'Monthly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Trend'!$B$4:$B$16</c:f>
              <c:numCache>
                <c:formatCode>_("$"* #,##0_);_("$"* \(#,##0\);_("$"* "-"??_);_(@_)</c:formatCode>
                <c:ptCount val="12"/>
                <c:pt idx="0">
                  <c:v>647208</c:v>
                </c:pt>
                <c:pt idx="1">
                  <c:v>633960</c:v>
                </c:pt>
                <c:pt idx="2">
                  <c:v>629309</c:v>
                </c:pt>
                <c:pt idx="3">
                  <c:v>705931</c:v>
                </c:pt>
                <c:pt idx="4">
                  <c:v>661372</c:v>
                </c:pt>
                <c:pt idx="5">
                  <c:v>629804</c:v>
                </c:pt>
                <c:pt idx="6">
                  <c:v>648641</c:v>
                </c:pt>
                <c:pt idx="7">
                  <c:v>703744</c:v>
                </c:pt>
                <c:pt idx="8">
                  <c:v>697968</c:v>
                </c:pt>
                <c:pt idx="9">
                  <c:v>654995</c:v>
                </c:pt>
                <c:pt idx="10">
                  <c:v>676461</c:v>
                </c:pt>
                <c:pt idx="11">
                  <c:v>704654</c:v>
                </c:pt>
              </c:numCache>
            </c:numRef>
          </c:val>
          <c:smooth val="0"/>
          <c:extLst>
            <c:ext xmlns:c16="http://schemas.microsoft.com/office/drawing/2014/chart" uri="{C3380CC4-5D6E-409C-BE32-E72D297353CC}">
              <c16:uniqueId val="{00000000-3A98-483B-B23D-F4CCCF5DFA28}"/>
            </c:ext>
          </c:extLst>
        </c:ser>
        <c:dLbls>
          <c:showLegendKey val="0"/>
          <c:showVal val="0"/>
          <c:showCatName val="0"/>
          <c:showSerName val="0"/>
          <c:showPercent val="0"/>
          <c:showBubbleSize val="0"/>
        </c:dLbls>
        <c:smooth val="0"/>
        <c:axId val="1838408400"/>
        <c:axId val="264940736"/>
      </c:lineChart>
      <c:catAx>
        <c:axId val="183840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940736"/>
        <c:crosses val="autoZero"/>
        <c:auto val="1"/>
        <c:lblAlgn val="ctr"/>
        <c:lblOffset val="100"/>
        <c:noMultiLvlLbl val="0"/>
      </c:catAx>
      <c:valAx>
        <c:axId val="26494073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408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171449</xdr:rowOff>
    </xdr:from>
    <xdr:to>
      <xdr:col>10</xdr:col>
      <xdr:colOff>542925</xdr:colOff>
      <xdr:row>30</xdr:row>
      <xdr:rowOff>142874</xdr:rowOff>
    </xdr:to>
    <xdr:graphicFrame macro="">
      <xdr:nvGraphicFramePr>
        <xdr:cNvPr id="5" name="Chart 4">
          <a:extLst>
            <a:ext uri="{FF2B5EF4-FFF2-40B4-BE49-F238E27FC236}">
              <a16:creationId xmlns:a16="http://schemas.microsoft.com/office/drawing/2014/main" id="{AE36D494-9DAD-4795-999B-2AD1843363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32</xdr:row>
      <xdr:rowOff>0</xdr:rowOff>
    </xdr:from>
    <xdr:to>
      <xdr:col>9</xdr:col>
      <xdr:colOff>590550</xdr:colOff>
      <xdr:row>48</xdr:row>
      <xdr:rowOff>57150</xdr:rowOff>
    </xdr:to>
    <xdr:graphicFrame macro="">
      <xdr:nvGraphicFramePr>
        <xdr:cNvPr id="6" name="Chart 5">
          <a:extLst>
            <a:ext uri="{FF2B5EF4-FFF2-40B4-BE49-F238E27FC236}">
              <a16:creationId xmlns:a16="http://schemas.microsoft.com/office/drawing/2014/main" id="{83DEC932-A393-40A7-AE82-7557B2D8E0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581025</xdr:colOff>
      <xdr:row>2</xdr:row>
      <xdr:rowOff>180975</xdr:rowOff>
    </xdr:from>
    <xdr:to>
      <xdr:col>13</xdr:col>
      <xdr:colOff>581025</xdr:colOff>
      <xdr:row>16</xdr:row>
      <xdr:rowOff>180975</xdr:rowOff>
    </xdr:to>
    <mc:AlternateContent xmlns:mc="http://schemas.openxmlformats.org/markup-compatibility/2006">
      <mc:Choice xmlns:a14="http://schemas.microsoft.com/office/drawing/2010/main" Requires="a14">
        <xdr:graphicFrame macro="">
          <xdr:nvGraphicFramePr>
            <xdr:cNvPr id="7" name="Department">
              <a:extLst>
                <a:ext uri="{FF2B5EF4-FFF2-40B4-BE49-F238E27FC236}">
                  <a16:creationId xmlns:a16="http://schemas.microsoft.com/office/drawing/2014/main" id="{EA32F9CA-CC14-4D5E-91F7-B2A61CE3B98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1020425" y="8477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y" refreshedDate="46247.475373611109" createdVersion="8" refreshedVersion="8" minRefreshableVersion="3" recordCount="1152" xr:uid="{6FB8567D-0D64-46E1-9E0A-D3D6A386296A}">
  <cacheSource type="worksheet">
    <worksheetSource name="tblActuals"/>
  </cacheSource>
  <cacheFields count="8">
    <cacheField name="Date" numFmtId="14">
      <sharedItems containsSemiMixedTypes="0" containsNonDate="0" containsDate="1" containsString="0" minDate="2025-01-05T00:00:00" maxDate="2025-12-08T00:00:00"/>
    </cacheField>
    <cacheField name="Department" numFmtId="0">
      <sharedItems count="4">
        <s v="Food &amp; Beverage"/>
        <s v="Housekeeping"/>
        <s v="Gaming Operations"/>
        <s v="Entertainment &amp; Events"/>
      </sharedItems>
    </cacheField>
    <cacheField name="GL Account" numFmtId="0">
      <sharedItems containsSemiMixedTypes="0" containsString="0" containsNumber="1" containsInteger="1" minValue="6010" maxValue="6320"/>
    </cacheField>
    <cacheField name="Vendor" numFmtId="0">
      <sharedItems/>
    </cacheField>
    <cacheField name="Description" numFmtId="0">
      <sharedItems/>
    </cacheField>
    <cacheField name="Amount" numFmtId="0">
      <sharedItems containsSemiMixedTypes="0" containsString="0" containsNumber="1" containsInteger="1" minValue="1506" maxValue="11988"/>
    </cacheField>
    <cacheField name="Cost Category" numFmtId="0">
      <sharedItems count="4">
        <s v="Labor"/>
        <s v="Supplies &amp; Inventory"/>
        <s v="Utilities"/>
        <s v="Maintenance &amp; Repairs"/>
      </sharedItems>
    </cacheField>
    <cacheField name="Month" numFmtId="0">
      <sharedItems count="12">
        <s v="Jan"/>
        <s v="Feb"/>
        <s v="Mar"/>
        <s v="Apr"/>
        <s v="May"/>
        <s v="Jun"/>
        <s v="Jul"/>
        <s v="Aug"/>
        <s v="Sep"/>
        <s v="Oct"/>
        <s v="Nov"/>
        <s v="Dec"/>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y" refreshedDate="46247.498410995373" createdVersion="8" refreshedVersion="8" minRefreshableVersion="3" recordCount="192" xr:uid="{630B5C56-1966-4E0D-A477-6066F86E87D6}">
  <cacheSource type="worksheet">
    <worksheetSource name="tblBudget5"/>
  </cacheSource>
  <cacheFields count="7">
    <cacheField name="Month" numFmtId="0">
      <sharedItems count="12">
        <s v="Jan"/>
        <s v="Feb"/>
        <s v="Mar"/>
        <s v="Apr"/>
        <s v="May"/>
        <s v="Jun"/>
        <s v="Jul"/>
        <s v="Aug"/>
        <s v="Sep"/>
        <s v="Oct"/>
        <s v="Nov"/>
        <s v="Dec"/>
      </sharedItems>
    </cacheField>
    <cacheField name="Department" numFmtId="0">
      <sharedItems count="4">
        <s v="Food &amp; Beverage"/>
        <s v="Housekeeping"/>
        <s v="Gaming Operations"/>
        <s v="Entertainment &amp; Events"/>
      </sharedItems>
    </cacheField>
    <cacheField name="Cost Category" numFmtId="0">
      <sharedItems count="4">
        <s v="Labor"/>
        <s v="Supplies &amp; Inventory"/>
        <s v="Utilities"/>
        <s v="Maintenance &amp; Repairs"/>
      </sharedItems>
    </cacheField>
    <cacheField name="Budgeted Cost" numFmtId="167">
      <sharedItems containsSemiMixedTypes="0" containsString="0" containsNumber="1" containsInteger="1" minValue="7784" maxValue="84165"/>
    </cacheField>
    <cacheField name="Actual Cost" numFmtId="167">
      <sharedItems containsSemiMixedTypes="0" containsString="0" containsNumber="1" containsInteger="1" minValue="22122" maxValue="56583"/>
    </cacheField>
    <cacheField name="Variance $" numFmtId="167">
      <sharedItems containsSemiMixedTypes="0" containsString="0" containsNumber="1" containsInteger="1" minValue="-50489" maxValue="44638"/>
    </cacheField>
    <cacheField name="Variance %" numFmtId="165">
      <sharedItems containsSemiMixedTypes="0" containsString="0" containsNumber="1" minValue="-0.61759062386558106" maxValue="5.334660842754368"/>
    </cacheField>
  </cacheFields>
  <extLst>
    <ext xmlns:x14="http://schemas.microsoft.com/office/spreadsheetml/2009/9/main" uri="{725AE2AE-9491-48be-B2B4-4EB974FC3084}">
      <x14:pivotCacheDefinition pivotCacheId="5863106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2">
  <r>
    <d v="2025-01-05T00:00:00"/>
    <x v="0"/>
    <n v="6010"/>
    <s v="NV Energy"/>
    <s v="Payroll"/>
    <n v="7447"/>
    <x v="0"/>
    <x v="0"/>
  </r>
  <r>
    <d v="2025-01-06T00:00:00"/>
    <x v="0"/>
    <n v="6010"/>
    <s v="Sysco"/>
    <s v="Payroll"/>
    <n v="5423"/>
    <x v="0"/>
    <x v="0"/>
  </r>
  <r>
    <d v="2025-01-07T00:00:00"/>
    <x v="0"/>
    <n v="6010"/>
    <s v="Grainger"/>
    <s v="Payroll"/>
    <n v="5446"/>
    <x v="0"/>
    <x v="0"/>
  </r>
  <r>
    <d v="2025-01-05T00:00:00"/>
    <x v="0"/>
    <n v="6020"/>
    <s v="Sysco"/>
    <s v="Overtime Payroll"/>
    <n v="2790"/>
    <x v="0"/>
    <x v="0"/>
  </r>
  <r>
    <d v="2025-01-06T00:00:00"/>
    <x v="0"/>
    <n v="6020"/>
    <s v="Sysco"/>
    <s v="Overtime Payroll"/>
    <n v="9462"/>
    <x v="0"/>
    <x v="0"/>
  </r>
  <r>
    <d v="2025-01-07T00:00:00"/>
    <x v="0"/>
    <n v="6020"/>
    <s v="US Foods"/>
    <s v="Overtime Payroll"/>
    <n v="10227"/>
    <x v="0"/>
    <x v="0"/>
  </r>
  <r>
    <d v="2025-01-05T00:00:00"/>
    <x v="0"/>
    <n v="6110"/>
    <s v="Local Contractor"/>
    <s v="Food Inventory"/>
    <n v="3603"/>
    <x v="1"/>
    <x v="0"/>
  </r>
  <r>
    <d v="2025-01-06T00:00:00"/>
    <x v="0"/>
    <n v="6110"/>
    <s v="Grainger"/>
    <s v="Food Inventory"/>
    <n v="9287"/>
    <x v="1"/>
    <x v="0"/>
  </r>
  <r>
    <d v="2025-01-07T00:00:00"/>
    <x v="0"/>
    <n v="6110"/>
    <s v="NV Energy"/>
    <s v="Food Inventory"/>
    <n v="4205"/>
    <x v="1"/>
    <x v="0"/>
  </r>
  <r>
    <d v="2025-01-05T00:00:00"/>
    <x v="0"/>
    <n v="6120"/>
    <s v="Grainger"/>
    <s v="Operating Supplies"/>
    <n v="10145"/>
    <x v="1"/>
    <x v="0"/>
  </r>
  <r>
    <d v="2025-01-06T00:00:00"/>
    <x v="0"/>
    <n v="6120"/>
    <s v="US Foods"/>
    <s v="Operating Supplies"/>
    <n v="8432"/>
    <x v="1"/>
    <x v="0"/>
  </r>
  <r>
    <d v="2025-01-07T00:00:00"/>
    <x v="0"/>
    <n v="6120"/>
    <s v="Local Contractor"/>
    <s v="Operating Supplies"/>
    <n v="10335"/>
    <x v="1"/>
    <x v="0"/>
  </r>
  <r>
    <d v="2025-01-05T00:00:00"/>
    <x v="0"/>
    <n v="6210"/>
    <s v="Local Contractor"/>
    <s v="Electricity"/>
    <n v="4795"/>
    <x v="2"/>
    <x v="0"/>
  </r>
  <r>
    <d v="2025-01-06T00:00:00"/>
    <x v="0"/>
    <n v="6210"/>
    <s v="Cintas"/>
    <s v="Electricity"/>
    <n v="6607"/>
    <x v="2"/>
    <x v="0"/>
  </r>
  <r>
    <d v="2025-01-07T00:00:00"/>
    <x v="0"/>
    <n v="6210"/>
    <s v="Cintas"/>
    <s v="Electricity"/>
    <n v="7618"/>
    <x v="2"/>
    <x v="0"/>
  </r>
  <r>
    <d v="2025-01-05T00:00:00"/>
    <x v="0"/>
    <n v="6220"/>
    <s v="Cintas"/>
    <s v="Water &amp; Sewer"/>
    <n v="9979"/>
    <x v="2"/>
    <x v="0"/>
  </r>
  <r>
    <d v="2025-01-06T00:00:00"/>
    <x v="0"/>
    <n v="6220"/>
    <s v="US Foods"/>
    <s v="Water &amp; Sewer"/>
    <n v="3482"/>
    <x v="2"/>
    <x v="0"/>
  </r>
  <r>
    <d v="2025-01-07T00:00:00"/>
    <x v="0"/>
    <n v="6220"/>
    <s v="Sysco"/>
    <s v="Water &amp; Sewer"/>
    <n v="5181"/>
    <x v="2"/>
    <x v="0"/>
  </r>
  <r>
    <d v="2025-01-05T00:00:00"/>
    <x v="0"/>
    <n v="6310"/>
    <s v="Sysco"/>
    <s v="Equipment Repairs"/>
    <n v="7039"/>
    <x v="3"/>
    <x v="0"/>
  </r>
  <r>
    <d v="2025-01-06T00:00:00"/>
    <x v="0"/>
    <n v="6310"/>
    <s v="Grainger"/>
    <s v="Equipment Repairs"/>
    <n v="11138"/>
    <x v="3"/>
    <x v="0"/>
  </r>
  <r>
    <d v="2025-01-07T00:00:00"/>
    <x v="0"/>
    <n v="6310"/>
    <s v="Grainger"/>
    <s v="Equipment Repairs"/>
    <n v="5270"/>
    <x v="3"/>
    <x v="0"/>
  </r>
  <r>
    <d v="2025-01-05T00:00:00"/>
    <x v="0"/>
    <n v="6320"/>
    <s v="Sysco"/>
    <s v="Preventive Maintenance"/>
    <n v="5108"/>
    <x v="3"/>
    <x v="0"/>
  </r>
  <r>
    <d v="2025-01-06T00:00:00"/>
    <x v="0"/>
    <n v="6320"/>
    <s v="Local Contractor"/>
    <s v="Preventive Maintenance"/>
    <n v="2663"/>
    <x v="3"/>
    <x v="0"/>
  </r>
  <r>
    <d v="2025-01-07T00:00:00"/>
    <x v="0"/>
    <n v="6320"/>
    <s v="Sysco"/>
    <s v="Preventive Maintenance"/>
    <n v="11839"/>
    <x v="3"/>
    <x v="0"/>
  </r>
  <r>
    <d v="2025-01-05T00:00:00"/>
    <x v="1"/>
    <n v="6010"/>
    <s v="Sysco"/>
    <s v="Payroll"/>
    <n v="5250"/>
    <x v="0"/>
    <x v="0"/>
  </r>
  <r>
    <d v="2025-01-06T00:00:00"/>
    <x v="1"/>
    <n v="6010"/>
    <s v="NV Energy"/>
    <s v="Payroll"/>
    <n v="2014"/>
    <x v="0"/>
    <x v="0"/>
  </r>
  <r>
    <d v="2025-01-07T00:00:00"/>
    <x v="1"/>
    <n v="6010"/>
    <s v="Grainger"/>
    <s v="Payroll"/>
    <n v="2660"/>
    <x v="0"/>
    <x v="0"/>
  </r>
  <r>
    <d v="2025-01-05T00:00:00"/>
    <x v="1"/>
    <n v="6020"/>
    <s v="NV Energy"/>
    <s v="Overtime Payroll"/>
    <n v="5399"/>
    <x v="0"/>
    <x v="0"/>
  </r>
  <r>
    <d v="2025-01-06T00:00:00"/>
    <x v="1"/>
    <n v="6020"/>
    <s v="US Foods"/>
    <s v="Overtime Payroll"/>
    <n v="9453"/>
    <x v="0"/>
    <x v="0"/>
  </r>
  <r>
    <d v="2025-01-07T00:00:00"/>
    <x v="1"/>
    <n v="6020"/>
    <s v="US Foods"/>
    <s v="Overtime Payroll"/>
    <n v="10334"/>
    <x v="0"/>
    <x v="0"/>
  </r>
  <r>
    <d v="2025-01-05T00:00:00"/>
    <x v="1"/>
    <n v="6110"/>
    <s v="Grainger"/>
    <s v="Food Inventory"/>
    <n v="10855"/>
    <x v="1"/>
    <x v="0"/>
  </r>
  <r>
    <d v="2025-01-06T00:00:00"/>
    <x v="1"/>
    <n v="6110"/>
    <s v="US Foods"/>
    <s v="Food Inventory"/>
    <n v="9244"/>
    <x v="1"/>
    <x v="0"/>
  </r>
  <r>
    <d v="2025-01-07T00:00:00"/>
    <x v="1"/>
    <n v="6110"/>
    <s v="Cintas"/>
    <s v="Food Inventory"/>
    <n v="9249"/>
    <x v="1"/>
    <x v="0"/>
  </r>
  <r>
    <d v="2025-01-05T00:00:00"/>
    <x v="1"/>
    <n v="6120"/>
    <s v="Sysco"/>
    <s v="Operating Supplies"/>
    <n v="4619"/>
    <x v="1"/>
    <x v="0"/>
  </r>
  <r>
    <d v="2025-01-06T00:00:00"/>
    <x v="1"/>
    <n v="6120"/>
    <s v="Local Contractor"/>
    <s v="Operating Supplies"/>
    <n v="3088"/>
    <x v="1"/>
    <x v="0"/>
  </r>
  <r>
    <d v="2025-01-07T00:00:00"/>
    <x v="1"/>
    <n v="6120"/>
    <s v="NV Energy"/>
    <s v="Operating Supplies"/>
    <n v="8562"/>
    <x v="1"/>
    <x v="0"/>
  </r>
  <r>
    <d v="2025-01-05T00:00:00"/>
    <x v="1"/>
    <n v="6210"/>
    <s v="Cintas"/>
    <s v="Electricity"/>
    <n v="8439"/>
    <x v="2"/>
    <x v="0"/>
  </r>
  <r>
    <d v="2025-01-06T00:00:00"/>
    <x v="1"/>
    <n v="6210"/>
    <s v="Local Contractor"/>
    <s v="Electricity"/>
    <n v="9151"/>
    <x v="2"/>
    <x v="0"/>
  </r>
  <r>
    <d v="2025-01-07T00:00:00"/>
    <x v="1"/>
    <n v="6210"/>
    <s v="Local Contractor"/>
    <s v="Electricity"/>
    <n v="2387"/>
    <x v="2"/>
    <x v="0"/>
  </r>
  <r>
    <d v="2025-01-05T00:00:00"/>
    <x v="1"/>
    <n v="6220"/>
    <s v="Sysco"/>
    <s v="Water &amp; Sewer"/>
    <n v="3112"/>
    <x v="2"/>
    <x v="0"/>
  </r>
  <r>
    <d v="2025-01-06T00:00:00"/>
    <x v="1"/>
    <n v="6220"/>
    <s v="Local Contractor"/>
    <s v="Water &amp; Sewer"/>
    <n v="8096"/>
    <x v="2"/>
    <x v="0"/>
  </r>
  <r>
    <d v="2025-01-07T00:00:00"/>
    <x v="1"/>
    <n v="6220"/>
    <s v="Sysco"/>
    <s v="Water &amp; Sewer"/>
    <n v="7059"/>
    <x v="2"/>
    <x v="0"/>
  </r>
  <r>
    <d v="2025-01-05T00:00:00"/>
    <x v="1"/>
    <n v="6310"/>
    <s v="US Foods"/>
    <s v="Equipment Repairs"/>
    <n v="5573"/>
    <x v="3"/>
    <x v="0"/>
  </r>
  <r>
    <d v="2025-01-06T00:00:00"/>
    <x v="1"/>
    <n v="6310"/>
    <s v="Grainger"/>
    <s v="Equipment Repairs"/>
    <n v="4616"/>
    <x v="3"/>
    <x v="0"/>
  </r>
  <r>
    <d v="2025-01-07T00:00:00"/>
    <x v="1"/>
    <n v="6310"/>
    <s v="US Foods"/>
    <s v="Equipment Repairs"/>
    <n v="8850"/>
    <x v="3"/>
    <x v="0"/>
  </r>
  <r>
    <d v="2025-01-05T00:00:00"/>
    <x v="1"/>
    <n v="6320"/>
    <s v="US Foods"/>
    <s v="Preventive Maintenance"/>
    <n v="8412"/>
    <x v="3"/>
    <x v="0"/>
  </r>
  <r>
    <d v="2025-01-06T00:00:00"/>
    <x v="1"/>
    <n v="6320"/>
    <s v="Cintas"/>
    <s v="Preventive Maintenance"/>
    <n v="6063"/>
    <x v="3"/>
    <x v="0"/>
  </r>
  <r>
    <d v="2025-01-07T00:00:00"/>
    <x v="1"/>
    <n v="6320"/>
    <s v="Sysco"/>
    <s v="Preventive Maintenance"/>
    <n v="5592"/>
    <x v="3"/>
    <x v="0"/>
  </r>
  <r>
    <d v="2025-01-05T00:00:00"/>
    <x v="2"/>
    <n v="6010"/>
    <s v="Grainger"/>
    <s v="Payroll"/>
    <n v="8760"/>
    <x v="0"/>
    <x v="0"/>
  </r>
  <r>
    <d v="2025-01-06T00:00:00"/>
    <x v="2"/>
    <n v="6010"/>
    <s v="Sysco"/>
    <s v="Payroll"/>
    <n v="3104"/>
    <x v="0"/>
    <x v="0"/>
  </r>
  <r>
    <d v="2025-01-07T00:00:00"/>
    <x v="2"/>
    <n v="6010"/>
    <s v="Sysco"/>
    <s v="Payroll"/>
    <n v="10356"/>
    <x v="0"/>
    <x v="0"/>
  </r>
  <r>
    <d v="2025-01-05T00:00:00"/>
    <x v="2"/>
    <n v="6020"/>
    <s v="US Foods"/>
    <s v="Overtime Payroll"/>
    <n v="3028"/>
    <x v="0"/>
    <x v="0"/>
  </r>
  <r>
    <d v="2025-01-06T00:00:00"/>
    <x v="2"/>
    <n v="6020"/>
    <s v="Cintas"/>
    <s v="Overtime Payroll"/>
    <n v="4224"/>
    <x v="0"/>
    <x v="0"/>
  </r>
  <r>
    <d v="2025-01-07T00:00:00"/>
    <x v="2"/>
    <n v="6020"/>
    <s v="Cintas"/>
    <s v="Overtime Payroll"/>
    <n v="9456"/>
    <x v="0"/>
    <x v="0"/>
  </r>
  <r>
    <d v="2025-01-05T00:00:00"/>
    <x v="2"/>
    <n v="6110"/>
    <s v="Cintas"/>
    <s v="Food Inventory"/>
    <n v="5002"/>
    <x v="1"/>
    <x v="0"/>
  </r>
  <r>
    <d v="2025-01-06T00:00:00"/>
    <x v="2"/>
    <n v="6110"/>
    <s v="US Foods"/>
    <s v="Food Inventory"/>
    <n v="2460"/>
    <x v="1"/>
    <x v="0"/>
  </r>
  <r>
    <d v="2025-01-07T00:00:00"/>
    <x v="2"/>
    <n v="6110"/>
    <s v="Sysco"/>
    <s v="Food Inventory"/>
    <n v="7709"/>
    <x v="1"/>
    <x v="0"/>
  </r>
  <r>
    <d v="2025-01-05T00:00:00"/>
    <x v="2"/>
    <n v="6120"/>
    <s v="NV Energy"/>
    <s v="Operating Supplies"/>
    <n v="7896"/>
    <x v="1"/>
    <x v="0"/>
  </r>
  <r>
    <d v="2025-01-06T00:00:00"/>
    <x v="2"/>
    <n v="6120"/>
    <s v="NV Energy"/>
    <s v="Operating Supplies"/>
    <n v="8954"/>
    <x v="1"/>
    <x v="0"/>
  </r>
  <r>
    <d v="2025-01-07T00:00:00"/>
    <x v="2"/>
    <n v="6120"/>
    <s v="Local Contractor"/>
    <s v="Operating Supplies"/>
    <n v="8430"/>
    <x v="1"/>
    <x v="0"/>
  </r>
  <r>
    <d v="2025-01-05T00:00:00"/>
    <x v="2"/>
    <n v="6210"/>
    <s v="Local Contractor"/>
    <s v="Electricity"/>
    <n v="10605"/>
    <x v="2"/>
    <x v="0"/>
  </r>
  <r>
    <d v="2025-01-06T00:00:00"/>
    <x v="2"/>
    <n v="6210"/>
    <s v="US Foods"/>
    <s v="Electricity"/>
    <n v="9473"/>
    <x v="2"/>
    <x v="0"/>
  </r>
  <r>
    <d v="2025-01-07T00:00:00"/>
    <x v="2"/>
    <n v="6210"/>
    <s v="NV Energy"/>
    <s v="Electricity"/>
    <n v="4611"/>
    <x v="2"/>
    <x v="0"/>
  </r>
  <r>
    <d v="2025-01-05T00:00:00"/>
    <x v="2"/>
    <n v="6220"/>
    <s v="Sysco"/>
    <s v="Water &amp; Sewer"/>
    <n v="5066"/>
    <x v="2"/>
    <x v="0"/>
  </r>
  <r>
    <d v="2025-01-06T00:00:00"/>
    <x v="2"/>
    <n v="6220"/>
    <s v="Local Contractor"/>
    <s v="Water &amp; Sewer"/>
    <n v="10989"/>
    <x v="2"/>
    <x v="0"/>
  </r>
  <r>
    <d v="2025-01-07T00:00:00"/>
    <x v="2"/>
    <n v="6220"/>
    <s v="Sysco"/>
    <s v="Water &amp; Sewer"/>
    <n v="10383"/>
    <x v="2"/>
    <x v="0"/>
  </r>
  <r>
    <d v="2025-01-05T00:00:00"/>
    <x v="2"/>
    <n v="6310"/>
    <s v="Sysco"/>
    <s v="Equipment Repairs"/>
    <n v="6638"/>
    <x v="3"/>
    <x v="0"/>
  </r>
  <r>
    <d v="2025-01-06T00:00:00"/>
    <x v="2"/>
    <n v="6310"/>
    <s v="Grainger"/>
    <s v="Equipment Repairs"/>
    <n v="2321"/>
    <x v="3"/>
    <x v="0"/>
  </r>
  <r>
    <d v="2025-01-07T00:00:00"/>
    <x v="2"/>
    <n v="6310"/>
    <s v="Grainger"/>
    <s v="Equipment Repairs"/>
    <n v="9311"/>
    <x v="3"/>
    <x v="0"/>
  </r>
  <r>
    <d v="2025-01-05T00:00:00"/>
    <x v="2"/>
    <n v="6320"/>
    <s v="US Foods"/>
    <s v="Preventive Maintenance"/>
    <n v="10201"/>
    <x v="3"/>
    <x v="0"/>
  </r>
  <r>
    <d v="2025-01-06T00:00:00"/>
    <x v="2"/>
    <n v="6320"/>
    <s v="Grainger"/>
    <s v="Preventive Maintenance"/>
    <n v="2431"/>
    <x v="3"/>
    <x v="0"/>
  </r>
  <r>
    <d v="2025-01-07T00:00:00"/>
    <x v="2"/>
    <n v="6320"/>
    <s v="US Foods"/>
    <s v="Preventive Maintenance"/>
    <n v="2812"/>
    <x v="3"/>
    <x v="0"/>
  </r>
  <r>
    <d v="2025-01-05T00:00:00"/>
    <x v="3"/>
    <n v="6010"/>
    <s v="Grainger"/>
    <s v="Payroll"/>
    <n v="2622"/>
    <x v="0"/>
    <x v="0"/>
  </r>
  <r>
    <d v="2025-01-06T00:00:00"/>
    <x v="3"/>
    <n v="6010"/>
    <s v="Local Contractor"/>
    <s v="Payroll"/>
    <n v="2613"/>
    <x v="0"/>
    <x v="0"/>
  </r>
  <r>
    <d v="2025-01-07T00:00:00"/>
    <x v="3"/>
    <n v="6010"/>
    <s v="Cintas"/>
    <s v="Payroll"/>
    <n v="5353"/>
    <x v="0"/>
    <x v="0"/>
  </r>
  <r>
    <d v="2025-01-05T00:00:00"/>
    <x v="3"/>
    <n v="6020"/>
    <s v="Grainger"/>
    <s v="Overtime Payroll"/>
    <n v="3464"/>
    <x v="0"/>
    <x v="0"/>
  </r>
  <r>
    <d v="2025-01-06T00:00:00"/>
    <x v="3"/>
    <n v="6020"/>
    <s v="Grainger"/>
    <s v="Overtime Payroll"/>
    <n v="5533"/>
    <x v="0"/>
    <x v="0"/>
  </r>
  <r>
    <d v="2025-01-07T00:00:00"/>
    <x v="3"/>
    <n v="6020"/>
    <s v="Sysco"/>
    <s v="Overtime Payroll"/>
    <n v="11240"/>
    <x v="0"/>
    <x v="0"/>
  </r>
  <r>
    <d v="2025-01-05T00:00:00"/>
    <x v="3"/>
    <n v="6110"/>
    <s v="Sysco"/>
    <s v="Food Inventory"/>
    <n v="11647"/>
    <x v="1"/>
    <x v="0"/>
  </r>
  <r>
    <d v="2025-01-06T00:00:00"/>
    <x v="3"/>
    <n v="6110"/>
    <s v="Local Contractor"/>
    <s v="Food Inventory"/>
    <n v="8368"/>
    <x v="1"/>
    <x v="0"/>
  </r>
  <r>
    <d v="2025-01-07T00:00:00"/>
    <x v="3"/>
    <n v="6110"/>
    <s v="Grainger"/>
    <s v="Food Inventory"/>
    <n v="11062"/>
    <x v="1"/>
    <x v="0"/>
  </r>
  <r>
    <d v="2025-01-05T00:00:00"/>
    <x v="3"/>
    <n v="6120"/>
    <s v="NV Energy"/>
    <s v="Operating Supplies"/>
    <n v="10065"/>
    <x v="1"/>
    <x v="0"/>
  </r>
  <r>
    <d v="2025-01-06T00:00:00"/>
    <x v="3"/>
    <n v="6120"/>
    <s v="US Foods"/>
    <s v="Operating Supplies"/>
    <n v="5772"/>
    <x v="1"/>
    <x v="0"/>
  </r>
  <r>
    <d v="2025-01-07T00:00:00"/>
    <x v="3"/>
    <n v="6120"/>
    <s v="US Foods"/>
    <s v="Operating Supplies"/>
    <n v="6647"/>
    <x v="1"/>
    <x v="0"/>
  </r>
  <r>
    <d v="2025-01-05T00:00:00"/>
    <x v="3"/>
    <n v="6210"/>
    <s v="Cintas"/>
    <s v="Electricity"/>
    <n v="5851"/>
    <x v="2"/>
    <x v="0"/>
  </r>
  <r>
    <d v="2025-01-06T00:00:00"/>
    <x v="3"/>
    <n v="6210"/>
    <s v="Local Contractor"/>
    <s v="Electricity"/>
    <n v="3644"/>
    <x v="2"/>
    <x v="0"/>
  </r>
  <r>
    <d v="2025-01-07T00:00:00"/>
    <x v="3"/>
    <n v="6210"/>
    <s v="Cintas"/>
    <s v="Electricity"/>
    <n v="6415"/>
    <x v="2"/>
    <x v="0"/>
  </r>
  <r>
    <d v="2025-01-05T00:00:00"/>
    <x v="3"/>
    <n v="6220"/>
    <s v="Sysco"/>
    <s v="Water &amp; Sewer"/>
    <n v="6680"/>
    <x v="2"/>
    <x v="0"/>
  </r>
  <r>
    <d v="2025-01-06T00:00:00"/>
    <x v="3"/>
    <n v="6220"/>
    <s v="Cintas"/>
    <s v="Water &amp; Sewer"/>
    <n v="1652"/>
    <x v="2"/>
    <x v="0"/>
  </r>
  <r>
    <d v="2025-01-07T00:00:00"/>
    <x v="3"/>
    <n v="6220"/>
    <s v="Grainger"/>
    <s v="Water &amp; Sewer"/>
    <n v="11677"/>
    <x v="2"/>
    <x v="0"/>
  </r>
  <r>
    <d v="2025-01-05T00:00:00"/>
    <x v="3"/>
    <n v="6310"/>
    <s v="Sysco"/>
    <s v="Equipment Repairs"/>
    <n v="3138"/>
    <x v="3"/>
    <x v="0"/>
  </r>
  <r>
    <d v="2025-01-06T00:00:00"/>
    <x v="3"/>
    <n v="6310"/>
    <s v="US Foods"/>
    <s v="Equipment Repairs"/>
    <n v="10308"/>
    <x v="3"/>
    <x v="0"/>
  </r>
  <r>
    <d v="2025-01-07T00:00:00"/>
    <x v="3"/>
    <n v="6310"/>
    <s v="NV Energy"/>
    <s v="Equipment Repairs"/>
    <n v="9788"/>
    <x v="3"/>
    <x v="0"/>
  </r>
  <r>
    <d v="2025-01-05T00:00:00"/>
    <x v="3"/>
    <n v="6320"/>
    <s v="NV Energy"/>
    <s v="Preventive Maintenance"/>
    <n v="3670"/>
    <x v="3"/>
    <x v="0"/>
  </r>
  <r>
    <d v="2025-01-06T00:00:00"/>
    <x v="3"/>
    <n v="6320"/>
    <s v="US Foods"/>
    <s v="Preventive Maintenance"/>
    <n v="2627"/>
    <x v="3"/>
    <x v="0"/>
  </r>
  <r>
    <d v="2025-01-07T00:00:00"/>
    <x v="3"/>
    <n v="6320"/>
    <s v="NV Energy"/>
    <s v="Preventive Maintenance"/>
    <n v="7554"/>
    <x v="3"/>
    <x v="0"/>
  </r>
  <r>
    <d v="2025-02-05T00:00:00"/>
    <x v="0"/>
    <n v="6010"/>
    <s v="Cintas"/>
    <s v="Payroll"/>
    <n v="4084"/>
    <x v="0"/>
    <x v="1"/>
  </r>
  <r>
    <d v="2025-02-06T00:00:00"/>
    <x v="0"/>
    <n v="6010"/>
    <s v="Local Contractor"/>
    <s v="Payroll"/>
    <n v="10400"/>
    <x v="0"/>
    <x v="1"/>
  </r>
  <r>
    <d v="2025-02-07T00:00:00"/>
    <x v="0"/>
    <n v="6010"/>
    <s v="Grainger"/>
    <s v="Payroll"/>
    <n v="6456"/>
    <x v="0"/>
    <x v="1"/>
  </r>
  <r>
    <d v="2025-02-05T00:00:00"/>
    <x v="0"/>
    <n v="6020"/>
    <s v="Sysco"/>
    <s v="Overtime Payroll"/>
    <n v="10166"/>
    <x v="0"/>
    <x v="1"/>
  </r>
  <r>
    <d v="2025-02-06T00:00:00"/>
    <x v="0"/>
    <n v="6020"/>
    <s v="NV Energy"/>
    <s v="Overtime Payroll"/>
    <n v="10586"/>
    <x v="0"/>
    <x v="1"/>
  </r>
  <r>
    <d v="2025-02-07T00:00:00"/>
    <x v="0"/>
    <n v="6020"/>
    <s v="US Foods"/>
    <s v="Overtime Payroll"/>
    <n v="3197"/>
    <x v="0"/>
    <x v="1"/>
  </r>
  <r>
    <d v="2025-02-05T00:00:00"/>
    <x v="0"/>
    <n v="6110"/>
    <s v="Sysco"/>
    <s v="Food Inventory"/>
    <n v="5833"/>
    <x v="1"/>
    <x v="1"/>
  </r>
  <r>
    <d v="2025-02-06T00:00:00"/>
    <x v="0"/>
    <n v="6110"/>
    <s v="Local Contractor"/>
    <s v="Food Inventory"/>
    <n v="3253"/>
    <x v="1"/>
    <x v="1"/>
  </r>
  <r>
    <d v="2025-02-07T00:00:00"/>
    <x v="0"/>
    <n v="6110"/>
    <s v="US Foods"/>
    <s v="Food Inventory"/>
    <n v="10564"/>
    <x v="1"/>
    <x v="1"/>
  </r>
  <r>
    <d v="2025-02-05T00:00:00"/>
    <x v="0"/>
    <n v="6120"/>
    <s v="NV Energy"/>
    <s v="Operating Supplies"/>
    <n v="5962"/>
    <x v="1"/>
    <x v="1"/>
  </r>
  <r>
    <d v="2025-02-06T00:00:00"/>
    <x v="0"/>
    <n v="6120"/>
    <s v="US Foods"/>
    <s v="Operating Supplies"/>
    <n v="11409"/>
    <x v="1"/>
    <x v="1"/>
  </r>
  <r>
    <d v="2025-02-07T00:00:00"/>
    <x v="0"/>
    <n v="6120"/>
    <s v="US Foods"/>
    <s v="Operating Supplies"/>
    <n v="7117"/>
    <x v="1"/>
    <x v="1"/>
  </r>
  <r>
    <d v="2025-02-05T00:00:00"/>
    <x v="0"/>
    <n v="6210"/>
    <s v="NV Energy"/>
    <s v="Electricity"/>
    <n v="11891"/>
    <x v="2"/>
    <x v="1"/>
  </r>
  <r>
    <d v="2025-02-06T00:00:00"/>
    <x v="0"/>
    <n v="6210"/>
    <s v="Cintas"/>
    <s v="Electricity"/>
    <n v="9780"/>
    <x v="2"/>
    <x v="1"/>
  </r>
  <r>
    <d v="2025-02-07T00:00:00"/>
    <x v="0"/>
    <n v="6210"/>
    <s v="Sysco"/>
    <s v="Electricity"/>
    <n v="5614"/>
    <x v="2"/>
    <x v="1"/>
  </r>
  <r>
    <d v="2025-02-05T00:00:00"/>
    <x v="0"/>
    <n v="6220"/>
    <s v="Local Contractor"/>
    <s v="Water &amp; Sewer"/>
    <n v="3012"/>
    <x v="2"/>
    <x v="1"/>
  </r>
  <r>
    <d v="2025-02-06T00:00:00"/>
    <x v="0"/>
    <n v="6220"/>
    <s v="NV Energy"/>
    <s v="Water &amp; Sewer"/>
    <n v="8439"/>
    <x v="2"/>
    <x v="1"/>
  </r>
  <r>
    <d v="2025-02-07T00:00:00"/>
    <x v="0"/>
    <n v="6220"/>
    <s v="Sysco"/>
    <s v="Water &amp; Sewer"/>
    <n v="2222"/>
    <x v="2"/>
    <x v="1"/>
  </r>
  <r>
    <d v="2025-02-05T00:00:00"/>
    <x v="0"/>
    <n v="6310"/>
    <s v="US Foods"/>
    <s v="Equipment Repairs"/>
    <n v="6964"/>
    <x v="3"/>
    <x v="1"/>
  </r>
  <r>
    <d v="2025-02-06T00:00:00"/>
    <x v="0"/>
    <n v="6310"/>
    <s v="NV Energy"/>
    <s v="Equipment Repairs"/>
    <n v="11938"/>
    <x v="3"/>
    <x v="1"/>
  </r>
  <r>
    <d v="2025-02-07T00:00:00"/>
    <x v="0"/>
    <n v="6310"/>
    <s v="Local Contractor"/>
    <s v="Equipment Repairs"/>
    <n v="4147"/>
    <x v="3"/>
    <x v="1"/>
  </r>
  <r>
    <d v="2025-02-05T00:00:00"/>
    <x v="0"/>
    <n v="6320"/>
    <s v="Grainger"/>
    <s v="Preventive Maintenance"/>
    <n v="8739"/>
    <x v="3"/>
    <x v="1"/>
  </r>
  <r>
    <d v="2025-02-06T00:00:00"/>
    <x v="0"/>
    <n v="6320"/>
    <s v="Grainger"/>
    <s v="Preventive Maintenance"/>
    <n v="8507"/>
    <x v="3"/>
    <x v="1"/>
  </r>
  <r>
    <d v="2025-02-07T00:00:00"/>
    <x v="0"/>
    <n v="6320"/>
    <s v="Sysco"/>
    <s v="Preventive Maintenance"/>
    <n v="1658"/>
    <x v="3"/>
    <x v="1"/>
  </r>
  <r>
    <d v="2025-02-05T00:00:00"/>
    <x v="1"/>
    <n v="6010"/>
    <s v="Local Contractor"/>
    <s v="Payroll"/>
    <n v="2732"/>
    <x v="0"/>
    <x v="1"/>
  </r>
  <r>
    <d v="2025-02-06T00:00:00"/>
    <x v="1"/>
    <n v="6010"/>
    <s v="Grainger"/>
    <s v="Payroll"/>
    <n v="3942"/>
    <x v="0"/>
    <x v="1"/>
  </r>
  <r>
    <d v="2025-02-07T00:00:00"/>
    <x v="1"/>
    <n v="6010"/>
    <s v="NV Energy"/>
    <s v="Payroll"/>
    <n v="2090"/>
    <x v="0"/>
    <x v="1"/>
  </r>
  <r>
    <d v="2025-02-05T00:00:00"/>
    <x v="1"/>
    <n v="6020"/>
    <s v="Grainger"/>
    <s v="Overtime Payroll"/>
    <n v="11043"/>
    <x v="0"/>
    <x v="1"/>
  </r>
  <r>
    <d v="2025-02-06T00:00:00"/>
    <x v="1"/>
    <n v="6020"/>
    <s v="Cintas"/>
    <s v="Overtime Payroll"/>
    <n v="3926"/>
    <x v="0"/>
    <x v="1"/>
  </r>
  <r>
    <d v="2025-02-07T00:00:00"/>
    <x v="1"/>
    <n v="6020"/>
    <s v="Sysco"/>
    <s v="Overtime Payroll"/>
    <n v="3588"/>
    <x v="0"/>
    <x v="1"/>
  </r>
  <r>
    <d v="2025-02-05T00:00:00"/>
    <x v="1"/>
    <n v="6110"/>
    <s v="NV Energy"/>
    <s v="Food Inventory"/>
    <n v="6550"/>
    <x v="1"/>
    <x v="1"/>
  </r>
  <r>
    <d v="2025-02-06T00:00:00"/>
    <x v="1"/>
    <n v="6110"/>
    <s v="NV Energy"/>
    <s v="Food Inventory"/>
    <n v="2153"/>
    <x v="1"/>
    <x v="1"/>
  </r>
  <r>
    <d v="2025-02-07T00:00:00"/>
    <x v="1"/>
    <n v="6110"/>
    <s v="Local Contractor"/>
    <s v="Food Inventory"/>
    <n v="4941"/>
    <x v="1"/>
    <x v="1"/>
  </r>
  <r>
    <d v="2025-02-05T00:00:00"/>
    <x v="1"/>
    <n v="6120"/>
    <s v="Local Contractor"/>
    <s v="Operating Supplies"/>
    <n v="5588"/>
    <x v="1"/>
    <x v="1"/>
  </r>
  <r>
    <d v="2025-02-06T00:00:00"/>
    <x v="1"/>
    <n v="6120"/>
    <s v="NV Energy"/>
    <s v="Operating Supplies"/>
    <n v="3184"/>
    <x v="1"/>
    <x v="1"/>
  </r>
  <r>
    <d v="2025-02-07T00:00:00"/>
    <x v="1"/>
    <n v="6120"/>
    <s v="Cintas"/>
    <s v="Operating Supplies"/>
    <n v="10673"/>
    <x v="1"/>
    <x v="1"/>
  </r>
  <r>
    <d v="2025-02-05T00:00:00"/>
    <x v="1"/>
    <n v="6210"/>
    <s v="Local Contractor"/>
    <s v="Electricity"/>
    <n v="11668"/>
    <x v="2"/>
    <x v="1"/>
  </r>
  <r>
    <d v="2025-02-06T00:00:00"/>
    <x v="1"/>
    <n v="6210"/>
    <s v="US Foods"/>
    <s v="Electricity"/>
    <n v="4032"/>
    <x v="2"/>
    <x v="1"/>
  </r>
  <r>
    <d v="2025-02-07T00:00:00"/>
    <x v="1"/>
    <n v="6210"/>
    <s v="US Foods"/>
    <s v="Electricity"/>
    <n v="4162"/>
    <x v="2"/>
    <x v="1"/>
  </r>
  <r>
    <d v="2025-02-05T00:00:00"/>
    <x v="1"/>
    <n v="6220"/>
    <s v="Sysco"/>
    <s v="Water &amp; Sewer"/>
    <n v="8255"/>
    <x v="2"/>
    <x v="1"/>
  </r>
  <r>
    <d v="2025-02-06T00:00:00"/>
    <x v="1"/>
    <n v="6220"/>
    <s v="Local Contractor"/>
    <s v="Water &amp; Sewer"/>
    <n v="4438"/>
    <x v="2"/>
    <x v="1"/>
  </r>
  <r>
    <d v="2025-02-07T00:00:00"/>
    <x v="1"/>
    <n v="6220"/>
    <s v="Cintas"/>
    <s v="Water &amp; Sewer"/>
    <n v="6942"/>
    <x v="2"/>
    <x v="1"/>
  </r>
  <r>
    <d v="2025-02-05T00:00:00"/>
    <x v="1"/>
    <n v="6310"/>
    <s v="NV Energy"/>
    <s v="Equipment Repairs"/>
    <n v="5565"/>
    <x v="3"/>
    <x v="1"/>
  </r>
  <r>
    <d v="2025-02-06T00:00:00"/>
    <x v="1"/>
    <n v="6310"/>
    <s v="Local Contractor"/>
    <s v="Equipment Repairs"/>
    <n v="4108"/>
    <x v="3"/>
    <x v="1"/>
  </r>
  <r>
    <d v="2025-02-07T00:00:00"/>
    <x v="1"/>
    <n v="6310"/>
    <s v="Cintas"/>
    <s v="Equipment Repairs"/>
    <n v="3271"/>
    <x v="3"/>
    <x v="1"/>
  </r>
  <r>
    <d v="2025-02-05T00:00:00"/>
    <x v="1"/>
    <n v="6320"/>
    <s v="Cintas"/>
    <s v="Preventive Maintenance"/>
    <n v="2134"/>
    <x v="3"/>
    <x v="1"/>
  </r>
  <r>
    <d v="2025-02-06T00:00:00"/>
    <x v="1"/>
    <n v="6320"/>
    <s v="US Foods"/>
    <s v="Preventive Maintenance"/>
    <n v="5144"/>
    <x v="3"/>
    <x v="1"/>
  </r>
  <r>
    <d v="2025-02-07T00:00:00"/>
    <x v="1"/>
    <n v="6320"/>
    <s v="NV Energy"/>
    <s v="Preventive Maintenance"/>
    <n v="9041"/>
    <x v="3"/>
    <x v="1"/>
  </r>
  <r>
    <d v="2025-02-05T00:00:00"/>
    <x v="2"/>
    <n v="6010"/>
    <s v="US Foods"/>
    <s v="Payroll"/>
    <n v="6500"/>
    <x v="0"/>
    <x v="1"/>
  </r>
  <r>
    <d v="2025-02-06T00:00:00"/>
    <x v="2"/>
    <n v="6010"/>
    <s v="Sysco"/>
    <s v="Payroll"/>
    <n v="5152"/>
    <x v="0"/>
    <x v="1"/>
  </r>
  <r>
    <d v="2025-02-07T00:00:00"/>
    <x v="2"/>
    <n v="6010"/>
    <s v="Cintas"/>
    <s v="Payroll"/>
    <n v="4664"/>
    <x v="0"/>
    <x v="1"/>
  </r>
  <r>
    <d v="2025-02-05T00:00:00"/>
    <x v="2"/>
    <n v="6020"/>
    <s v="NV Energy"/>
    <s v="Overtime Payroll"/>
    <n v="6878"/>
    <x v="0"/>
    <x v="1"/>
  </r>
  <r>
    <d v="2025-02-06T00:00:00"/>
    <x v="2"/>
    <n v="6020"/>
    <s v="NV Energy"/>
    <s v="Overtime Payroll"/>
    <n v="2637"/>
    <x v="0"/>
    <x v="1"/>
  </r>
  <r>
    <d v="2025-02-07T00:00:00"/>
    <x v="2"/>
    <n v="6020"/>
    <s v="Local Contractor"/>
    <s v="Overtime Payroll"/>
    <n v="7253"/>
    <x v="0"/>
    <x v="1"/>
  </r>
  <r>
    <d v="2025-02-05T00:00:00"/>
    <x v="2"/>
    <n v="6110"/>
    <s v="Cintas"/>
    <s v="Food Inventory"/>
    <n v="9846"/>
    <x v="1"/>
    <x v="1"/>
  </r>
  <r>
    <d v="2025-02-06T00:00:00"/>
    <x v="2"/>
    <n v="6110"/>
    <s v="NV Energy"/>
    <s v="Food Inventory"/>
    <n v="10285"/>
    <x v="1"/>
    <x v="1"/>
  </r>
  <r>
    <d v="2025-02-07T00:00:00"/>
    <x v="2"/>
    <n v="6110"/>
    <s v="Sysco"/>
    <s v="Food Inventory"/>
    <n v="1952"/>
    <x v="1"/>
    <x v="1"/>
  </r>
  <r>
    <d v="2025-02-05T00:00:00"/>
    <x v="2"/>
    <n v="6120"/>
    <s v="US Foods"/>
    <s v="Operating Supplies"/>
    <n v="5779"/>
    <x v="1"/>
    <x v="1"/>
  </r>
  <r>
    <d v="2025-02-06T00:00:00"/>
    <x v="2"/>
    <n v="6120"/>
    <s v="NV Energy"/>
    <s v="Operating Supplies"/>
    <n v="11012"/>
    <x v="1"/>
    <x v="1"/>
  </r>
  <r>
    <d v="2025-02-07T00:00:00"/>
    <x v="2"/>
    <n v="6120"/>
    <s v="Sysco"/>
    <s v="Operating Supplies"/>
    <n v="2126"/>
    <x v="1"/>
    <x v="1"/>
  </r>
  <r>
    <d v="2025-02-05T00:00:00"/>
    <x v="2"/>
    <n v="6210"/>
    <s v="Cintas"/>
    <s v="Electricity"/>
    <n v="11274"/>
    <x v="2"/>
    <x v="1"/>
  </r>
  <r>
    <d v="2025-02-06T00:00:00"/>
    <x v="2"/>
    <n v="6210"/>
    <s v="Local Contractor"/>
    <s v="Electricity"/>
    <n v="7163"/>
    <x v="2"/>
    <x v="1"/>
  </r>
  <r>
    <d v="2025-02-07T00:00:00"/>
    <x v="2"/>
    <n v="6210"/>
    <s v="Cintas"/>
    <s v="Electricity"/>
    <n v="6639"/>
    <x v="2"/>
    <x v="1"/>
  </r>
  <r>
    <d v="2025-02-05T00:00:00"/>
    <x v="2"/>
    <n v="6220"/>
    <s v="Grainger"/>
    <s v="Water &amp; Sewer"/>
    <n v="11432"/>
    <x v="2"/>
    <x v="1"/>
  </r>
  <r>
    <d v="2025-02-06T00:00:00"/>
    <x v="2"/>
    <n v="6220"/>
    <s v="Cintas"/>
    <s v="Water &amp; Sewer"/>
    <n v="3394"/>
    <x v="2"/>
    <x v="1"/>
  </r>
  <r>
    <d v="2025-02-07T00:00:00"/>
    <x v="2"/>
    <n v="6220"/>
    <s v="US Foods"/>
    <s v="Water &amp; Sewer"/>
    <n v="10946"/>
    <x v="2"/>
    <x v="1"/>
  </r>
  <r>
    <d v="2025-02-05T00:00:00"/>
    <x v="2"/>
    <n v="6310"/>
    <s v="Sysco"/>
    <s v="Equipment Repairs"/>
    <n v="5673"/>
    <x v="3"/>
    <x v="1"/>
  </r>
  <r>
    <d v="2025-02-06T00:00:00"/>
    <x v="2"/>
    <n v="6310"/>
    <s v="Sysco"/>
    <s v="Equipment Repairs"/>
    <n v="8644"/>
    <x v="3"/>
    <x v="1"/>
  </r>
  <r>
    <d v="2025-02-07T00:00:00"/>
    <x v="2"/>
    <n v="6310"/>
    <s v="Grainger"/>
    <s v="Equipment Repairs"/>
    <n v="10018"/>
    <x v="3"/>
    <x v="1"/>
  </r>
  <r>
    <d v="2025-02-05T00:00:00"/>
    <x v="2"/>
    <n v="6320"/>
    <s v="NV Energy"/>
    <s v="Preventive Maintenance"/>
    <n v="4728"/>
    <x v="3"/>
    <x v="1"/>
  </r>
  <r>
    <d v="2025-02-06T00:00:00"/>
    <x v="2"/>
    <n v="6320"/>
    <s v="Sysco"/>
    <s v="Preventive Maintenance"/>
    <n v="8566"/>
    <x v="3"/>
    <x v="1"/>
  </r>
  <r>
    <d v="2025-02-07T00:00:00"/>
    <x v="2"/>
    <n v="6320"/>
    <s v="Grainger"/>
    <s v="Preventive Maintenance"/>
    <n v="6909"/>
    <x v="3"/>
    <x v="1"/>
  </r>
  <r>
    <d v="2025-02-05T00:00:00"/>
    <x v="3"/>
    <n v="6010"/>
    <s v="Local Contractor"/>
    <s v="Payroll"/>
    <n v="6643"/>
    <x v="0"/>
    <x v="1"/>
  </r>
  <r>
    <d v="2025-02-06T00:00:00"/>
    <x v="3"/>
    <n v="6010"/>
    <s v="Local Contractor"/>
    <s v="Payroll"/>
    <n v="3541"/>
    <x v="0"/>
    <x v="1"/>
  </r>
  <r>
    <d v="2025-02-07T00:00:00"/>
    <x v="3"/>
    <n v="6010"/>
    <s v="Grainger"/>
    <s v="Payroll"/>
    <n v="6420"/>
    <x v="0"/>
    <x v="1"/>
  </r>
  <r>
    <d v="2025-02-05T00:00:00"/>
    <x v="3"/>
    <n v="6020"/>
    <s v="Local Contractor"/>
    <s v="Overtime Payroll"/>
    <n v="6567"/>
    <x v="0"/>
    <x v="1"/>
  </r>
  <r>
    <d v="2025-02-06T00:00:00"/>
    <x v="3"/>
    <n v="6020"/>
    <s v="NV Energy"/>
    <s v="Overtime Payroll"/>
    <n v="8191"/>
    <x v="0"/>
    <x v="1"/>
  </r>
  <r>
    <d v="2025-02-07T00:00:00"/>
    <x v="3"/>
    <n v="6020"/>
    <s v="Local Contractor"/>
    <s v="Overtime Payroll"/>
    <n v="8092"/>
    <x v="0"/>
    <x v="1"/>
  </r>
  <r>
    <d v="2025-02-05T00:00:00"/>
    <x v="3"/>
    <n v="6110"/>
    <s v="Grainger"/>
    <s v="Food Inventory"/>
    <n v="6344"/>
    <x v="1"/>
    <x v="1"/>
  </r>
  <r>
    <d v="2025-02-06T00:00:00"/>
    <x v="3"/>
    <n v="6110"/>
    <s v="US Foods"/>
    <s v="Food Inventory"/>
    <n v="3585"/>
    <x v="1"/>
    <x v="1"/>
  </r>
  <r>
    <d v="2025-02-07T00:00:00"/>
    <x v="3"/>
    <n v="6110"/>
    <s v="Local Contractor"/>
    <s v="Food Inventory"/>
    <n v="8388"/>
    <x v="1"/>
    <x v="1"/>
  </r>
  <r>
    <d v="2025-02-05T00:00:00"/>
    <x v="3"/>
    <n v="6120"/>
    <s v="Local Contractor"/>
    <s v="Operating Supplies"/>
    <n v="7711"/>
    <x v="1"/>
    <x v="1"/>
  </r>
  <r>
    <d v="2025-02-06T00:00:00"/>
    <x v="3"/>
    <n v="6120"/>
    <s v="Grainger"/>
    <s v="Operating Supplies"/>
    <n v="4351"/>
    <x v="1"/>
    <x v="1"/>
  </r>
  <r>
    <d v="2025-02-07T00:00:00"/>
    <x v="3"/>
    <n v="6120"/>
    <s v="NV Energy"/>
    <s v="Operating Supplies"/>
    <n v="10824"/>
    <x v="1"/>
    <x v="1"/>
  </r>
  <r>
    <d v="2025-02-05T00:00:00"/>
    <x v="3"/>
    <n v="6210"/>
    <s v="Grainger"/>
    <s v="Electricity"/>
    <n v="8153"/>
    <x v="2"/>
    <x v="1"/>
  </r>
  <r>
    <d v="2025-02-06T00:00:00"/>
    <x v="3"/>
    <n v="6210"/>
    <s v="NV Energy"/>
    <s v="Electricity"/>
    <n v="1506"/>
    <x v="2"/>
    <x v="1"/>
  </r>
  <r>
    <d v="2025-02-07T00:00:00"/>
    <x v="3"/>
    <n v="6210"/>
    <s v="US Foods"/>
    <s v="Electricity"/>
    <n v="6200"/>
    <x v="2"/>
    <x v="1"/>
  </r>
  <r>
    <d v="2025-02-05T00:00:00"/>
    <x v="3"/>
    <n v="6220"/>
    <s v="Grainger"/>
    <s v="Water &amp; Sewer"/>
    <n v="8543"/>
    <x v="2"/>
    <x v="1"/>
  </r>
  <r>
    <d v="2025-02-06T00:00:00"/>
    <x v="3"/>
    <n v="6220"/>
    <s v="Local Contractor"/>
    <s v="Water &amp; Sewer"/>
    <n v="11439"/>
    <x v="2"/>
    <x v="1"/>
  </r>
  <r>
    <d v="2025-02-07T00:00:00"/>
    <x v="3"/>
    <n v="6220"/>
    <s v="Cintas"/>
    <s v="Water &amp; Sewer"/>
    <n v="6779"/>
    <x v="2"/>
    <x v="1"/>
  </r>
  <r>
    <d v="2025-02-05T00:00:00"/>
    <x v="3"/>
    <n v="6310"/>
    <s v="Cintas"/>
    <s v="Equipment Repairs"/>
    <n v="8738"/>
    <x v="3"/>
    <x v="1"/>
  </r>
  <r>
    <d v="2025-02-06T00:00:00"/>
    <x v="3"/>
    <n v="6310"/>
    <s v="Grainger"/>
    <s v="Equipment Repairs"/>
    <n v="5001"/>
    <x v="3"/>
    <x v="1"/>
  </r>
  <r>
    <d v="2025-02-07T00:00:00"/>
    <x v="3"/>
    <n v="6310"/>
    <s v="Local Contractor"/>
    <s v="Equipment Repairs"/>
    <n v="9252"/>
    <x v="3"/>
    <x v="1"/>
  </r>
  <r>
    <d v="2025-02-05T00:00:00"/>
    <x v="3"/>
    <n v="6320"/>
    <s v="Local Contractor"/>
    <s v="Preventive Maintenance"/>
    <n v="4280"/>
    <x v="3"/>
    <x v="1"/>
  </r>
  <r>
    <d v="2025-02-06T00:00:00"/>
    <x v="3"/>
    <n v="6320"/>
    <s v="NV Energy"/>
    <s v="Preventive Maintenance"/>
    <n v="2889"/>
    <x v="3"/>
    <x v="1"/>
  </r>
  <r>
    <d v="2025-02-07T00:00:00"/>
    <x v="3"/>
    <n v="6320"/>
    <s v="Local Contractor"/>
    <s v="Preventive Maintenance"/>
    <n v="9945"/>
    <x v="3"/>
    <x v="1"/>
  </r>
  <r>
    <d v="2025-03-05T00:00:00"/>
    <x v="0"/>
    <n v="6010"/>
    <s v="Grainger"/>
    <s v="Payroll"/>
    <n v="11870"/>
    <x v="0"/>
    <x v="2"/>
  </r>
  <r>
    <d v="2025-03-06T00:00:00"/>
    <x v="0"/>
    <n v="6010"/>
    <s v="Sysco"/>
    <s v="Payroll"/>
    <n v="6991"/>
    <x v="0"/>
    <x v="2"/>
  </r>
  <r>
    <d v="2025-03-07T00:00:00"/>
    <x v="0"/>
    <n v="6010"/>
    <s v="Local Contractor"/>
    <s v="Payroll"/>
    <n v="5348"/>
    <x v="0"/>
    <x v="2"/>
  </r>
  <r>
    <d v="2025-03-05T00:00:00"/>
    <x v="0"/>
    <n v="6020"/>
    <s v="US Foods"/>
    <s v="Overtime Payroll"/>
    <n v="6585"/>
    <x v="0"/>
    <x v="2"/>
  </r>
  <r>
    <d v="2025-03-06T00:00:00"/>
    <x v="0"/>
    <n v="6020"/>
    <s v="US Foods"/>
    <s v="Overtime Payroll"/>
    <n v="4762"/>
    <x v="0"/>
    <x v="2"/>
  </r>
  <r>
    <d v="2025-03-07T00:00:00"/>
    <x v="0"/>
    <n v="6020"/>
    <s v="Sysco"/>
    <s v="Overtime Payroll"/>
    <n v="1900"/>
    <x v="0"/>
    <x v="2"/>
  </r>
  <r>
    <d v="2025-03-05T00:00:00"/>
    <x v="0"/>
    <n v="6110"/>
    <s v="Cintas"/>
    <s v="Food Inventory"/>
    <n v="5511"/>
    <x v="1"/>
    <x v="2"/>
  </r>
  <r>
    <d v="2025-03-06T00:00:00"/>
    <x v="0"/>
    <n v="6110"/>
    <s v="Sysco"/>
    <s v="Food Inventory"/>
    <n v="11515"/>
    <x v="1"/>
    <x v="2"/>
  </r>
  <r>
    <d v="2025-03-07T00:00:00"/>
    <x v="0"/>
    <n v="6110"/>
    <s v="Cintas"/>
    <s v="Food Inventory"/>
    <n v="8961"/>
    <x v="1"/>
    <x v="2"/>
  </r>
  <r>
    <d v="2025-03-05T00:00:00"/>
    <x v="0"/>
    <n v="6120"/>
    <s v="Grainger"/>
    <s v="Operating Supplies"/>
    <n v="11818"/>
    <x v="1"/>
    <x v="2"/>
  </r>
  <r>
    <d v="2025-03-06T00:00:00"/>
    <x v="0"/>
    <n v="6120"/>
    <s v="Local Contractor"/>
    <s v="Operating Supplies"/>
    <n v="4685"/>
    <x v="1"/>
    <x v="2"/>
  </r>
  <r>
    <d v="2025-03-07T00:00:00"/>
    <x v="0"/>
    <n v="6120"/>
    <s v="Cintas"/>
    <s v="Operating Supplies"/>
    <n v="7791"/>
    <x v="1"/>
    <x v="2"/>
  </r>
  <r>
    <d v="2025-03-05T00:00:00"/>
    <x v="0"/>
    <n v="6210"/>
    <s v="US Foods"/>
    <s v="Electricity"/>
    <n v="8047"/>
    <x v="2"/>
    <x v="2"/>
  </r>
  <r>
    <d v="2025-03-06T00:00:00"/>
    <x v="0"/>
    <n v="6210"/>
    <s v="Local Contractor"/>
    <s v="Electricity"/>
    <n v="3917"/>
    <x v="2"/>
    <x v="2"/>
  </r>
  <r>
    <d v="2025-03-07T00:00:00"/>
    <x v="0"/>
    <n v="6210"/>
    <s v="Sysco"/>
    <s v="Electricity"/>
    <n v="1590"/>
    <x v="2"/>
    <x v="2"/>
  </r>
  <r>
    <d v="2025-03-05T00:00:00"/>
    <x v="0"/>
    <n v="6220"/>
    <s v="US Foods"/>
    <s v="Water &amp; Sewer"/>
    <n v="8465"/>
    <x v="2"/>
    <x v="2"/>
  </r>
  <r>
    <d v="2025-03-06T00:00:00"/>
    <x v="0"/>
    <n v="6220"/>
    <s v="Local Contractor"/>
    <s v="Water &amp; Sewer"/>
    <n v="4381"/>
    <x v="2"/>
    <x v="2"/>
  </r>
  <r>
    <d v="2025-03-07T00:00:00"/>
    <x v="0"/>
    <n v="6220"/>
    <s v="Cintas"/>
    <s v="Water &amp; Sewer"/>
    <n v="9986"/>
    <x v="2"/>
    <x v="2"/>
  </r>
  <r>
    <d v="2025-03-05T00:00:00"/>
    <x v="0"/>
    <n v="6310"/>
    <s v="Grainger"/>
    <s v="Equipment Repairs"/>
    <n v="2322"/>
    <x v="3"/>
    <x v="2"/>
  </r>
  <r>
    <d v="2025-03-06T00:00:00"/>
    <x v="0"/>
    <n v="6310"/>
    <s v="Sysco"/>
    <s v="Equipment Repairs"/>
    <n v="5582"/>
    <x v="3"/>
    <x v="2"/>
  </r>
  <r>
    <d v="2025-03-07T00:00:00"/>
    <x v="0"/>
    <n v="6310"/>
    <s v="US Foods"/>
    <s v="Equipment Repairs"/>
    <n v="8978"/>
    <x v="3"/>
    <x v="2"/>
  </r>
  <r>
    <d v="2025-03-05T00:00:00"/>
    <x v="0"/>
    <n v="6320"/>
    <s v="Local Contractor"/>
    <s v="Preventive Maintenance"/>
    <n v="9112"/>
    <x v="3"/>
    <x v="2"/>
  </r>
  <r>
    <d v="2025-03-06T00:00:00"/>
    <x v="0"/>
    <n v="6320"/>
    <s v="Grainger"/>
    <s v="Preventive Maintenance"/>
    <n v="10202"/>
    <x v="3"/>
    <x v="2"/>
  </r>
  <r>
    <d v="2025-03-07T00:00:00"/>
    <x v="0"/>
    <n v="6320"/>
    <s v="NV Energy"/>
    <s v="Preventive Maintenance"/>
    <n v="11255"/>
    <x v="3"/>
    <x v="2"/>
  </r>
  <r>
    <d v="2025-03-05T00:00:00"/>
    <x v="1"/>
    <n v="6010"/>
    <s v="Grainger"/>
    <s v="Payroll"/>
    <n v="8751"/>
    <x v="0"/>
    <x v="2"/>
  </r>
  <r>
    <d v="2025-03-06T00:00:00"/>
    <x v="1"/>
    <n v="6010"/>
    <s v="Cintas"/>
    <s v="Payroll"/>
    <n v="9770"/>
    <x v="0"/>
    <x v="2"/>
  </r>
  <r>
    <d v="2025-03-07T00:00:00"/>
    <x v="1"/>
    <n v="6010"/>
    <s v="Cintas"/>
    <s v="Payroll"/>
    <n v="10476"/>
    <x v="0"/>
    <x v="2"/>
  </r>
  <r>
    <d v="2025-03-05T00:00:00"/>
    <x v="1"/>
    <n v="6020"/>
    <s v="Local Contractor"/>
    <s v="Overtime Payroll"/>
    <n v="4107"/>
    <x v="0"/>
    <x v="2"/>
  </r>
  <r>
    <d v="2025-03-06T00:00:00"/>
    <x v="1"/>
    <n v="6020"/>
    <s v="Cintas"/>
    <s v="Overtime Payroll"/>
    <n v="9277"/>
    <x v="0"/>
    <x v="2"/>
  </r>
  <r>
    <d v="2025-03-07T00:00:00"/>
    <x v="1"/>
    <n v="6020"/>
    <s v="US Foods"/>
    <s v="Overtime Payroll"/>
    <n v="5746"/>
    <x v="0"/>
    <x v="2"/>
  </r>
  <r>
    <d v="2025-03-05T00:00:00"/>
    <x v="1"/>
    <n v="6110"/>
    <s v="NV Energy"/>
    <s v="Food Inventory"/>
    <n v="11947"/>
    <x v="1"/>
    <x v="2"/>
  </r>
  <r>
    <d v="2025-03-06T00:00:00"/>
    <x v="1"/>
    <n v="6110"/>
    <s v="Cintas"/>
    <s v="Food Inventory"/>
    <n v="10040"/>
    <x v="1"/>
    <x v="2"/>
  </r>
  <r>
    <d v="2025-03-07T00:00:00"/>
    <x v="1"/>
    <n v="6110"/>
    <s v="US Foods"/>
    <s v="Food Inventory"/>
    <n v="11768"/>
    <x v="1"/>
    <x v="2"/>
  </r>
  <r>
    <d v="2025-03-05T00:00:00"/>
    <x v="1"/>
    <n v="6120"/>
    <s v="Cintas"/>
    <s v="Operating Supplies"/>
    <n v="5999"/>
    <x v="1"/>
    <x v="2"/>
  </r>
  <r>
    <d v="2025-03-06T00:00:00"/>
    <x v="1"/>
    <n v="6120"/>
    <s v="Local Contractor"/>
    <s v="Operating Supplies"/>
    <n v="2769"/>
    <x v="1"/>
    <x v="2"/>
  </r>
  <r>
    <d v="2025-03-07T00:00:00"/>
    <x v="1"/>
    <n v="6120"/>
    <s v="US Foods"/>
    <s v="Operating Supplies"/>
    <n v="6181"/>
    <x v="1"/>
    <x v="2"/>
  </r>
  <r>
    <d v="2025-03-05T00:00:00"/>
    <x v="1"/>
    <n v="6210"/>
    <s v="NV Energy"/>
    <s v="Electricity"/>
    <n v="5951"/>
    <x v="2"/>
    <x v="2"/>
  </r>
  <r>
    <d v="2025-03-06T00:00:00"/>
    <x v="1"/>
    <n v="6210"/>
    <s v="Grainger"/>
    <s v="Electricity"/>
    <n v="6738"/>
    <x v="2"/>
    <x v="2"/>
  </r>
  <r>
    <d v="2025-03-07T00:00:00"/>
    <x v="1"/>
    <n v="6210"/>
    <s v="US Foods"/>
    <s v="Electricity"/>
    <n v="2820"/>
    <x v="2"/>
    <x v="2"/>
  </r>
  <r>
    <d v="2025-03-05T00:00:00"/>
    <x v="1"/>
    <n v="6220"/>
    <s v="US Foods"/>
    <s v="Water &amp; Sewer"/>
    <n v="3971"/>
    <x v="2"/>
    <x v="2"/>
  </r>
  <r>
    <d v="2025-03-06T00:00:00"/>
    <x v="1"/>
    <n v="6220"/>
    <s v="Local Contractor"/>
    <s v="Water &amp; Sewer"/>
    <n v="7775"/>
    <x v="2"/>
    <x v="2"/>
  </r>
  <r>
    <d v="2025-03-07T00:00:00"/>
    <x v="1"/>
    <n v="6220"/>
    <s v="Local Contractor"/>
    <s v="Water &amp; Sewer"/>
    <n v="4003"/>
    <x v="2"/>
    <x v="2"/>
  </r>
  <r>
    <d v="2025-03-05T00:00:00"/>
    <x v="1"/>
    <n v="6310"/>
    <s v="Sysco"/>
    <s v="Equipment Repairs"/>
    <n v="5005"/>
    <x v="3"/>
    <x v="2"/>
  </r>
  <r>
    <d v="2025-03-06T00:00:00"/>
    <x v="1"/>
    <n v="6310"/>
    <s v="Cintas"/>
    <s v="Equipment Repairs"/>
    <n v="8297"/>
    <x v="3"/>
    <x v="2"/>
  </r>
  <r>
    <d v="2025-03-07T00:00:00"/>
    <x v="1"/>
    <n v="6310"/>
    <s v="Grainger"/>
    <s v="Equipment Repairs"/>
    <n v="6921"/>
    <x v="3"/>
    <x v="2"/>
  </r>
  <r>
    <d v="2025-03-05T00:00:00"/>
    <x v="1"/>
    <n v="6320"/>
    <s v="Cintas"/>
    <s v="Preventive Maintenance"/>
    <n v="9133"/>
    <x v="3"/>
    <x v="2"/>
  </r>
  <r>
    <d v="2025-03-06T00:00:00"/>
    <x v="1"/>
    <n v="6320"/>
    <s v="US Foods"/>
    <s v="Preventive Maintenance"/>
    <n v="2520"/>
    <x v="3"/>
    <x v="2"/>
  </r>
  <r>
    <d v="2025-03-07T00:00:00"/>
    <x v="1"/>
    <n v="6320"/>
    <s v="Cintas"/>
    <s v="Preventive Maintenance"/>
    <n v="8383"/>
    <x v="3"/>
    <x v="2"/>
  </r>
  <r>
    <d v="2025-03-05T00:00:00"/>
    <x v="2"/>
    <n v="6010"/>
    <s v="Local Contractor"/>
    <s v="Payroll"/>
    <n v="11069"/>
    <x v="0"/>
    <x v="2"/>
  </r>
  <r>
    <d v="2025-03-06T00:00:00"/>
    <x v="2"/>
    <n v="6010"/>
    <s v="Grainger"/>
    <s v="Payroll"/>
    <n v="1820"/>
    <x v="0"/>
    <x v="2"/>
  </r>
  <r>
    <d v="2025-03-07T00:00:00"/>
    <x v="2"/>
    <n v="6010"/>
    <s v="Cintas"/>
    <s v="Payroll"/>
    <n v="7732"/>
    <x v="0"/>
    <x v="2"/>
  </r>
  <r>
    <d v="2025-03-05T00:00:00"/>
    <x v="2"/>
    <n v="6020"/>
    <s v="NV Energy"/>
    <s v="Overtime Payroll"/>
    <n v="1596"/>
    <x v="0"/>
    <x v="2"/>
  </r>
  <r>
    <d v="2025-03-06T00:00:00"/>
    <x v="2"/>
    <n v="6020"/>
    <s v="Cintas"/>
    <s v="Overtime Payroll"/>
    <n v="6392"/>
    <x v="0"/>
    <x v="2"/>
  </r>
  <r>
    <d v="2025-03-07T00:00:00"/>
    <x v="2"/>
    <n v="6020"/>
    <s v="Grainger"/>
    <s v="Overtime Payroll"/>
    <n v="8365"/>
    <x v="0"/>
    <x v="2"/>
  </r>
  <r>
    <d v="2025-03-05T00:00:00"/>
    <x v="2"/>
    <n v="6110"/>
    <s v="Grainger"/>
    <s v="Food Inventory"/>
    <n v="10447"/>
    <x v="1"/>
    <x v="2"/>
  </r>
  <r>
    <d v="2025-03-06T00:00:00"/>
    <x v="2"/>
    <n v="6110"/>
    <s v="Cintas"/>
    <s v="Food Inventory"/>
    <n v="5113"/>
    <x v="1"/>
    <x v="2"/>
  </r>
  <r>
    <d v="2025-03-07T00:00:00"/>
    <x v="2"/>
    <n v="6110"/>
    <s v="NV Energy"/>
    <s v="Food Inventory"/>
    <n v="5095"/>
    <x v="1"/>
    <x v="2"/>
  </r>
  <r>
    <d v="2025-03-05T00:00:00"/>
    <x v="2"/>
    <n v="6120"/>
    <s v="Cintas"/>
    <s v="Operating Supplies"/>
    <n v="8640"/>
    <x v="1"/>
    <x v="2"/>
  </r>
  <r>
    <d v="2025-03-06T00:00:00"/>
    <x v="2"/>
    <n v="6120"/>
    <s v="Cintas"/>
    <s v="Operating Supplies"/>
    <n v="1975"/>
    <x v="1"/>
    <x v="2"/>
  </r>
  <r>
    <d v="2025-03-07T00:00:00"/>
    <x v="2"/>
    <n v="6120"/>
    <s v="Local Contractor"/>
    <s v="Operating Supplies"/>
    <n v="7007"/>
    <x v="1"/>
    <x v="2"/>
  </r>
  <r>
    <d v="2025-03-05T00:00:00"/>
    <x v="2"/>
    <n v="6210"/>
    <s v="Local Contractor"/>
    <s v="Electricity"/>
    <n v="8124"/>
    <x v="2"/>
    <x v="2"/>
  </r>
  <r>
    <d v="2025-03-06T00:00:00"/>
    <x v="2"/>
    <n v="6210"/>
    <s v="Cintas"/>
    <s v="Electricity"/>
    <n v="4204"/>
    <x v="2"/>
    <x v="2"/>
  </r>
  <r>
    <d v="2025-03-07T00:00:00"/>
    <x v="2"/>
    <n v="6210"/>
    <s v="Grainger"/>
    <s v="Electricity"/>
    <n v="3591"/>
    <x v="2"/>
    <x v="2"/>
  </r>
  <r>
    <d v="2025-03-05T00:00:00"/>
    <x v="2"/>
    <n v="6220"/>
    <s v="Sysco"/>
    <s v="Water &amp; Sewer"/>
    <n v="10251"/>
    <x v="2"/>
    <x v="2"/>
  </r>
  <r>
    <d v="2025-03-06T00:00:00"/>
    <x v="2"/>
    <n v="6220"/>
    <s v="Grainger"/>
    <s v="Water &amp; Sewer"/>
    <n v="7955"/>
    <x v="2"/>
    <x v="2"/>
  </r>
  <r>
    <d v="2025-03-07T00:00:00"/>
    <x v="2"/>
    <n v="6220"/>
    <s v="Local Contractor"/>
    <s v="Water &amp; Sewer"/>
    <n v="10746"/>
    <x v="2"/>
    <x v="2"/>
  </r>
  <r>
    <d v="2025-03-05T00:00:00"/>
    <x v="2"/>
    <n v="6310"/>
    <s v="Sysco"/>
    <s v="Equipment Repairs"/>
    <n v="1944"/>
    <x v="3"/>
    <x v="2"/>
  </r>
  <r>
    <d v="2025-03-06T00:00:00"/>
    <x v="2"/>
    <n v="6310"/>
    <s v="US Foods"/>
    <s v="Equipment Repairs"/>
    <n v="8522"/>
    <x v="3"/>
    <x v="2"/>
  </r>
  <r>
    <d v="2025-03-07T00:00:00"/>
    <x v="2"/>
    <n v="6310"/>
    <s v="US Foods"/>
    <s v="Equipment Repairs"/>
    <n v="9064"/>
    <x v="3"/>
    <x v="2"/>
  </r>
  <r>
    <d v="2025-03-05T00:00:00"/>
    <x v="2"/>
    <n v="6320"/>
    <s v="NV Energy"/>
    <s v="Preventive Maintenance"/>
    <n v="2323"/>
    <x v="3"/>
    <x v="2"/>
  </r>
  <r>
    <d v="2025-03-06T00:00:00"/>
    <x v="2"/>
    <n v="6320"/>
    <s v="NV Energy"/>
    <s v="Preventive Maintenance"/>
    <n v="7711"/>
    <x v="3"/>
    <x v="2"/>
  </r>
  <r>
    <d v="2025-03-07T00:00:00"/>
    <x v="2"/>
    <n v="6320"/>
    <s v="Cintas"/>
    <s v="Preventive Maintenance"/>
    <n v="4967"/>
    <x v="3"/>
    <x v="2"/>
  </r>
  <r>
    <d v="2025-03-05T00:00:00"/>
    <x v="3"/>
    <n v="6010"/>
    <s v="NV Energy"/>
    <s v="Payroll"/>
    <n v="6855"/>
    <x v="0"/>
    <x v="2"/>
  </r>
  <r>
    <d v="2025-03-06T00:00:00"/>
    <x v="3"/>
    <n v="6010"/>
    <s v="NV Energy"/>
    <s v="Payroll"/>
    <n v="7711"/>
    <x v="0"/>
    <x v="2"/>
  </r>
  <r>
    <d v="2025-03-07T00:00:00"/>
    <x v="3"/>
    <n v="6010"/>
    <s v="NV Energy"/>
    <s v="Payroll"/>
    <n v="8406"/>
    <x v="0"/>
    <x v="2"/>
  </r>
  <r>
    <d v="2025-03-05T00:00:00"/>
    <x v="3"/>
    <n v="6020"/>
    <s v="Cintas"/>
    <s v="Overtime Payroll"/>
    <n v="2841"/>
    <x v="0"/>
    <x v="2"/>
  </r>
  <r>
    <d v="2025-03-06T00:00:00"/>
    <x v="3"/>
    <n v="6020"/>
    <s v="Local Contractor"/>
    <s v="Overtime Payroll"/>
    <n v="1817"/>
    <x v="0"/>
    <x v="2"/>
  </r>
  <r>
    <d v="2025-03-07T00:00:00"/>
    <x v="3"/>
    <n v="6020"/>
    <s v="Sysco"/>
    <s v="Overtime Payroll"/>
    <n v="10337"/>
    <x v="0"/>
    <x v="2"/>
  </r>
  <r>
    <d v="2025-03-05T00:00:00"/>
    <x v="3"/>
    <n v="6110"/>
    <s v="US Foods"/>
    <s v="Food Inventory"/>
    <n v="7233"/>
    <x v="1"/>
    <x v="2"/>
  </r>
  <r>
    <d v="2025-03-06T00:00:00"/>
    <x v="3"/>
    <n v="6110"/>
    <s v="Local Contractor"/>
    <s v="Food Inventory"/>
    <n v="2624"/>
    <x v="1"/>
    <x v="2"/>
  </r>
  <r>
    <d v="2025-03-07T00:00:00"/>
    <x v="3"/>
    <n v="6110"/>
    <s v="Sysco"/>
    <s v="Food Inventory"/>
    <n v="2159"/>
    <x v="1"/>
    <x v="2"/>
  </r>
  <r>
    <d v="2025-03-05T00:00:00"/>
    <x v="3"/>
    <n v="6120"/>
    <s v="US Foods"/>
    <s v="Operating Supplies"/>
    <n v="5551"/>
    <x v="1"/>
    <x v="2"/>
  </r>
  <r>
    <d v="2025-03-06T00:00:00"/>
    <x v="3"/>
    <n v="6120"/>
    <s v="Grainger"/>
    <s v="Operating Supplies"/>
    <n v="1833"/>
    <x v="1"/>
    <x v="2"/>
  </r>
  <r>
    <d v="2025-03-07T00:00:00"/>
    <x v="3"/>
    <n v="6120"/>
    <s v="US Foods"/>
    <s v="Operating Supplies"/>
    <n v="3996"/>
    <x v="1"/>
    <x v="2"/>
  </r>
  <r>
    <d v="2025-03-05T00:00:00"/>
    <x v="3"/>
    <n v="6210"/>
    <s v="Cintas"/>
    <s v="Electricity"/>
    <n v="3568"/>
    <x v="2"/>
    <x v="2"/>
  </r>
  <r>
    <d v="2025-03-06T00:00:00"/>
    <x v="3"/>
    <n v="6210"/>
    <s v="Grainger"/>
    <s v="Electricity"/>
    <n v="3374"/>
    <x v="2"/>
    <x v="2"/>
  </r>
  <r>
    <d v="2025-03-07T00:00:00"/>
    <x v="3"/>
    <n v="6210"/>
    <s v="Cintas"/>
    <s v="Electricity"/>
    <n v="5071"/>
    <x v="2"/>
    <x v="2"/>
  </r>
  <r>
    <d v="2025-03-05T00:00:00"/>
    <x v="3"/>
    <n v="6220"/>
    <s v="NV Energy"/>
    <s v="Water &amp; Sewer"/>
    <n v="5698"/>
    <x v="2"/>
    <x v="2"/>
  </r>
  <r>
    <d v="2025-03-06T00:00:00"/>
    <x v="3"/>
    <n v="6220"/>
    <s v="Grainger"/>
    <s v="Water &amp; Sewer"/>
    <n v="4249"/>
    <x v="2"/>
    <x v="2"/>
  </r>
  <r>
    <d v="2025-03-07T00:00:00"/>
    <x v="3"/>
    <n v="6220"/>
    <s v="Local Contractor"/>
    <s v="Water &amp; Sewer"/>
    <n v="11449"/>
    <x v="2"/>
    <x v="2"/>
  </r>
  <r>
    <d v="2025-03-05T00:00:00"/>
    <x v="3"/>
    <n v="6310"/>
    <s v="US Foods"/>
    <s v="Equipment Repairs"/>
    <n v="3376"/>
    <x v="3"/>
    <x v="2"/>
  </r>
  <r>
    <d v="2025-03-06T00:00:00"/>
    <x v="3"/>
    <n v="6310"/>
    <s v="Sysco"/>
    <s v="Equipment Repairs"/>
    <n v="6596"/>
    <x v="3"/>
    <x v="2"/>
  </r>
  <r>
    <d v="2025-03-07T00:00:00"/>
    <x v="3"/>
    <n v="6310"/>
    <s v="Sysco"/>
    <s v="Equipment Repairs"/>
    <n v="10981"/>
    <x v="3"/>
    <x v="2"/>
  </r>
  <r>
    <d v="2025-03-05T00:00:00"/>
    <x v="3"/>
    <n v="6320"/>
    <s v="Grainger"/>
    <s v="Preventive Maintenance"/>
    <n v="6611"/>
    <x v="3"/>
    <x v="2"/>
  </r>
  <r>
    <d v="2025-03-06T00:00:00"/>
    <x v="3"/>
    <n v="6320"/>
    <s v="Cintas"/>
    <s v="Preventive Maintenance"/>
    <n v="7649"/>
    <x v="3"/>
    <x v="2"/>
  </r>
  <r>
    <d v="2025-03-07T00:00:00"/>
    <x v="3"/>
    <n v="6320"/>
    <s v="Sysco"/>
    <s v="Preventive Maintenance"/>
    <n v="4749"/>
    <x v="3"/>
    <x v="2"/>
  </r>
  <r>
    <d v="2025-04-05T00:00:00"/>
    <x v="0"/>
    <n v="6010"/>
    <s v="Local Contractor"/>
    <s v="Payroll"/>
    <n v="11200"/>
    <x v="0"/>
    <x v="3"/>
  </r>
  <r>
    <d v="2025-04-06T00:00:00"/>
    <x v="0"/>
    <n v="6010"/>
    <s v="US Foods"/>
    <s v="Payroll"/>
    <n v="11776"/>
    <x v="0"/>
    <x v="3"/>
  </r>
  <r>
    <d v="2025-04-07T00:00:00"/>
    <x v="0"/>
    <n v="6010"/>
    <s v="Local Contractor"/>
    <s v="Payroll"/>
    <n v="3169"/>
    <x v="0"/>
    <x v="3"/>
  </r>
  <r>
    <d v="2025-04-05T00:00:00"/>
    <x v="0"/>
    <n v="6020"/>
    <s v="Local Contractor"/>
    <s v="Overtime Payroll"/>
    <n v="6441"/>
    <x v="0"/>
    <x v="3"/>
  </r>
  <r>
    <d v="2025-04-06T00:00:00"/>
    <x v="0"/>
    <n v="6020"/>
    <s v="Sysco"/>
    <s v="Overtime Payroll"/>
    <n v="11337"/>
    <x v="0"/>
    <x v="3"/>
  </r>
  <r>
    <d v="2025-04-07T00:00:00"/>
    <x v="0"/>
    <n v="6020"/>
    <s v="Sysco"/>
    <s v="Overtime Payroll"/>
    <n v="10772"/>
    <x v="0"/>
    <x v="3"/>
  </r>
  <r>
    <d v="2025-04-05T00:00:00"/>
    <x v="0"/>
    <n v="6110"/>
    <s v="Grainger"/>
    <s v="Food Inventory"/>
    <n v="7188"/>
    <x v="1"/>
    <x v="3"/>
  </r>
  <r>
    <d v="2025-04-06T00:00:00"/>
    <x v="0"/>
    <n v="6110"/>
    <s v="Local Contractor"/>
    <s v="Food Inventory"/>
    <n v="8518"/>
    <x v="1"/>
    <x v="3"/>
  </r>
  <r>
    <d v="2025-04-07T00:00:00"/>
    <x v="0"/>
    <n v="6110"/>
    <s v="Sysco"/>
    <s v="Food Inventory"/>
    <n v="7571"/>
    <x v="1"/>
    <x v="3"/>
  </r>
  <r>
    <d v="2025-04-05T00:00:00"/>
    <x v="0"/>
    <n v="6120"/>
    <s v="Local Contractor"/>
    <s v="Operating Supplies"/>
    <n v="9789"/>
    <x v="1"/>
    <x v="3"/>
  </r>
  <r>
    <d v="2025-04-06T00:00:00"/>
    <x v="0"/>
    <n v="6120"/>
    <s v="Sysco"/>
    <s v="Operating Supplies"/>
    <n v="7090"/>
    <x v="1"/>
    <x v="3"/>
  </r>
  <r>
    <d v="2025-04-07T00:00:00"/>
    <x v="0"/>
    <n v="6120"/>
    <s v="Cintas"/>
    <s v="Operating Supplies"/>
    <n v="8382"/>
    <x v="1"/>
    <x v="3"/>
  </r>
  <r>
    <d v="2025-04-05T00:00:00"/>
    <x v="0"/>
    <n v="6210"/>
    <s v="Cintas"/>
    <s v="Electricity"/>
    <n v="3229"/>
    <x v="2"/>
    <x v="3"/>
  </r>
  <r>
    <d v="2025-04-06T00:00:00"/>
    <x v="0"/>
    <n v="6210"/>
    <s v="Local Contractor"/>
    <s v="Electricity"/>
    <n v="7434"/>
    <x v="2"/>
    <x v="3"/>
  </r>
  <r>
    <d v="2025-04-07T00:00:00"/>
    <x v="0"/>
    <n v="6210"/>
    <s v="Local Contractor"/>
    <s v="Electricity"/>
    <n v="9032"/>
    <x v="2"/>
    <x v="3"/>
  </r>
  <r>
    <d v="2025-04-05T00:00:00"/>
    <x v="0"/>
    <n v="6220"/>
    <s v="Cintas"/>
    <s v="Water &amp; Sewer"/>
    <n v="4006"/>
    <x v="2"/>
    <x v="3"/>
  </r>
  <r>
    <d v="2025-04-06T00:00:00"/>
    <x v="0"/>
    <n v="6220"/>
    <s v="Local Contractor"/>
    <s v="Water &amp; Sewer"/>
    <n v="4385"/>
    <x v="2"/>
    <x v="3"/>
  </r>
  <r>
    <d v="2025-04-07T00:00:00"/>
    <x v="0"/>
    <n v="6220"/>
    <s v="Local Contractor"/>
    <s v="Water &amp; Sewer"/>
    <n v="10048"/>
    <x v="2"/>
    <x v="3"/>
  </r>
  <r>
    <d v="2025-04-05T00:00:00"/>
    <x v="0"/>
    <n v="6310"/>
    <s v="Grainger"/>
    <s v="Equipment Repairs"/>
    <n v="5925"/>
    <x v="3"/>
    <x v="3"/>
  </r>
  <r>
    <d v="2025-04-06T00:00:00"/>
    <x v="0"/>
    <n v="6310"/>
    <s v="Cintas"/>
    <s v="Equipment Repairs"/>
    <n v="10317"/>
    <x v="3"/>
    <x v="3"/>
  </r>
  <r>
    <d v="2025-04-07T00:00:00"/>
    <x v="0"/>
    <n v="6310"/>
    <s v="Cintas"/>
    <s v="Equipment Repairs"/>
    <n v="9116"/>
    <x v="3"/>
    <x v="3"/>
  </r>
  <r>
    <d v="2025-04-05T00:00:00"/>
    <x v="0"/>
    <n v="6320"/>
    <s v="NV Energy"/>
    <s v="Preventive Maintenance"/>
    <n v="11207"/>
    <x v="3"/>
    <x v="3"/>
  </r>
  <r>
    <d v="2025-04-06T00:00:00"/>
    <x v="0"/>
    <n v="6320"/>
    <s v="US Foods"/>
    <s v="Preventive Maintenance"/>
    <n v="6780"/>
    <x v="3"/>
    <x v="3"/>
  </r>
  <r>
    <d v="2025-04-07T00:00:00"/>
    <x v="0"/>
    <n v="6320"/>
    <s v="NV Energy"/>
    <s v="Preventive Maintenance"/>
    <n v="2919"/>
    <x v="3"/>
    <x v="3"/>
  </r>
  <r>
    <d v="2025-04-05T00:00:00"/>
    <x v="1"/>
    <n v="6010"/>
    <s v="US Foods"/>
    <s v="Payroll"/>
    <n v="8885"/>
    <x v="0"/>
    <x v="3"/>
  </r>
  <r>
    <d v="2025-04-06T00:00:00"/>
    <x v="1"/>
    <n v="6010"/>
    <s v="Grainger"/>
    <s v="Payroll"/>
    <n v="9113"/>
    <x v="0"/>
    <x v="3"/>
  </r>
  <r>
    <d v="2025-04-07T00:00:00"/>
    <x v="1"/>
    <n v="6010"/>
    <s v="Local Contractor"/>
    <s v="Payroll"/>
    <n v="11499"/>
    <x v="0"/>
    <x v="3"/>
  </r>
  <r>
    <d v="2025-04-05T00:00:00"/>
    <x v="1"/>
    <n v="6020"/>
    <s v="NV Energy"/>
    <s v="Overtime Payroll"/>
    <n v="7709"/>
    <x v="0"/>
    <x v="3"/>
  </r>
  <r>
    <d v="2025-04-06T00:00:00"/>
    <x v="1"/>
    <n v="6020"/>
    <s v="Cintas"/>
    <s v="Overtime Payroll"/>
    <n v="1970"/>
    <x v="0"/>
    <x v="3"/>
  </r>
  <r>
    <d v="2025-04-07T00:00:00"/>
    <x v="1"/>
    <n v="6020"/>
    <s v="US Foods"/>
    <s v="Overtime Payroll"/>
    <n v="6825"/>
    <x v="0"/>
    <x v="3"/>
  </r>
  <r>
    <d v="2025-04-05T00:00:00"/>
    <x v="1"/>
    <n v="6110"/>
    <s v="US Foods"/>
    <s v="Food Inventory"/>
    <n v="9488"/>
    <x v="1"/>
    <x v="3"/>
  </r>
  <r>
    <d v="2025-04-06T00:00:00"/>
    <x v="1"/>
    <n v="6110"/>
    <s v="NV Energy"/>
    <s v="Food Inventory"/>
    <n v="7313"/>
    <x v="1"/>
    <x v="3"/>
  </r>
  <r>
    <d v="2025-04-07T00:00:00"/>
    <x v="1"/>
    <n v="6110"/>
    <s v="NV Energy"/>
    <s v="Food Inventory"/>
    <n v="7076"/>
    <x v="1"/>
    <x v="3"/>
  </r>
  <r>
    <d v="2025-04-05T00:00:00"/>
    <x v="1"/>
    <n v="6120"/>
    <s v="Local Contractor"/>
    <s v="Operating Supplies"/>
    <n v="11267"/>
    <x v="1"/>
    <x v="3"/>
  </r>
  <r>
    <d v="2025-04-06T00:00:00"/>
    <x v="1"/>
    <n v="6120"/>
    <s v="Grainger"/>
    <s v="Operating Supplies"/>
    <n v="6026"/>
    <x v="1"/>
    <x v="3"/>
  </r>
  <r>
    <d v="2025-04-07T00:00:00"/>
    <x v="1"/>
    <n v="6120"/>
    <s v="Grainger"/>
    <s v="Operating Supplies"/>
    <n v="1666"/>
    <x v="1"/>
    <x v="3"/>
  </r>
  <r>
    <d v="2025-04-05T00:00:00"/>
    <x v="1"/>
    <n v="6210"/>
    <s v="Sysco"/>
    <s v="Electricity"/>
    <n v="4630"/>
    <x v="2"/>
    <x v="3"/>
  </r>
  <r>
    <d v="2025-04-06T00:00:00"/>
    <x v="1"/>
    <n v="6210"/>
    <s v="Local Contractor"/>
    <s v="Electricity"/>
    <n v="5454"/>
    <x v="2"/>
    <x v="3"/>
  </r>
  <r>
    <d v="2025-04-07T00:00:00"/>
    <x v="1"/>
    <n v="6210"/>
    <s v="Cintas"/>
    <s v="Electricity"/>
    <n v="8158"/>
    <x v="2"/>
    <x v="3"/>
  </r>
  <r>
    <d v="2025-04-05T00:00:00"/>
    <x v="1"/>
    <n v="6220"/>
    <s v="US Foods"/>
    <s v="Water &amp; Sewer"/>
    <n v="10596"/>
    <x v="2"/>
    <x v="3"/>
  </r>
  <r>
    <d v="2025-04-06T00:00:00"/>
    <x v="1"/>
    <n v="6220"/>
    <s v="Local Contractor"/>
    <s v="Water &amp; Sewer"/>
    <n v="9300"/>
    <x v="2"/>
    <x v="3"/>
  </r>
  <r>
    <d v="2025-04-07T00:00:00"/>
    <x v="1"/>
    <n v="6220"/>
    <s v="Cintas"/>
    <s v="Water &amp; Sewer"/>
    <n v="9541"/>
    <x v="2"/>
    <x v="3"/>
  </r>
  <r>
    <d v="2025-04-05T00:00:00"/>
    <x v="1"/>
    <n v="6310"/>
    <s v="Sysco"/>
    <s v="Equipment Repairs"/>
    <n v="1782"/>
    <x v="3"/>
    <x v="3"/>
  </r>
  <r>
    <d v="2025-04-06T00:00:00"/>
    <x v="1"/>
    <n v="6310"/>
    <s v="US Foods"/>
    <s v="Equipment Repairs"/>
    <n v="6320"/>
    <x v="3"/>
    <x v="3"/>
  </r>
  <r>
    <d v="2025-04-07T00:00:00"/>
    <x v="1"/>
    <n v="6310"/>
    <s v="Local Contractor"/>
    <s v="Equipment Repairs"/>
    <n v="8125"/>
    <x v="3"/>
    <x v="3"/>
  </r>
  <r>
    <d v="2025-04-05T00:00:00"/>
    <x v="1"/>
    <n v="6320"/>
    <s v="NV Energy"/>
    <s v="Preventive Maintenance"/>
    <n v="5486"/>
    <x v="3"/>
    <x v="3"/>
  </r>
  <r>
    <d v="2025-04-06T00:00:00"/>
    <x v="1"/>
    <n v="6320"/>
    <s v="NV Energy"/>
    <s v="Preventive Maintenance"/>
    <n v="11028"/>
    <x v="3"/>
    <x v="3"/>
  </r>
  <r>
    <d v="2025-04-07T00:00:00"/>
    <x v="1"/>
    <n v="6320"/>
    <s v="Grainger"/>
    <s v="Preventive Maintenance"/>
    <n v="9253"/>
    <x v="3"/>
    <x v="3"/>
  </r>
  <r>
    <d v="2025-04-05T00:00:00"/>
    <x v="2"/>
    <n v="6010"/>
    <s v="NV Energy"/>
    <s v="Payroll"/>
    <n v="10198"/>
    <x v="0"/>
    <x v="3"/>
  </r>
  <r>
    <d v="2025-04-06T00:00:00"/>
    <x v="2"/>
    <n v="6010"/>
    <s v="Local Contractor"/>
    <s v="Payroll"/>
    <n v="8471"/>
    <x v="0"/>
    <x v="3"/>
  </r>
  <r>
    <d v="2025-04-07T00:00:00"/>
    <x v="2"/>
    <n v="6010"/>
    <s v="NV Energy"/>
    <s v="Payroll"/>
    <n v="10517"/>
    <x v="0"/>
    <x v="3"/>
  </r>
  <r>
    <d v="2025-04-05T00:00:00"/>
    <x v="2"/>
    <n v="6020"/>
    <s v="Local Contractor"/>
    <s v="Overtime Payroll"/>
    <n v="7264"/>
    <x v="0"/>
    <x v="3"/>
  </r>
  <r>
    <d v="2025-04-06T00:00:00"/>
    <x v="2"/>
    <n v="6020"/>
    <s v="NV Energy"/>
    <s v="Overtime Payroll"/>
    <n v="8934"/>
    <x v="0"/>
    <x v="3"/>
  </r>
  <r>
    <d v="2025-04-07T00:00:00"/>
    <x v="2"/>
    <n v="6020"/>
    <s v="NV Energy"/>
    <s v="Overtime Payroll"/>
    <n v="6523"/>
    <x v="0"/>
    <x v="3"/>
  </r>
  <r>
    <d v="2025-04-05T00:00:00"/>
    <x v="2"/>
    <n v="6110"/>
    <s v="Sysco"/>
    <s v="Food Inventory"/>
    <n v="5277"/>
    <x v="1"/>
    <x v="3"/>
  </r>
  <r>
    <d v="2025-04-06T00:00:00"/>
    <x v="2"/>
    <n v="6110"/>
    <s v="NV Energy"/>
    <s v="Food Inventory"/>
    <n v="4655"/>
    <x v="1"/>
    <x v="3"/>
  </r>
  <r>
    <d v="2025-04-07T00:00:00"/>
    <x v="2"/>
    <n v="6110"/>
    <s v="Local Contractor"/>
    <s v="Food Inventory"/>
    <n v="3458"/>
    <x v="1"/>
    <x v="3"/>
  </r>
  <r>
    <d v="2025-04-05T00:00:00"/>
    <x v="2"/>
    <n v="6120"/>
    <s v="Local Contractor"/>
    <s v="Operating Supplies"/>
    <n v="10279"/>
    <x v="1"/>
    <x v="3"/>
  </r>
  <r>
    <d v="2025-04-06T00:00:00"/>
    <x v="2"/>
    <n v="6120"/>
    <s v="US Foods"/>
    <s v="Operating Supplies"/>
    <n v="4533"/>
    <x v="1"/>
    <x v="3"/>
  </r>
  <r>
    <d v="2025-04-07T00:00:00"/>
    <x v="2"/>
    <n v="6120"/>
    <s v="Local Contractor"/>
    <s v="Operating Supplies"/>
    <n v="5045"/>
    <x v="1"/>
    <x v="3"/>
  </r>
  <r>
    <d v="2025-04-05T00:00:00"/>
    <x v="2"/>
    <n v="6210"/>
    <s v="NV Energy"/>
    <s v="Electricity"/>
    <n v="9433"/>
    <x v="2"/>
    <x v="3"/>
  </r>
  <r>
    <d v="2025-04-06T00:00:00"/>
    <x v="2"/>
    <n v="6210"/>
    <s v="Grainger"/>
    <s v="Electricity"/>
    <n v="11159"/>
    <x v="2"/>
    <x v="3"/>
  </r>
  <r>
    <d v="2025-04-07T00:00:00"/>
    <x v="2"/>
    <n v="6210"/>
    <s v="NV Energy"/>
    <s v="Electricity"/>
    <n v="11277"/>
    <x v="2"/>
    <x v="3"/>
  </r>
  <r>
    <d v="2025-04-05T00:00:00"/>
    <x v="2"/>
    <n v="6220"/>
    <s v="US Foods"/>
    <s v="Water &amp; Sewer"/>
    <n v="3147"/>
    <x v="2"/>
    <x v="3"/>
  </r>
  <r>
    <d v="2025-04-06T00:00:00"/>
    <x v="2"/>
    <n v="6220"/>
    <s v="US Foods"/>
    <s v="Water &amp; Sewer"/>
    <n v="6353"/>
    <x v="2"/>
    <x v="3"/>
  </r>
  <r>
    <d v="2025-04-07T00:00:00"/>
    <x v="2"/>
    <n v="6220"/>
    <s v="US Foods"/>
    <s v="Water &amp; Sewer"/>
    <n v="7412"/>
    <x v="2"/>
    <x v="3"/>
  </r>
  <r>
    <d v="2025-04-05T00:00:00"/>
    <x v="2"/>
    <n v="6310"/>
    <s v="Sysco"/>
    <s v="Equipment Repairs"/>
    <n v="6452"/>
    <x v="3"/>
    <x v="3"/>
  </r>
  <r>
    <d v="2025-04-06T00:00:00"/>
    <x v="2"/>
    <n v="6310"/>
    <s v="US Foods"/>
    <s v="Equipment Repairs"/>
    <n v="10251"/>
    <x v="3"/>
    <x v="3"/>
  </r>
  <r>
    <d v="2025-04-07T00:00:00"/>
    <x v="2"/>
    <n v="6310"/>
    <s v="Sysco"/>
    <s v="Equipment Repairs"/>
    <n v="5994"/>
    <x v="3"/>
    <x v="3"/>
  </r>
  <r>
    <d v="2025-04-05T00:00:00"/>
    <x v="2"/>
    <n v="6320"/>
    <s v="Grainger"/>
    <s v="Preventive Maintenance"/>
    <n v="2393"/>
    <x v="3"/>
    <x v="3"/>
  </r>
  <r>
    <d v="2025-04-06T00:00:00"/>
    <x v="2"/>
    <n v="6320"/>
    <s v="Local Contractor"/>
    <s v="Preventive Maintenance"/>
    <n v="6286"/>
    <x v="3"/>
    <x v="3"/>
  </r>
  <r>
    <d v="2025-04-07T00:00:00"/>
    <x v="2"/>
    <n v="6320"/>
    <s v="Local Contractor"/>
    <s v="Preventive Maintenance"/>
    <n v="3568"/>
    <x v="3"/>
    <x v="3"/>
  </r>
  <r>
    <d v="2025-04-05T00:00:00"/>
    <x v="3"/>
    <n v="6010"/>
    <s v="Sysco"/>
    <s v="Payroll"/>
    <n v="9542"/>
    <x v="0"/>
    <x v="3"/>
  </r>
  <r>
    <d v="2025-04-06T00:00:00"/>
    <x v="3"/>
    <n v="6010"/>
    <s v="Grainger"/>
    <s v="Payroll"/>
    <n v="1700"/>
    <x v="0"/>
    <x v="3"/>
  </r>
  <r>
    <d v="2025-04-07T00:00:00"/>
    <x v="3"/>
    <n v="6010"/>
    <s v="Cintas"/>
    <s v="Payroll"/>
    <n v="6158"/>
    <x v="0"/>
    <x v="3"/>
  </r>
  <r>
    <d v="2025-04-05T00:00:00"/>
    <x v="3"/>
    <n v="6020"/>
    <s v="Cintas"/>
    <s v="Overtime Payroll"/>
    <n v="9343"/>
    <x v="0"/>
    <x v="3"/>
  </r>
  <r>
    <d v="2025-04-06T00:00:00"/>
    <x v="3"/>
    <n v="6020"/>
    <s v="US Foods"/>
    <s v="Overtime Payroll"/>
    <n v="7082"/>
    <x v="0"/>
    <x v="3"/>
  </r>
  <r>
    <d v="2025-04-07T00:00:00"/>
    <x v="3"/>
    <n v="6020"/>
    <s v="NV Energy"/>
    <s v="Overtime Payroll"/>
    <n v="2341"/>
    <x v="0"/>
    <x v="3"/>
  </r>
  <r>
    <d v="2025-04-05T00:00:00"/>
    <x v="3"/>
    <n v="6110"/>
    <s v="Sysco"/>
    <s v="Food Inventory"/>
    <n v="9327"/>
    <x v="1"/>
    <x v="3"/>
  </r>
  <r>
    <d v="2025-04-06T00:00:00"/>
    <x v="3"/>
    <n v="6110"/>
    <s v="Cintas"/>
    <s v="Food Inventory"/>
    <n v="2570"/>
    <x v="1"/>
    <x v="3"/>
  </r>
  <r>
    <d v="2025-04-07T00:00:00"/>
    <x v="3"/>
    <n v="6110"/>
    <s v="Sysco"/>
    <s v="Food Inventory"/>
    <n v="9556"/>
    <x v="1"/>
    <x v="3"/>
  </r>
  <r>
    <d v="2025-04-05T00:00:00"/>
    <x v="3"/>
    <n v="6120"/>
    <s v="Local Contractor"/>
    <s v="Operating Supplies"/>
    <n v="10953"/>
    <x v="1"/>
    <x v="3"/>
  </r>
  <r>
    <d v="2025-04-06T00:00:00"/>
    <x v="3"/>
    <n v="6120"/>
    <s v="US Foods"/>
    <s v="Operating Supplies"/>
    <n v="2378"/>
    <x v="1"/>
    <x v="3"/>
  </r>
  <r>
    <d v="2025-04-07T00:00:00"/>
    <x v="3"/>
    <n v="6120"/>
    <s v="Grainger"/>
    <s v="Operating Supplies"/>
    <n v="3944"/>
    <x v="1"/>
    <x v="3"/>
  </r>
  <r>
    <d v="2025-04-05T00:00:00"/>
    <x v="3"/>
    <n v="6210"/>
    <s v="Sysco"/>
    <s v="Electricity"/>
    <n v="6478"/>
    <x v="2"/>
    <x v="3"/>
  </r>
  <r>
    <d v="2025-04-06T00:00:00"/>
    <x v="3"/>
    <n v="6210"/>
    <s v="Sysco"/>
    <s v="Electricity"/>
    <n v="5566"/>
    <x v="2"/>
    <x v="3"/>
  </r>
  <r>
    <d v="2025-04-07T00:00:00"/>
    <x v="3"/>
    <n v="6210"/>
    <s v="Cintas"/>
    <s v="Electricity"/>
    <n v="10643"/>
    <x v="2"/>
    <x v="3"/>
  </r>
  <r>
    <d v="2025-04-05T00:00:00"/>
    <x v="3"/>
    <n v="6220"/>
    <s v="Grainger"/>
    <s v="Water &amp; Sewer"/>
    <n v="11433"/>
    <x v="2"/>
    <x v="3"/>
  </r>
  <r>
    <d v="2025-04-06T00:00:00"/>
    <x v="3"/>
    <n v="6220"/>
    <s v="US Foods"/>
    <s v="Water &amp; Sewer"/>
    <n v="11632"/>
    <x v="2"/>
    <x v="3"/>
  </r>
  <r>
    <d v="2025-04-07T00:00:00"/>
    <x v="3"/>
    <n v="6220"/>
    <s v="Cintas"/>
    <s v="Water &amp; Sewer"/>
    <n v="10061"/>
    <x v="2"/>
    <x v="3"/>
  </r>
  <r>
    <d v="2025-04-05T00:00:00"/>
    <x v="3"/>
    <n v="6310"/>
    <s v="Cintas"/>
    <s v="Equipment Repairs"/>
    <n v="8881"/>
    <x v="3"/>
    <x v="3"/>
  </r>
  <r>
    <d v="2025-04-06T00:00:00"/>
    <x v="3"/>
    <n v="6310"/>
    <s v="Grainger"/>
    <s v="Equipment Repairs"/>
    <n v="6371"/>
    <x v="3"/>
    <x v="3"/>
  </r>
  <r>
    <d v="2025-04-07T00:00:00"/>
    <x v="3"/>
    <n v="6310"/>
    <s v="NV Energy"/>
    <s v="Equipment Repairs"/>
    <n v="8525"/>
    <x v="3"/>
    <x v="3"/>
  </r>
  <r>
    <d v="2025-04-05T00:00:00"/>
    <x v="3"/>
    <n v="6320"/>
    <s v="Grainger"/>
    <s v="Preventive Maintenance"/>
    <n v="10816"/>
    <x v="3"/>
    <x v="3"/>
  </r>
  <r>
    <d v="2025-04-06T00:00:00"/>
    <x v="3"/>
    <n v="6320"/>
    <s v="Grainger"/>
    <s v="Preventive Maintenance"/>
    <n v="2486"/>
    <x v="3"/>
    <x v="3"/>
  </r>
  <r>
    <d v="2025-04-07T00:00:00"/>
    <x v="3"/>
    <n v="6320"/>
    <s v="US Foods"/>
    <s v="Preventive Maintenance"/>
    <n v="3125"/>
    <x v="3"/>
    <x v="3"/>
  </r>
  <r>
    <d v="2025-05-05T00:00:00"/>
    <x v="0"/>
    <n v="6010"/>
    <s v="US Foods"/>
    <s v="Payroll"/>
    <n v="11748"/>
    <x v="0"/>
    <x v="4"/>
  </r>
  <r>
    <d v="2025-05-06T00:00:00"/>
    <x v="0"/>
    <n v="6010"/>
    <s v="Local Contractor"/>
    <s v="Payroll"/>
    <n v="5835"/>
    <x v="0"/>
    <x v="4"/>
  </r>
  <r>
    <d v="2025-05-07T00:00:00"/>
    <x v="0"/>
    <n v="6010"/>
    <s v="US Foods"/>
    <s v="Payroll"/>
    <n v="2830"/>
    <x v="0"/>
    <x v="4"/>
  </r>
  <r>
    <d v="2025-05-05T00:00:00"/>
    <x v="0"/>
    <n v="6020"/>
    <s v="US Foods"/>
    <s v="Overtime Payroll"/>
    <n v="5429"/>
    <x v="0"/>
    <x v="4"/>
  </r>
  <r>
    <d v="2025-05-06T00:00:00"/>
    <x v="0"/>
    <n v="6020"/>
    <s v="Sysco"/>
    <s v="Overtime Payroll"/>
    <n v="10543"/>
    <x v="0"/>
    <x v="4"/>
  </r>
  <r>
    <d v="2025-05-07T00:00:00"/>
    <x v="0"/>
    <n v="6020"/>
    <s v="Sysco"/>
    <s v="Overtime Payroll"/>
    <n v="4064"/>
    <x v="0"/>
    <x v="4"/>
  </r>
  <r>
    <d v="2025-05-05T00:00:00"/>
    <x v="0"/>
    <n v="6110"/>
    <s v="Cintas"/>
    <s v="Food Inventory"/>
    <n v="8193"/>
    <x v="1"/>
    <x v="4"/>
  </r>
  <r>
    <d v="2025-05-06T00:00:00"/>
    <x v="0"/>
    <n v="6110"/>
    <s v="Cintas"/>
    <s v="Food Inventory"/>
    <n v="11229"/>
    <x v="1"/>
    <x v="4"/>
  </r>
  <r>
    <d v="2025-05-07T00:00:00"/>
    <x v="0"/>
    <n v="6110"/>
    <s v="Sysco"/>
    <s v="Food Inventory"/>
    <n v="6271"/>
    <x v="1"/>
    <x v="4"/>
  </r>
  <r>
    <d v="2025-05-05T00:00:00"/>
    <x v="0"/>
    <n v="6120"/>
    <s v="NV Energy"/>
    <s v="Operating Supplies"/>
    <n v="5292"/>
    <x v="1"/>
    <x v="4"/>
  </r>
  <r>
    <d v="2025-05-06T00:00:00"/>
    <x v="0"/>
    <n v="6120"/>
    <s v="Local Contractor"/>
    <s v="Operating Supplies"/>
    <n v="6132"/>
    <x v="1"/>
    <x v="4"/>
  </r>
  <r>
    <d v="2025-05-07T00:00:00"/>
    <x v="0"/>
    <n v="6120"/>
    <s v="Sysco"/>
    <s v="Operating Supplies"/>
    <n v="8938"/>
    <x v="1"/>
    <x v="4"/>
  </r>
  <r>
    <d v="2025-05-05T00:00:00"/>
    <x v="0"/>
    <n v="6210"/>
    <s v="NV Energy"/>
    <s v="Electricity"/>
    <n v="5324"/>
    <x v="2"/>
    <x v="4"/>
  </r>
  <r>
    <d v="2025-05-06T00:00:00"/>
    <x v="0"/>
    <n v="6210"/>
    <s v="Grainger"/>
    <s v="Electricity"/>
    <n v="11740"/>
    <x v="2"/>
    <x v="4"/>
  </r>
  <r>
    <d v="2025-05-07T00:00:00"/>
    <x v="0"/>
    <n v="6210"/>
    <s v="Cintas"/>
    <s v="Electricity"/>
    <n v="4741"/>
    <x v="2"/>
    <x v="4"/>
  </r>
  <r>
    <d v="2025-05-05T00:00:00"/>
    <x v="0"/>
    <n v="6220"/>
    <s v="Grainger"/>
    <s v="Water &amp; Sewer"/>
    <n v="3380"/>
    <x v="2"/>
    <x v="4"/>
  </r>
  <r>
    <d v="2025-05-06T00:00:00"/>
    <x v="0"/>
    <n v="6220"/>
    <s v="Local Contractor"/>
    <s v="Water &amp; Sewer"/>
    <n v="5183"/>
    <x v="2"/>
    <x v="4"/>
  </r>
  <r>
    <d v="2025-05-07T00:00:00"/>
    <x v="0"/>
    <n v="6220"/>
    <s v="NV Energy"/>
    <s v="Water &amp; Sewer"/>
    <n v="3941"/>
    <x v="2"/>
    <x v="4"/>
  </r>
  <r>
    <d v="2025-05-05T00:00:00"/>
    <x v="0"/>
    <n v="6310"/>
    <s v="Sysco"/>
    <s v="Equipment Repairs"/>
    <n v="3830"/>
    <x v="3"/>
    <x v="4"/>
  </r>
  <r>
    <d v="2025-05-06T00:00:00"/>
    <x v="0"/>
    <n v="6310"/>
    <s v="US Foods"/>
    <s v="Equipment Repairs"/>
    <n v="2477"/>
    <x v="3"/>
    <x v="4"/>
  </r>
  <r>
    <d v="2025-05-07T00:00:00"/>
    <x v="0"/>
    <n v="6310"/>
    <s v="Grainger"/>
    <s v="Equipment Repairs"/>
    <n v="6539"/>
    <x v="3"/>
    <x v="4"/>
  </r>
  <r>
    <d v="2025-05-05T00:00:00"/>
    <x v="0"/>
    <n v="6320"/>
    <s v="NV Energy"/>
    <s v="Preventive Maintenance"/>
    <n v="10825"/>
    <x v="3"/>
    <x v="4"/>
  </r>
  <r>
    <d v="2025-05-06T00:00:00"/>
    <x v="0"/>
    <n v="6320"/>
    <s v="Sysco"/>
    <s v="Preventive Maintenance"/>
    <n v="8695"/>
    <x v="3"/>
    <x v="4"/>
  </r>
  <r>
    <d v="2025-05-07T00:00:00"/>
    <x v="0"/>
    <n v="6320"/>
    <s v="Local Contractor"/>
    <s v="Preventive Maintenance"/>
    <n v="9179"/>
    <x v="3"/>
    <x v="4"/>
  </r>
  <r>
    <d v="2025-05-05T00:00:00"/>
    <x v="1"/>
    <n v="6010"/>
    <s v="Local Contractor"/>
    <s v="Payroll"/>
    <n v="6482"/>
    <x v="0"/>
    <x v="4"/>
  </r>
  <r>
    <d v="2025-05-06T00:00:00"/>
    <x v="1"/>
    <n v="6010"/>
    <s v="NV Energy"/>
    <s v="Payroll"/>
    <n v="8094"/>
    <x v="0"/>
    <x v="4"/>
  </r>
  <r>
    <d v="2025-05-07T00:00:00"/>
    <x v="1"/>
    <n v="6010"/>
    <s v="Grainger"/>
    <s v="Payroll"/>
    <n v="9699"/>
    <x v="0"/>
    <x v="4"/>
  </r>
  <r>
    <d v="2025-05-05T00:00:00"/>
    <x v="1"/>
    <n v="6020"/>
    <s v="Cintas"/>
    <s v="Overtime Payroll"/>
    <n v="9590"/>
    <x v="0"/>
    <x v="4"/>
  </r>
  <r>
    <d v="2025-05-06T00:00:00"/>
    <x v="1"/>
    <n v="6020"/>
    <s v="Grainger"/>
    <s v="Overtime Payroll"/>
    <n v="2817"/>
    <x v="0"/>
    <x v="4"/>
  </r>
  <r>
    <d v="2025-05-07T00:00:00"/>
    <x v="1"/>
    <n v="6020"/>
    <s v="Cintas"/>
    <s v="Overtime Payroll"/>
    <n v="2153"/>
    <x v="0"/>
    <x v="4"/>
  </r>
  <r>
    <d v="2025-05-05T00:00:00"/>
    <x v="1"/>
    <n v="6110"/>
    <s v="Grainger"/>
    <s v="Food Inventory"/>
    <n v="6780"/>
    <x v="1"/>
    <x v="4"/>
  </r>
  <r>
    <d v="2025-05-06T00:00:00"/>
    <x v="1"/>
    <n v="6110"/>
    <s v="Sysco"/>
    <s v="Food Inventory"/>
    <n v="5602"/>
    <x v="1"/>
    <x v="4"/>
  </r>
  <r>
    <d v="2025-05-07T00:00:00"/>
    <x v="1"/>
    <n v="6110"/>
    <s v="US Foods"/>
    <s v="Food Inventory"/>
    <n v="2996"/>
    <x v="1"/>
    <x v="4"/>
  </r>
  <r>
    <d v="2025-05-05T00:00:00"/>
    <x v="1"/>
    <n v="6120"/>
    <s v="Grainger"/>
    <s v="Operating Supplies"/>
    <n v="10924"/>
    <x v="1"/>
    <x v="4"/>
  </r>
  <r>
    <d v="2025-05-06T00:00:00"/>
    <x v="1"/>
    <n v="6120"/>
    <s v="Local Contractor"/>
    <s v="Operating Supplies"/>
    <n v="1839"/>
    <x v="1"/>
    <x v="4"/>
  </r>
  <r>
    <d v="2025-05-07T00:00:00"/>
    <x v="1"/>
    <n v="6120"/>
    <s v="Grainger"/>
    <s v="Operating Supplies"/>
    <n v="5915"/>
    <x v="1"/>
    <x v="4"/>
  </r>
  <r>
    <d v="2025-05-05T00:00:00"/>
    <x v="1"/>
    <n v="6210"/>
    <s v="US Foods"/>
    <s v="Electricity"/>
    <n v="2159"/>
    <x v="2"/>
    <x v="4"/>
  </r>
  <r>
    <d v="2025-05-06T00:00:00"/>
    <x v="1"/>
    <n v="6210"/>
    <s v="Grainger"/>
    <s v="Electricity"/>
    <n v="9208"/>
    <x v="2"/>
    <x v="4"/>
  </r>
  <r>
    <d v="2025-05-07T00:00:00"/>
    <x v="1"/>
    <n v="6210"/>
    <s v="NV Energy"/>
    <s v="Electricity"/>
    <n v="8745"/>
    <x v="2"/>
    <x v="4"/>
  </r>
  <r>
    <d v="2025-05-05T00:00:00"/>
    <x v="1"/>
    <n v="6220"/>
    <s v="Grainger"/>
    <s v="Water &amp; Sewer"/>
    <n v="4473"/>
    <x v="2"/>
    <x v="4"/>
  </r>
  <r>
    <d v="2025-05-06T00:00:00"/>
    <x v="1"/>
    <n v="6220"/>
    <s v="Local Contractor"/>
    <s v="Water &amp; Sewer"/>
    <n v="8641"/>
    <x v="2"/>
    <x v="4"/>
  </r>
  <r>
    <d v="2025-05-07T00:00:00"/>
    <x v="1"/>
    <n v="6220"/>
    <s v="Sysco"/>
    <s v="Water &amp; Sewer"/>
    <n v="9556"/>
    <x v="2"/>
    <x v="4"/>
  </r>
  <r>
    <d v="2025-05-05T00:00:00"/>
    <x v="1"/>
    <n v="6310"/>
    <s v="NV Energy"/>
    <s v="Equipment Repairs"/>
    <n v="9200"/>
    <x v="3"/>
    <x v="4"/>
  </r>
  <r>
    <d v="2025-05-06T00:00:00"/>
    <x v="1"/>
    <n v="6310"/>
    <s v="NV Energy"/>
    <s v="Equipment Repairs"/>
    <n v="8190"/>
    <x v="3"/>
    <x v="4"/>
  </r>
  <r>
    <d v="2025-05-07T00:00:00"/>
    <x v="1"/>
    <n v="6310"/>
    <s v="Local Contractor"/>
    <s v="Equipment Repairs"/>
    <n v="6760"/>
    <x v="3"/>
    <x v="4"/>
  </r>
  <r>
    <d v="2025-05-05T00:00:00"/>
    <x v="1"/>
    <n v="6320"/>
    <s v="US Foods"/>
    <s v="Preventive Maintenance"/>
    <n v="3213"/>
    <x v="3"/>
    <x v="4"/>
  </r>
  <r>
    <d v="2025-05-06T00:00:00"/>
    <x v="1"/>
    <n v="6320"/>
    <s v="Cintas"/>
    <s v="Preventive Maintenance"/>
    <n v="6903"/>
    <x v="3"/>
    <x v="4"/>
  </r>
  <r>
    <d v="2025-05-07T00:00:00"/>
    <x v="1"/>
    <n v="6320"/>
    <s v="NV Energy"/>
    <s v="Preventive Maintenance"/>
    <n v="9617"/>
    <x v="3"/>
    <x v="4"/>
  </r>
  <r>
    <d v="2025-05-05T00:00:00"/>
    <x v="2"/>
    <n v="6010"/>
    <s v="Grainger"/>
    <s v="Payroll"/>
    <n v="8061"/>
    <x v="0"/>
    <x v="4"/>
  </r>
  <r>
    <d v="2025-05-06T00:00:00"/>
    <x v="2"/>
    <n v="6010"/>
    <s v="Cintas"/>
    <s v="Payroll"/>
    <n v="2101"/>
    <x v="0"/>
    <x v="4"/>
  </r>
  <r>
    <d v="2025-05-07T00:00:00"/>
    <x v="2"/>
    <n v="6010"/>
    <s v="NV Energy"/>
    <s v="Payroll"/>
    <n v="2942"/>
    <x v="0"/>
    <x v="4"/>
  </r>
  <r>
    <d v="2025-05-05T00:00:00"/>
    <x v="2"/>
    <n v="6020"/>
    <s v="NV Energy"/>
    <s v="Overtime Payroll"/>
    <n v="5635"/>
    <x v="0"/>
    <x v="4"/>
  </r>
  <r>
    <d v="2025-05-06T00:00:00"/>
    <x v="2"/>
    <n v="6020"/>
    <s v="Cintas"/>
    <s v="Overtime Payroll"/>
    <n v="3399"/>
    <x v="0"/>
    <x v="4"/>
  </r>
  <r>
    <d v="2025-05-07T00:00:00"/>
    <x v="2"/>
    <n v="6020"/>
    <s v="Sysco"/>
    <s v="Overtime Payroll"/>
    <n v="9931"/>
    <x v="0"/>
    <x v="4"/>
  </r>
  <r>
    <d v="2025-05-05T00:00:00"/>
    <x v="2"/>
    <n v="6110"/>
    <s v="Cintas"/>
    <s v="Food Inventory"/>
    <n v="10389"/>
    <x v="1"/>
    <x v="4"/>
  </r>
  <r>
    <d v="2025-05-06T00:00:00"/>
    <x v="2"/>
    <n v="6110"/>
    <s v="Sysco"/>
    <s v="Food Inventory"/>
    <n v="8270"/>
    <x v="1"/>
    <x v="4"/>
  </r>
  <r>
    <d v="2025-05-07T00:00:00"/>
    <x v="2"/>
    <n v="6110"/>
    <s v="Grainger"/>
    <s v="Food Inventory"/>
    <n v="4573"/>
    <x v="1"/>
    <x v="4"/>
  </r>
  <r>
    <d v="2025-05-05T00:00:00"/>
    <x v="2"/>
    <n v="6120"/>
    <s v="Grainger"/>
    <s v="Operating Supplies"/>
    <n v="7427"/>
    <x v="1"/>
    <x v="4"/>
  </r>
  <r>
    <d v="2025-05-06T00:00:00"/>
    <x v="2"/>
    <n v="6120"/>
    <s v="Local Contractor"/>
    <s v="Operating Supplies"/>
    <n v="9667"/>
    <x v="1"/>
    <x v="4"/>
  </r>
  <r>
    <d v="2025-05-07T00:00:00"/>
    <x v="2"/>
    <n v="6120"/>
    <s v="Sysco"/>
    <s v="Operating Supplies"/>
    <n v="8742"/>
    <x v="1"/>
    <x v="4"/>
  </r>
  <r>
    <d v="2025-05-05T00:00:00"/>
    <x v="2"/>
    <n v="6210"/>
    <s v="NV Energy"/>
    <s v="Electricity"/>
    <n v="4835"/>
    <x v="2"/>
    <x v="4"/>
  </r>
  <r>
    <d v="2025-05-06T00:00:00"/>
    <x v="2"/>
    <n v="6210"/>
    <s v="US Foods"/>
    <s v="Electricity"/>
    <n v="10498"/>
    <x v="2"/>
    <x v="4"/>
  </r>
  <r>
    <d v="2025-05-07T00:00:00"/>
    <x v="2"/>
    <n v="6210"/>
    <s v="Cintas"/>
    <s v="Electricity"/>
    <n v="6219"/>
    <x v="2"/>
    <x v="4"/>
  </r>
  <r>
    <d v="2025-05-05T00:00:00"/>
    <x v="2"/>
    <n v="6220"/>
    <s v="Sysco"/>
    <s v="Water &amp; Sewer"/>
    <n v="9441"/>
    <x v="2"/>
    <x v="4"/>
  </r>
  <r>
    <d v="2025-05-06T00:00:00"/>
    <x v="2"/>
    <n v="6220"/>
    <s v="Local Contractor"/>
    <s v="Water &amp; Sewer"/>
    <n v="1972"/>
    <x v="2"/>
    <x v="4"/>
  </r>
  <r>
    <d v="2025-05-07T00:00:00"/>
    <x v="2"/>
    <n v="6220"/>
    <s v="US Foods"/>
    <s v="Water &amp; Sewer"/>
    <n v="11475"/>
    <x v="2"/>
    <x v="4"/>
  </r>
  <r>
    <d v="2025-05-05T00:00:00"/>
    <x v="2"/>
    <n v="6310"/>
    <s v="NV Energy"/>
    <s v="Equipment Repairs"/>
    <n v="4094"/>
    <x v="3"/>
    <x v="4"/>
  </r>
  <r>
    <d v="2025-05-06T00:00:00"/>
    <x v="2"/>
    <n v="6310"/>
    <s v="Sysco"/>
    <s v="Equipment Repairs"/>
    <n v="10524"/>
    <x v="3"/>
    <x v="4"/>
  </r>
  <r>
    <d v="2025-05-07T00:00:00"/>
    <x v="2"/>
    <n v="6310"/>
    <s v="Cintas"/>
    <s v="Equipment Repairs"/>
    <n v="10548"/>
    <x v="3"/>
    <x v="4"/>
  </r>
  <r>
    <d v="2025-05-05T00:00:00"/>
    <x v="2"/>
    <n v="6320"/>
    <s v="US Foods"/>
    <s v="Preventive Maintenance"/>
    <n v="3027"/>
    <x v="3"/>
    <x v="4"/>
  </r>
  <r>
    <d v="2025-05-06T00:00:00"/>
    <x v="2"/>
    <n v="6320"/>
    <s v="Cintas"/>
    <s v="Preventive Maintenance"/>
    <n v="3358"/>
    <x v="3"/>
    <x v="4"/>
  </r>
  <r>
    <d v="2025-05-07T00:00:00"/>
    <x v="2"/>
    <n v="6320"/>
    <s v="Local Contractor"/>
    <s v="Preventive Maintenance"/>
    <n v="3424"/>
    <x v="3"/>
    <x v="4"/>
  </r>
  <r>
    <d v="2025-05-05T00:00:00"/>
    <x v="3"/>
    <n v="6010"/>
    <s v="Cintas"/>
    <s v="Payroll"/>
    <n v="4022"/>
    <x v="0"/>
    <x v="4"/>
  </r>
  <r>
    <d v="2025-05-06T00:00:00"/>
    <x v="3"/>
    <n v="6010"/>
    <s v="Grainger"/>
    <s v="Payroll"/>
    <n v="6281"/>
    <x v="0"/>
    <x v="4"/>
  </r>
  <r>
    <d v="2025-05-07T00:00:00"/>
    <x v="3"/>
    <n v="6010"/>
    <s v="Cintas"/>
    <s v="Payroll"/>
    <n v="5979"/>
    <x v="0"/>
    <x v="4"/>
  </r>
  <r>
    <d v="2025-05-05T00:00:00"/>
    <x v="3"/>
    <n v="6020"/>
    <s v="Cintas"/>
    <s v="Overtime Payroll"/>
    <n v="9405"/>
    <x v="0"/>
    <x v="4"/>
  </r>
  <r>
    <d v="2025-05-06T00:00:00"/>
    <x v="3"/>
    <n v="6020"/>
    <s v="Cintas"/>
    <s v="Overtime Payroll"/>
    <n v="5493"/>
    <x v="0"/>
    <x v="4"/>
  </r>
  <r>
    <d v="2025-05-07T00:00:00"/>
    <x v="3"/>
    <n v="6020"/>
    <s v="US Foods"/>
    <s v="Overtime Payroll"/>
    <n v="10531"/>
    <x v="0"/>
    <x v="4"/>
  </r>
  <r>
    <d v="2025-05-05T00:00:00"/>
    <x v="3"/>
    <n v="6110"/>
    <s v="US Foods"/>
    <s v="Food Inventory"/>
    <n v="7784"/>
    <x v="1"/>
    <x v="4"/>
  </r>
  <r>
    <d v="2025-05-06T00:00:00"/>
    <x v="3"/>
    <n v="6110"/>
    <s v="Grainger"/>
    <s v="Food Inventory"/>
    <n v="11320"/>
    <x v="1"/>
    <x v="4"/>
  </r>
  <r>
    <d v="2025-05-07T00:00:00"/>
    <x v="3"/>
    <n v="6110"/>
    <s v="Sysco"/>
    <s v="Food Inventory"/>
    <n v="3736"/>
    <x v="1"/>
    <x v="4"/>
  </r>
  <r>
    <d v="2025-05-05T00:00:00"/>
    <x v="3"/>
    <n v="6120"/>
    <s v="Cintas"/>
    <s v="Operating Supplies"/>
    <n v="6026"/>
    <x v="1"/>
    <x v="4"/>
  </r>
  <r>
    <d v="2025-05-06T00:00:00"/>
    <x v="3"/>
    <n v="6120"/>
    <s v="Grainger"/>
    <s v="Operating Supplies"/>
    <n v="7068"/>
    <x v="1"/>
    <x v="4"/>
  </r>
  <r>
    <d v="2025-05-07T00:00:00"/>
    <x v="3"/>
    <n v="6120"/>
    <s v="Sysco"/>
    <s v="Operating Supplies"/>
    <n v="5877"/>
    <x v="1"/>
    <x v="4"/>
  </r>
  <r>
    <d v="2025-05-05T00:00:00"/>
    <x v="3"/>
    <n v="6210"/>
    <s v="Local Contractor"/>
    <s v="Electricity"/>
    <n v="6134"/>
    <x v="2"/>
    <x v="4"/>
  </r>
  <r>
    <d v="2025-05-06T00:00:00"/>
    <x v="3"/>
    <n v="6210"/>
    <s v="Grainger"/>
    <s v="Electricity"/>
    <n v="6391"/>
    <x v="2"/>
    <x v="4"/>
  </r>
  <r>
    <d v="2025-05-07T00:00:00"/>
    <x v="3"/>
    <n v="6210"/>
    <s v="Local Contractor"/>
    <s v="Electricity"/>
    <n v="11001"/>
    <x v="2"/>
    <x v="4"/>
  </r>
  <r>
    <d v="2025-05-05T00:00:00"/>
    <x v="3"/>
    <n v="6220"/>
    <s v="US Foods"/>
    <s v="Water &amp; Sewer"/>
    <n v="9522"/>
    <x v="2"/>
    <x v="4"/>
  </r>
  <r>
    <d v="2025-05-06T00:00:00"/>
    <x v="3"/>
    <n v="6220"/>
    <s v="Grainger"/>
    <s v="Water &amp; Sewer"/>
    <n v="8816"/>
    <x v="2"/>
    <x v="4"/>
  </r>
  <r>
    <d v="2025-05-07T00:00:00"/>
    <x v="3"/>
    <n v="6220"/>
    <s v="NV Energy"/>
    <s v="Water &amp; Sewer"/>
    <n v="9435"/>
    <x v="2"/>
    <x v="4"/>
  </r>
  <r>
    <d v="2025-05-05T00:00:00"/>
    <x v="3"/>
    <n v="6310"/>
    <s v="Grainger"/>
    <s v="Equipment Repairs"/>
    <n v="6946"/>
    <x v="3"/>
    <x v="4"/>
  </r>
  <r>
    <d v="2025-05-06T00:00:00"/>
    <x v="3"/>
    <n v="6310"/>
    <s v="Cintas"/>
    <s v="Equipment Repairs"/>
    <n v="10403"/>
    <x v="3"/>
    <x v="4"/>
  </r>
  <r>
    <d v="2025-05-07T00:00:00"/>
    <x v="3"/>
    <n v="6310"/>
    <s v="NV Energy"/>
    <s v="Equipment Repairs"/>
    <n v="8960"/>
    <x v="3"/>
    <x v="4"/>
  </r>
  <r>
    <d v="2025-05-05T00:00:00"/>
    <x v="3"/>
    <n v="6320"/>
    <s v="Local Contractor"/>
    <s v="Preventive Maintenance"/>
    <n v="4590"/>
    <x v="3"/>
    <x v="4"/>
  </r>
  <r>
    <d v="2025-05-06T00:00:00"/>
    <x v="3"/>
    <n v="6320"/>
    <s v="Grainger"/>
    <s v="Preventive Maintenance"/>
    <n v="5412"/>
    <x v="3"/>
    <x v="4"/>
  </r>
  <r>
    <d v="2025-05-07T00:00:00"/>
    <x v="3"/>
    <n v="6320"/>
    <s v="US Foods"/>
    <s v="Preventive Maintenance"/>
    <n v="7774"/>
    <x v="3"/>
    <x v="4"/>
  </r>
  <r>
    <d v="2025-06-05T00:00:00"/>
    <x v="0"/>
    <n v="6010"/>
    <s v="Sysco"/>
    <s v="Payroll"/>
    <n v="8230"/>
    <x v="0"/>
    <x v="5"/>
  </r>
  <r>
    <d v="2025-06-06T00:00:00"/>
    <x v="0"/>
    <n v="6010"/>
    <s v="Local Contractor"/>
    <s v="Payroll"/>
    <n v="6713"/>
    <x v="0"/>
    <x v="5"/>
  </r>
  <r>
    <d v="2025-06-07T00:00:00"/>
    <x v="0"/>
    <n v="6010"/>
    <s v="Local Contractor"/>
    <s v="Payroll"/>
    <n v="9249"/>
    <x v="0"/>
    <x v="5"/>
  </r>
  <r>
    <d v="2025-06-05T00:00:00"/>
    <x v="0"/>
    <n v="6020"/>
    <s v="Cintas"/>
    <s v="Overtime Payroll"/>
    <n v="7746"/>
    <x v="0"/>
    <x v="5"/>
  </r>
  <r>
    <d v="2025-06-06T00:00:00"/>
    <x v="0"/>
    <n v="6020"/>
    <s v="Cintas"/>
    <s v="Overtime Payroll"/>
    <n v="3992"/>
    <x v="0"/>
    <x v="5"/>
  </r>
  <r>
    <d v="2025-06-07T00:00:00"/>
    <x v="0"/>
    <n v="6020"/>
    <s v="US Foods"/>
    <s v="Overtime Payroll"/>
    <n v="2106"/>
    <x v="0"/>
    <x v="5"/>
  </r>
  <r>
    <d v="2025-06-05T00:00:00"/>
    <x v="0"/>
    <n v="6110"/>
    <s v="Grainger"/>
    <s v="Food Inventory"/>
    <n v="9729"/>
    <x v="1"/>
    <x v="5"/>
  </r>
  <r>
    <d v="2025-06-06T00:00:00"/>
    <x v="0"/>
    <n v="6110"/>
    <s v="Sysco"/>
    <s v="Food Inventory"/>
    <n v="6939"/>
    <x v="1"/>
    <x v="5"/>
  </r>
  <r>
    <d v="2025-06-07T00:00:00"/>
    <x v="0"/>
    <n v="6110"/>
    <s v="Sysco"/>
    <s v="Food Inventory"/>
    <n v="8713"/>
    <x v="1"/>
    <x v="5"/>
  </r>
  <r>
    <d v="2025-06-05T00:00:00"/>
    <x v="0"/>
    <n v="6120"/>
    <s v="Cintas"/>
    <s v="Operating Supplies"/>
    <n v="10117"/>
    <x v="1"/>
    <x v="5"/>
  </r>
  <r>
    <d v="2025-06-06T00:00:00"/>
    <x v="0"/>
    <n v="6120"/>
    <s v="Local Contractor"/>
    <s v="Operating Supplies"/>
    <n v="1751"/>
    <x v="1"/>
    <x v="5"/>
  </r>
  <r>
    <d v="2025-06-07T00:00:00"/>
    <x v="0"/>
    <n v="6120"/>
    <s v="Cintas"/>
    <s v="Operating Supplies"/>
    <n v="3861"/>
    <x v="1"/>
    <x v="5"/>
  </r>
  <r>
    <d v="2025-06-05T00:00:00"/>
    <x v="0"/>
    <n v="6210"/>
    <s v="Sysco"/>
    <s v="Electricity"/>
    <n v="4029"/>
    <x v="2"/>
    <x v="5"/>
  </r>
  <r>
    <d v="2025-06-06T00:00:00"/>
    <x v="0"/>
    <n v="6210"/>
    <s v="NV Energy"/>
    <s v="Electricity"/>
    <n v="9192"/>
    <x v="2"/>
    <x v="5"/>
  </r>
  <r>
    <d v="2025-06-07T00:00:00"/>
    <x v="0"/>
    <n v="6210"/>
    <s v="Grainger"/>
    <s v="Electricity"/>
    <n v="7046"/>
    <x v="2"/>
    <x v="5"/>
  </r>
  <r>
    <d v="2025-06-05T00:00:00"/>
    <x v="0"/>
    <n v="6220"/>
    <s v="Local Contractor"/>
    <s v="Water &amp; Sewer"/>
    <n v="8012"/>
    <x v="2"/>
    <x v="5"/>
  </r>
  <r>
    <d v="2025-06-06T00:00:00"/>
    <x v="0"/>
    <n v="6220"/>
    <s v="NV Energy"/>
    <s v="Water &amp; Sewer"/>
    <n v="2815"/>
    <x v="2"/>
    <x v="5"/>
  </r>
  <r>
    <d v="2025-06-07T00:00:00"/>
    <x v="0"/>
    <n v="6220"/>
    <s v="Cintas"/>
    <s v="Water &amp; Sewer"/>
    <n v="10242"/>
    <x v="2"/>
    <x v="5"/>
  </r>
  <r>
    <d v="2025-06-05T00:00:00"/>
    <x v="0"/>
    <n v="6310"/>
    <s v="Local Contractor"/>
    <s v="Equipment Repairs"/>
    <n v="6688"/>
    <x v="3"/>
    <x v="5"/>
  </r>
  <r>
    <d v="2025-06-06T00:00:00"/>
    <x v="0"/>
    <n v="6310"/>
    <s v="Grainger"/>
    <s v="Equipment Repairs"/>
    <n v="9494"/>
    <x v="3"/>
    <x v="5"/>
  </r>
  <r>
    <d v="2025-06-07T00:00:00"/>
    <x v="0"/>
    <n v="6310"/>
    <s v="Grainger"/>
    <s v="Equipment Repairs"/>
    <n v="2088"/>
    <x v="3"/>
    <x v="5"/>
  </r>
  <r>
    <d v="2025-06-05T00:00:00"/>
    <x v="0"/>
    <n v="6320"/>
    <s v="US Foods"/>
    <s v="Preventive Maintenance"/>
    <n v="2621"/>
    <x v="3"/>
    <x v="5"/>
  </r>
  <r>
    <d v="2025-06-06T00:00:00"/>
    <x v="0"/>
    <n v="6320"/>
    <s v="Local Contractor"/>
    <s v="Preventive Maintenance"/>
    <n v="11840"/>
    <x v="3"/>
    <x v="5"/>
  </r>
  <r>
    <d v="2025-06-07T00:00:00"/>
    <x v="0"/>
    <n v="6320"/>
    <s v="US Foods"/>
    <s v="Preventive Maintenance"/>
    <n v="6208"/>
    <x v="3"/>
    <x v="5"/>
  </r>
  <r>
    <d v="2025-06-05T00:00:00"/>
    <x v="1"/>
    <n v="6010"/>
    <s v="Cintas"/>
    <s v="Payroll"/>
    <n v="2980"/>
    <x v="0"/>
    <x v="5"/>
  </r>
  <r>
    <d v="2025-06-06T00:00:00"/>
    <x v="1"/>
    <n v="6010"/>
    <s v="Local Contractor"/>
    <s v="Payroll"/>
    <n v="3112"/>
    <x v="0"/>
    <x v="5"/>
  </r>
  <r>
    <d v="2025-06-07T00:00:00"/>
    <x v="1"/>
    <n v="6010"/>
    <s v="Cintas"/>
    <s v="Payroll"/>
    <n v="3146"/>
    <x v="0"/>
    <x v="5"/>
  </r>
  <r>
    <d v="2025-06-05T00:00:00"/>
    <x v="1"/>
    <n v="6020"/>
    <s v="Local Contractor"/>
    <s v="Overtime Payroll"/>
    <n v="4225"/>
    <x v="0"/>
    <x v="5"/>
  </r>
  <r>
    <d v="2025-06-06T00:00:00"/>
    <x v="1"/>
    <n v="6020"/>
    <s v="Sysco"/>
    <s v="Overtime Payroll"/>
    <n v="6406"/>
    <x v="0"/>
    <x v="5"/>
  </r>
  <r>
    <d v="2025-06-07T00:00:00"/>
    <x v="1"/>
    <n v="6020"/>
    <s v="NV Energy"/>
    <s v="Overtime Payroll"/>
    <n v="2253"/>
    <x v="0"/>
    <x v="5"/>
  </r>
  <r>
    <d v="2025-06-05T00:00:00"/>
    <x v="1"/>
    <n v="6110"/>
    <s v="NV Energy"/>
    <s v="Food Inventory"/>
    <n v="2419"/>
    <x v="1"/>
    <x v="5"/>
  </r>
  <r>
    <d v="2025-06-06T00:00:00"/>
    <x v="1"/>
    <n v="6110"/>
    <s v="NV Energy"/>
    <s v="Food Inventory"/>
    <n v="7373"/>
    <x v="1"/>
    <x v="5"/>
  </r>
  <r>
    <d v="2025-06-07T00:00:00"/>
    <x v="1"/>
    <n v="6110"/>
    <s v="US Foods"/>
    <s v="Food Inventory"/>
    <n v="8556"/>
    <x v="1"/>
    <x v="5"/>
  </r>
  <r>
    <d v="2025-06-05T00:00:00"/>
    <x v="1"/>
    <n v="6120"/>
    <s v="Grainger"/>
    <s v="Operating Supplies"/>
    <n v="5500"/>
    <x v="1"/>
    <x v="5"/>
  </r>
  <r>
    <d v="2025-06-06T00:00:00"/>
    <x v="1"/>
    <n v="6120"/>
    <s v="Grainger"/>
    <s v="Operating Supplies"/>
    <n v="8251"/>
    <x v="1"/>
    <x v="5"/>
  </r>
  <r>
    <d v="2025-06-07T00:00:00"/>
    <x v="1"/>
    <n v="6120"/>
    <s v="US Foods"/>
    <s v="Operating Supplies"/>
    <n v="4450"/>
    <x v="1"/>
    <x v="5"/>
  </r>
  <r>
    <d v="2025-06-05T00:00:00"/>
    <x v="1"/>
    <n v="6210"/>
    <s v="Sysco"/>
    <s v="Electricity"/>
    <n v="4368"/>
    <x v="2"/>
    <x v="5"/>
  </r>
  <r>
    <d v="2025-06-06T00:00:00"/>
    <x v="1"/>
    <n v="6210"/>
    <s v="Cintas"/>
    <s v="Electricity"/>
    <n v="11485"/>
    <x v="2"/>
    <x v="5"/>
  </r>
  <r>
    <d v="2025-06-07T00:00:00"/>
    <x v="1"/>
    <n v="6210"/>
    <s v="Local Contractor"/>
    <s v="Electricity"/>
    <n v="11653"/>
    <x v="2"/>
    <x v="5"/>
  </r>
  <r>
    <d v="2025-06-05T00:00:00"/>
    <x v="1"/>
    <n v="6220"/>
    <s v="Cintas"/>
    <s v="Water &amp; Sewer"/>
    <n v="5445"/>
    <x v="2"/>
    <x v="5"/>
  </r>
  <r>
    <d v="2025-06-06T00:00:00"/>
    <x v="1"/>
    <n v="6220"/>
    <s v="US Foods"/>
    <s v="Water &amp; Sewer"/>
    <n v="11054"/>
    <x v="2"/>
    <x v="5"/>
  </r>
  <r>
    <d v="2025-06-07T00:00:00"/>
    <x v="1"/>
    <n v="6220"/>
    <s v="Cintas"/>
    <s v="Water &amp; Sewer"/>
    <n v="5304"/>
    <x v="2"/>
    <x v="5"/>
  </r>
  <r>
    <d v="2025-06-05T00:00:00"/>
    <x v="1"/>
    <n v="6310"/>
    <s v="NV Energy"/>
    <s v="Equipment Repairs"/>
    <n v="11951"/>
    <x v="3"/>
    <x v="5"/>
  </r>
  <r>
    <d v="2025-06-06T00:00:00"/>
    <x v="1"/>
    <n v="6310"/>
    <s v="NV Energy"/>
    <s v="Equipment Repairs"/>
    <n v="9029"/>
    <x v="3"/>
    <x v="5"/>
  </r>
  <r>
    <d v="2025-06-07T00:00:00"/>
    <x v="1"/>
    <n v="6310"/>
    <s v="Cintas"/>
    <s v="Equipment Repairs"/>
    <n v="1653"/>
    <x v="3"/>
    <x v="5"/>
  </r>
  <r>
    <d v="2025-06-05T00:00:00"/>
    <x v="1"/>
    <n v="6320"/>
    <s v="Local Contractor"/>
    <s v="Preventive Maintenance"/>
    <n v="6212"/>
    <x v="3"/>
    <x v="5"/>
  </r>
  <r>
    <d v="2025-06-06T00:00:00"/>
    <x v="1"/>
    <n v="6320"/>
    <s v="US Foods"/>
    <s v="Preventive Maintenance"/>
    <n v="10455"/>
    <x v="3"/>
    <x v="5"/>
  </r>
  <r>
    <d v="2025-06-07T00:00:00"/>
    <x v="1"/>
    <n v="6320"/>
    <s v="Cintas"/>
    <s v="Preventive Maintenance"/>
    <n v="2710"/>
    <x v="3"/>
    <x v="5"/>
  </r>
  <r>
    <d v="2025-06-05T00:00:00"/>
    <x v="2"/>
    <n v="6010"/>
    <s v="Grainger"/>
    <s v="Payroll"/>
    <n v="7161"/>
    <x v="0"/>
    <x v="5"/>
  </r>
  <r>
    <d v="2025-06-06T00:00:00"/>
    <x v="2"/>
    <n v="6010"/>
    <s v="Local Contractor"/>
    <s v="Payroll"/>
    <n v="6401"/>
    <x v="0"/>
    <x v="5"/>
  </r>
  <r>
    <d v="2025-06-07T00:00:00"/>
    <x v="2"/>
    <n v="6010"/>
    <s v="Local Contractor"/>
    <s v="Payroll"/>
    <n v="8451"/>
    <x v="0"/>
    <x v="5"/>
  </r>
  <r>
    <d v="2025-06-05T00:00:00"/>
    <x v="2"/>
    <n v="6020"/>
    <s v="Cintas"/>
    <s v="Overtime Payroll"/>
    <n v="5597"/>
    <x v="0"/>
    <x v="5"/>
  </r>
  <r>
    <d v="2025-06-06T00:00:00"/>
    <x v="2"/>
    <n v="6020"/>
    <s v="US Foods"/>
    <s v="Overtime Payroll"/>
    <n v="6449"/>
    <x v="0"/>
    <x v="5"/>
  </r>
  <r>
    <d v="2025-06-07T00:00:00"/>
    <x v="2"/>
    <n v="6020"/>
    <s v="Cintas"/>
    <s v="Overtime Payroll"/>
    <n v="7802"/>
    <x v="0"/>
    <x v="5"/>
  </r>
  <r>
    <d v="2025-06-05T00:00:00"/>
    <x v="2"/>
    <n v="6110"/>
    <s v="US Foods"/>
    <s v="Food Inventory"/>
    <n v="3247"/>
    <x v="1"/>
    <x v="5"/>
  </r>
  <r>
    <d v="2025-06-06T00:00:00"/>
    <x v="2"/>
    <n v="6110"/>
    <s v="Grainger"/>
    <s v="Food Inventory"/>
    <n v="7748"/>
    <x v="1"/>
    <x v="5"/>
  </r>
  <r>
    <d v="2025-06-07T00:00:00"/>
    <x v="2"/>
    <n v="6110"/>
    <s v="Grainger"/>
    <s v="Food Inventory"/>
    <n v="7381"/>
    <x v="1"/>
    <x v="5"/>
  </r>
  <r>
    <d v="2025-06-05T00:00:00"/>
    <x v="2"/>
    <n v="6120"/>
    <s v="Local Contractor"/>
    <s v="Operating Supplies"/>
    <n v="6347"/>
    <x v="1"/>
    <x v="5"/>
  </r>
  <r>
    <d v="2025-06-06T00:00:00"/>
    <x v="2"/>
    <n v="6120"/>
    <s v="Sysco"/>
    <s v="Operating Supplies"/>
    <n v="6337"/>
    <x v="1"/>
    <x v="5"/>
  </r>
  <r>
    <d v="2025-06-07T00:00:00"/>
    <x v="2"/>
    <n v="6120"/>
    <s v="NV Energy"/>
    <s v="Operating Supplies"/>
    <n v="7984"/>
    <x v="1"/>
    <x v="5"/>
  </r>
  <r>
    <d v="2025-06-05T00:00:00"/>
    <x v="2"/>
    <n v="6210"/>
    <s v="Grainger"/>
    <s v="Electricity"/>
    <n v="1632"/>
    <x v="2"/>
    <x v="5"/>
  </r>
  <r>
    <d v="2025-06-06T00:00:00"/>
    <x v="2"/>
    <n v="6210"/>
    <s v="Grainger"/>
    <s v="Electricity"/>
    <n v="2303"/>
    <x v="2"/>
    <x v="5"/>
  </r>
  <r>
    <d v="2025-06-07T00:00:00"/>
    <x v="2"/>
    <n v="6210"/>
    <s v="NV Energy"/>
    <s v="Electricity"/>
    <n v="9638"/>
    <x v="2"/>
    <x v="5"/>
  </r>
  <r>
    <d v="2025-06-05T00:00:00"/>
    <x v="2"/>
    <n v="6220"/>
    <s v="Grainger"/>
    <s v="Water &amp; Sewer"/>
    <n v="5270"/>
    <x v="2"/>
    <x v="5"/>
  </r>
  <r>
    <d v="2025-06-06T00:00:00"/>
    <x v="2"/>
    <n v="6220"/>
    <s v="US Foods"/>
    <s v="Water &amp; Sewer"/>
    <n v="7272"/>
    <x v="2"/>
    <x v="5"/>
  </r>
  <r>
    <d v="2025-06-07T00:00:00"/>
    <x v="2"/>
    <n v="6220"/>
    <s v="US Foods"/>
    <s v="Water &amp; Sewer"/>
    <n v="11930"/>
    <x v="2"/>
    <x v="5"/>
  </r>
  <r>
    <d v="2025-06-05T00:00:00"/>
    <x v="2"/>
    <n v="6310"/>
    <s v="NV Energy"/>
    <s v="Equipment Repairs"/>
    <n v="11672"/>
    <x v="3"/>
    <x v="5"/>
  </r>
  <r>
    <d v="2025-06-06T00:00:00"/>
    <x v="2"/>
    <n v="6310"/>
    <s v="Local Contractor"/>
    <s v="Equipment Repairs"/>
    <n v="3740"/>
    <x v="3"/>
    <x v="5"/>
  </r>
  <r>
    <d v="2025-06-07T00:00:00"/>
    <x v="2"/>
    <n v="6310"/>
    <s v="Local Contractor"/>
    <s v="Equipment Repairs"/>
    <n v="3091"/>
    <x v="3"/>
    <x v="5"/>
  </r>
  <r>
    <d v="2025-06-05T00:00:00"/>
    <x v="2"/>
    <n v="6320"/>
    <s v="NV Energy"/>
    <s v="Preventive Maintenance"/>
    <n v="2145"/>
    <x v="3"/>
    <x v="5"/>
  </r>
  <r>
    <d v="2025-06-06T00:00:00"/>
    <x v="2"/>
    <n v="6320"/>
    <s v="Sysco"/>
    <s v="Preventive Maintenance"/>
    <n v="8722"/>
    <x v="3"/>
    <x v="5"/>
  </r>
  <r>
    <d v="2025-06-07T00:00:00"/>
    <x v="2"/>
    <n v="6320"/>
    <s v="NV Energy"/>
    <s v="Preventive Maintenance"/>
    <n v="10995"/>
    <x v="3"/>
    <x v="5"/>
  </r>
  <r>
    <d v="2025-06-05T00:00:00"/>
    <x v="3"/>
    <n v="6010"/>
    <s v="Sysco"/>
    <s v="Payroll"/>
    <n v="3653"/>
    <x v="0"/>
    <x v="5"/>
  </r>
  <r>
    <d v="2025-06-06T00:00:00"/>
    <x v="3"/>
    <n v="6010"/>
    <s v="NV Energy"/>
    <s v="Payroll"/>
    <n v="6335"/>
    <x v="0"/>
    <x v="5"/>
  </r>
  <r>
    <d v="2025-06-07T00:00:00"/>
    <x v="3"/>
    <n v="6010"/>
    <s v="US Foods"/>
    <s v="Payroll"/>
    <n v="8307"/>
    <x v="0"/>
    <x v="5"/>
  </r>
  <r>
    <d v="2025-06-05T00:00:00"/>
    <x v="3"/>
    <n v="6020"/>
    <s v="US Foods"/>
    <s v="Overtime Payroll"/>
    <n v="4789"/>
    <x v="0"/>
    <x v="5"/>
  </r>
  <r>
    <d v="2025-06-06T00:00:00"/>
    <x v="3"/>
    <n v="6020"/>
    <s v="NV Energy"/>
    <s v="Overtime Payroll"/>
    <n v="10337"/>
    <x v="0"/>
    <x v="5"/>
  </r>
  <r>
    <d v="2025-06-07T00:00:00"/>
    <x v="3"/>
    <n v="6020"/>
    <s v="Grainger"/>
    <s v="Overtime Payroll"/>
    <n v="10197"/>
    <x v="0"/>
    <x v="5"/>
  </r>
  <r>
    <d v="2025-06-05T00:00:00"/>
    <x v="3"/>
    <n v="6110"/>
    <s v="US Foods"/>
    <s v="Food Inventory"/>
    <n v="5965"/>
    <x v="1"/>
    <x v="5"/>
  </r>
  <r>
    <d v="2025-06-06T00:00:00"/>
    <x v="3"/>
    <n v="6110"/>
    <s v="Cintas"/>
    <s v="Food Inventory"/>
    <n v="5710"/>
    <x v="1"/>
    <x v="5"/>
  </r>
  <r>
    <d v="2025-06-07T00:00:00"/>
    <x v="3"/>
    <n v="6110"/>
    <s v="Local Contractor"/>
    <s v="Food Inventory"/>
    <n v="6335"/>
    <x v="1"/>
    <x v="5"/>
  </r>
  <r>
    <d v="2025-06-05T00:00:00"/>
    <x v="3"/>
    <n v="6120"/>
    <s v="Sysco"/>
    <s v="Operating Supplies"/>
    <n v="7049"/>
    <x v="1"/>
    <x v="5"/>
  </r>
  <r>
    <d v="2025-06-06T00:00:00"/>
    <x v="3"/>
    <n v="6120"/>
    <s v="Sysco"/>
    <s v="Operating Supplies"/>
    <n v="9173"/>
    <x v="1"/>
    <x v="5"/>
  </r>
  <r>
    <d v="2025-06-07T00:00:00"/>
    <x v="3"/>
    <n v="6120"/>
    <s v="US Foods"/>
    <s v="Operating Supplies"/>
    <n v="3806"/>
    <x v="1"/>
    <x v="5"/>
  </r>
  <r>
    <d v="2025-06-05T00:00:00"/>
    <x v="3"/>
    <n v="6210"/>
    <s v="Grainger"/>
    <s v="Electricity"/>
    <n v="8011"/>
    <x v="2"/>
    <x v="5"/>
  </r>
  <r>
    <d v="2025-06-06T00:00:00"/>
    <x v="3"/>
    <n v="6210"/>
    <s v="Sysco"/>
    <s v="Electricity"/>
    <n v="7492"/>
    <x v="2"/>
    <x v="5"/>
  </r>
  <r>
    <d v="2025-06-07T00:00:00"/>
    <x v="3"/>
    <n v="6210"/>
    <s v="Sysco"/>
    <s v="Electricity"/>
    <n v="7964"/>
    <x v="2"/>
    <x v="5"/>
  </r>
  <r>
    <d v="2025-06-05T00:00:00"/>
    <x v="3"/>
    <n v="6220"/>
    <s v="Grainger"/>
    <s v="Water &amp; Sewer"/>
    <n v="5832"/>
    <x v="2"/>
    <x v="5"/>
  </r>
  <r>
    <d v="2025-06-06T00:00:00"/>
    <x v="3"/>
    <n v="6220"/>
    <s v="Cintas"/>
    <s v="Water &amp; Sewer"/>
    <n v="3524"/>
    <x v="2"/>
    <x v="5"/>
  </r>
  <r>
    <d v="2025-06-07T00:00:00"/>
    <x v="3"/>
    <n v="6220"/>
    <s v="Local Contractor"/>
    <s v="Water &amp; Sewer"/>
    <n v="7538"/>
    <x v="2"/>
    <x v="5"/>
  </r>
  <r>
    <d v="2025-06-05T00:00:00"/>
    <x v="3"/>
    <n v="6310"/>
    <s v="Grainger"/>
    <s v="Equipment Repairs"/>
    <n v="5795"/>
    <x v="3"/>
    <x v="5"/>
  </r>
  <r>
    <d v="2025-06-06T00:00:00"/>
    <x v="3"/>
    <n v="6310"/>
    <s v="Local Contractor"/>
    <s v="Equipment Repairs"/>
    <n v="7742"/>
    <x v="3"/>
    <x v="5"/>
  </r>
  <r>
    <d v="2025-06-07T00:00:00"/>
    <x v="3"/>
    <n v="6310"/>
    <s v="Sysco"/>
    <s v="Equipment Repairs"/>
    <n v="7586"/>
    <x v="3"/>
    <x v="5"/>
  </r>
  <r>
    <d v="2025-06-05T00:00:00"/>
    <x v="3"/>
    <n v="6320"/>
    <s v="Cintas"/>
    <s v="Preventive Maintenance"/>
    <n v="5330"/>
    <x v="3"/>
    <x v="5"/>
  </r>
  <r>
    <d v="2025-06-06T00:00:00"/>
    <x v="3"/>
    <n v="6320"/>
    <s v="Grainger"/>
    <s v="Preventive Maintenance"/>
    <n v="1910"/>
    <x v="3"/>
    <x v="5"/>
  </r>
  <r>
    <d v="2025-06-07T00:00:00"/>
    <x v="3"/>
    <n v="6320"/>
    <s v="NV Energy"/>
    <s v="Preventive Maintenance"/>
    <n v="10698"/>
    <x v="3"/>
    <x v="5"/>
  </r>
  <r>
    <d v="2025-07-05T00:00:00"/>
    <x v="0"/>
    <n v="6010"/>
    <s v="US Foods"/>
    <s v="Payroll"/>
    <n v="11495"/>
    <x v="0"/>
    <x v="6"/>
  </r>
  <r>
    <d v="2025-07-06T00:00:00"/>
    <x v="0"/>
    <n v="6010"/>
    <s v="Local Contractor"/>
    <s v="Payroll"/>
    <n v="2535"/>
    <x v="0"/>
    <x v="6"/>
  </r>
  <r>
    <d v="2025-07-07T00:00:00"/>
    <x v="0"/>
    <n v="6010"/>
    <s v="Local Contractor"/>
    <s v="Payroll"/>
    <n v="9106"/>
    <x v="0"/>
    <x v="6"/>
  </r>
  <r>
    <d v="2025-07-05T00:00:00"/>
    <x v="0"/>
    <n v="6020"/>
    <s v="Local Contractor"/>
    <s v="Overtime Payroll"/>
    <n v="6451"/>
    <x v="0"/>
    <x v="6"/>
  </r>
  <r>
    <d v="2025-07-06T00:00:00"/>
    <x v="0"/>
    <n v="6020"/>
    <s v="Sysco"/>
    <s v="Overtime Payroll"/>
    <n v="8189"/>
    <x v="0"/>
    <x v="6"/>
  </r>
  <r>
    <d v="2025-07-07T00:00:00"/>
    <x v="0"/>
    <n v="6020"/>
    <s v="Sysco"/>
    <s v="Overtime Payroll"/>
    <n v="3790"/>
    <x v="0"/>
    <x v="6"/>
  </r>
  <r>
    <d v="2025-07-05T00:00:00"/>
    <x v="0"/>
    <n v="6110"/>
    <s v="NV Energy"/>
    <s v="Food Inventory"/>
    <n v="2109"/>
    <x v="1"/>
    <x v="6"/>
  </r>
  <r>
    <d v="2025-07-06T00:00:00"/>
    <x v="0"/>
    <n v="6110"/>
    <s v="Sysco"/>
    <s v="Food Inventory"/>
    <n v="9571"/>
    <x v="1"/>
    <x v="6"/>
  </r>
  <r>
    <d v="2025-07-07T00:00:00"/>
    <x v="0"/>
    <n v="6110"/>
    <s v="US Foods"/>
    <s v="Food Inventory"/>
    <n v="3092"/>
    <x v="1"/>
    <x v="6"/>
  </r>
  <r>
    <d v="2025-07-05T00:00:00"/>
    <x v="0"/>
    <n v="6120"/>
    <s v="US Foods"/>
    <s v="Operating Supplies"/>
    <n v="10307"/>
    <x v="1"/>
    <x v="6"/>
  </r>
  <r>
    <d v="2025-07-06T00:00:00"/>
    <x v="0"/>
    <n v="6120"/>
    <s v="Cintas"/>
    <s v="Operating Supplies"/>
    <n v="7867"/>
    <x v="1"/>
    <x v="6"/>
  </r>
  <r>
    <d v="2025-07-07T00:00:00"/>
    <x v="0"/>
    <n v="6120"/>
    <s v="Local Contractor"/>
    <s v="Operating Supplies"/>
    <n v="7578"/>
    <x v="1"/>
    <x v="6"/>
  </r>
  <r>
    <d v="2025-07-05T00:00:00"/>
    <x v="0"/>
    <n v="6210"/>
    <s v="Cintas"/>
    <s v="Electricity"/>
    <n v="10350"/>
    <x v="2"/>
    <x v="6"/>
  </r>
  <r>
    <d v="2025-07-06T00:00:00"/>
    <x v="0"/>
    <n v="6210"/>
    <s v="Local Contractor"/>
    <s v="Electricity"/>
    <n v="11122"/>
    <x v="2"/>
    <x v="6"/>
  </r>
  <r>
    <d v="2025-07-07T00:00:00"/>
    <x v="0"/>
    <n v="6210"/>
    <s v="Cintas"/>
    <s v="Electricity"/>
    <n v="4031"/>
    <x v="2"/>
    <x v="6"/>
  </r>
  <r>
    <d v="2025-07-05T00:00:00"/>
    <x v="0"/>
    <n v="6220"/>
    <s v="Cintas"/>
    <s v="Water &amp; Sewer"/>
    <n v="3122"/>
    <x v="2"/>
    <x v="6"/>
  </r>
  <r>
    <d v="2025-07-06T00:00:00"/>
    <x v="0"/>
    <n v="6220"/>
    <s v="Cintas"/>
    <s v="Water &amp; Sewer"/>
    <n v="11586"/>
    <x v="2"/>
    <x v="6"/>
  </r>
  <r>
    <d v="2025-07-07T00:00:00"/>
    <x v="0"/>
    <n v="6220"/>
    <s v="Sysco"/>
    <s v="Water &amp; Sewer"/>
    <n v="6083"/>
    <x v="2"/>
    <x v="6"/>
  </r>
  <r>
    <d v="2025-07-05T00:00:00"/>
    <x v="0"/>
    <n v="6310"/>
    <s v="US Foods"/>
    <s v="Equipment Repairs"/>
    <n v="7570"/>
    <x v="3"/>
    <x v="6"/>
  </r>
  <r>
    <d v="2025-07-06T00:00:00"/>
    <x v="0"/>
    <n v="6310"/>
    <s v="Cintas"/>
    <s v="Equipment Repairs"/>
    <n v="8764"/>
    <x v="3"/>
    <x v="6"/>
  </r>
  <r>
    <d v="2025-07-07T00:00:00"/>
    <x v="0"/>
    <n v="6310"/>
    <s v="NV Energy"/>
    <s v="Equipment Repairs"/>
    <n v="5368"/>
    <x v="3"/>
    <x v="6"/>
  </r>
  <r>
    <d v="2025-07-05T00:00:00"/>
    <x v="0"/>
    <n v="6320"/>
    <s v="Local Contractor"/>
    <s v="Preventive Maintenance"/>
    <n v="3127"/>
    <x v="3"/>
    <x v="6"/>
  </r>
  <r>
    <d v="2025-07-06T00:00:00"/>
    <x v="0"/>
    <n v="6320"/>
    <s v="Grainger"/>
    <s v="Preventive Maintenance"/>
    <n v="7518"/>
    <x v="3"/>
    <x v="6"/>
  </r>
  <r>
    <d v="2025-07-07T00:00:00"/>
    <x v="0"/>
    <n v="6320"/>
    <s v="Sysco"/>
    <s v="Preventive Maintenance"/>
    <n v="7376"/>
    <x v="3"/>
    <x v="6"/>
  </r>
  <r>
    <d v="2025-07-05T00:00:00"/>
    <x v="1"/>
    <n v="6010"/>
    <s v="NV Energy"/>
    <s v="Payroll"/>
    <n v="8023"/>
    <x v="0"/>
    <x v="6"/>
  </r>
  <r>
    <d v="2025-07-06T00:00:00"/>
    <x v="1"/>
    <n v="6010"/>
    <s v="Sysco"/>
    <s v="Payroll"/>
    <n v="4609"/>
    <x v="0"/>
    <x v="6"/>
  </r>
  <r>
    <d v="2025-07-07T00:00:00"/>
    <x v="1"/>
    <n v="6010"/>
    <s v="Sysco"/>
    <s v="Payroll"/>
    <n v="8950"/>
    <x v="0"/>
    <x v="6"/>
  </r>
  <r>
    <d v="2025-07-05T00:00:00"/>
    <x v="1"/>
    <n v="6020"/>
    <s v="Local Contractor"/>
    <s v="Overtime Payroll"/>
    <n v="4975"/>
    <x v="0"/>
    <x v="6"/>
  </r>
  <r>
    <d v="2025-07-06T00:00:00"/>
    <x v="1"/>
    <n v="6020"/>
    <s v="Grainger"/>
    <s v="Overtime Payroll"/>
    <n v="11977"/>
    <x v="0"/>
    <x v="6"/>
  </r>
  <r>
    <d v="2025-07-07T00:00:00"/>
    <x v="1"/>
    <n v="6020"/>
    <s v="Sysco"/>
    <s v="Overtime Payroll"/>
    <n v="1849"/>
    <x v="0"/>
    <x v="6"/>
  </r>
  <r>
    <d v="2025-07-05T00:00:00"/>
    <x v="1"/>
    <n v="6110"/>
    <s v="US Foods"/>
    <s v="Food Inventory"/>
    <n v="6964"/>
    <x v="1"/>
    <x v="6"/>
  </r>
  <r>
    <d v="2025-07-06T00:00:00"/>
    <x v="1"/>
    <n v="6110"/>
    <s v="Grainger"/>
    <s v="Food Inventory"/>
    <n v="3563"/>
    <x v="1"/>
    <x v="6"/>
  </r>
  <r>
    <d v="2025-07-07T00:00:00"/>
    <x v="1"/>
    <n v="6110"/>
    <s v="Sysco"/>
    <s v="Food Inventory"/>
    <n v="4862"/>
    <x v="1"/>
    <x v="6"/>
  </r>
  <r>
    <d v="2025-07-05T00:00:00"/>
    <x v="1"/>
    <n v="6120"/>
    <s v="US Foods"/>
    <s v="Operating Supplies"/>
    <n v="10580"/>
    <x v="1"/>
    <x v="6"/>
  </r>
  <r>
    <d v="2025-07-06T00:00:00"/>
    <x v="1"/>
    <n v="6120"/>
    <s v="US Foods"/>
    <s v="Operating Supplies"/>
    <n v="11107"/>
    <x v="1"/>
    <x v="6"/>
  </r>
  <r>
    <d v="2025-07-07T00:00:00"/>
    <x v="1"/>
    <n v="6120"/>
    <s v="NV Energy"/>
    <s v="Operating Supplies"/>
    <n v="5317"/>
    <x v="1"/>
    <x v="6"/>
  </r>
  <r>
    <d v="2025-07-05T00:00:00"/>
    <x v="1"/>
    <n v="6210"/>
    <s v="Grainger"/>
    <s v="Electricity"/>
    <n v="3917"/>
    <x v="2"/>
    <x v="6"/>
  </r>
  <r>
    <d v="2025-07-06T00:00:00"/>
    <x v="1"/>
    <n v="6210"/>
    <s v="NV Energy"/>
    <s v="Electricity"/>
    <n v="1546"/>
    <x v="2"/>
    <x v="6"/>
  </r>
  <r>
    <d v="2025-07-07T00:00:00"/>
    <x v="1"/>
    <n v="6210"/>
    <s v="US Foods"/>
    <s v="Electricity"/>
    <n v="3870"/>
    <x v="2"/>
    <x v="6"/>
  </r>
  <r>
    <d v="2025-07-05T00:00:00"/>
    <x v="1"/>
    <n v="6220"/>
    <s v="NV Energy"/>
    <s v="Water &amp; Sewer"/>
    <n v="10350"/>
    <x v="2"/>
    <x v="6"/>
  </r>
  <r>
    <d v="2025-07-06T00:00:00"/>
    <x v="1"/>
    <n v="6220"/>
    <s v="Sysco"/>
    <s v="Water &amp; Sewer"/>
    <n v="4358"/>
    <x v="2"/>
    <x v="6"/>
  </r>
  <r>
    <d v="2025-07-07T00:00:00"/>
    <x v="1"/>
    <n v="6220"/>
    <s v="US Foods"/>
    <s v="Water &amp; Sewer"/>
    <n v="1922"/>
    <x v="2"/>
    <x v="6"/>
  </r>
  <r>
    <d v="2025-07-05T00:00:00"/>
    <x v="1"/>
    <n v="6310"/>
    <s v="NV Energy"/>
    <s v="Equipment Repairs"/>
    <n v="1743"/>
    <x v="3"/>
    <x v="6"/>
  </r>
  <r>
    <d v="2025-07-06T00:00:00"/>
    <x v="1"/>
    <n v="6310"/>
    <s v="Grainger"/>
    <s v="Equipment Repairs"/>
    <n v="5398"/>
    <x v="3"/>
    <x v="6"/>
  </r>
  <r>
    <d v="2025-07-07T00:00:00"/>
    <x v="1"/>
    <n v="6310"/>
    <s v="Sysco"/>
    <s v="Equipment Repairs"/>
    <n v="6804"/>
    <x v="3"/>
    <x v="6"/>
  </r>
  <r>
    <d v="2025-07-05T00:00:00"/>
    <x v="1"/>
    <n v="6320"/>
    <s v="NV Energy"/>
    <s v="Preventive Maintenance"/>
    <n v="4354"/>
    <x v="3"/>
    <x v="6"/>
  </r>
  <r>
    <d v="2025-07-06T00:00:00"/>
    <x v="1"/>
    <n v="6320"/>
    <s v="US Foods"/>
    <s v="Preventive Maintenance"/>
    <n v="2358"/>
    <x v="3"/>
    <x v="6"/>
  </r>
  <r>
    <d v="2025-07-07T00:00:00"/>
    <x v="1"/>
    <n v="6320"/>
    <s v="Grainger"/>
    <s v="Preventive Maintenance"/>
    <n v="8397"/>
    <x v="3"/>
    <x v="6"/>
  </r>
  <r>
    <d v="2025-07-05T00:00:00"/>
    <x v="2"/>
    <n v="6010"/>
    <s v="Local Contractor"/>
    <s v="Payroll"/>
    <n v="3362"/>
    <x v="0"/>
    <x v="6"/>
  </r>
  <r>
    <d v="2025-07-06T00:00:00"/>
    <x v="2"/>
    <n v="6010"/>
    <s v="Cintas"/>
    <s v="Payroll"/>
    <n v="2541"/>
    <x v="0"/>
    <x v="6"/>
  </r>
  <r>
    <d v="2025-07-07T00:00:00"/>
    <x v="2"/>
    <n v="6010"/>
    <s v="NV Energy"/>
    <s v="Payroll"/>
    <n v="8844"/>
    <x v="0"/>
    <x v="6"/>
  </r>
  <r>
    <d v="2025-07-05T00:00:00"/>
    <x v="2"/>
    <n v="6020"/>
    <s v="Grainger"/>
    <s v="Overtime Payroll"/>
    <n v="9908"/>
    <x v="0"/>
    <x v="6"/>
  </r>
  <r>
    <d v="2025-07-06T00:00:00"/>
    <x v="2"/>
    <n v="6020"/>
    <s v="Cintas"/>
    <s v="Overtime Payroll"/>
    <n v="3286"/>
    <x v="0"/>
    <x v="6"/>
  </r>
  <r>
    <d v="2025-07-07T00:00:00"/>
    <x v="2"/>
    <n v="6020"/>
    <s v="US Foods"/>
    <s v="Overtime Payroll"/>
    <n v="9754"/>
    <x v="0"/>
    <x v="6"/>
  </r>
  <r>
    <d v="2025-07-05T00:00:00"/>
    <x v="2"/>
    <n v="6110"/>
    <s v="Sysco"/>
    <s v="Food Inventory"/>
    <n v="11577"/>
    <x v="1"/>
    <x v="6"/>
  </r>
  <r>
    <d v="2025-07-06T00:00:00"/>
    <x v="2"/>
    <n v="6110"/>
    <s v="NV Energy"/>
    <s v="Food Inventory"/>
    <n v="10043"/>
    <x v="1"/>
    <x v="6"/>
  </r>
  <r>
    <d v="2025-07-07T00:00:00"/>
    <x v="2"/>
    <n v="6110"/>
    <s v="Local Contractor"/>
    <s v="Food Inventory"/>
    <n v="9004"/>
    <x v="1"/>
    <x v="6"/>
  </r>
  <r>
    <d v="2025-07-05T00:00:00"/>
    <x v="2"/>
    <n v="6120"/>
    <s v="Sysco"/>
    <s v="Operating Supplies"/>
    <n v="2010"/>
    <x v="1"/>
    <x v="6"/>
  </r>
  <r>
    <d v="2025-07-06T00:00:00"/>
    <x v="2"/>
    <n v="6120"/>
    <s v="Cintas"/>
    <s v="Operating Supplies"/>
    <n v="9347"/>
    <x v="1"/>
    <x v="6"/>
  </r>
  <r>
    <d v="2025-07-07T00:00:00"/>
    <x v="2"/>
    <n v="6120"/>
    <s v="Local Contractor"/>
    <s v="Operating Supplies"/>
    <n v="8484"/>
    <x v="1"/>
    <x v="6"/>
  </r>
  <r>
    <d v="2025-07-05T00:00:00"/>
    <x v="2"/>
    <n v="6210"/>
    <s v="Cintas"/>
    <s v="Electricity"/>
    <n v="3268"/>
    <x v="2"/>
    <x v="6"/>
  </r>
  <r>
    <d v="2025-07-06T00:00:00"/>
    <x v="2"/>
    <n v="6210"/>
    <s v="Sysco"/>
    <s v="Electricity"/>
    <n v="8767"/>
    <x v="2"/>
    <x v="6"/>
  </r>
  <r>
    <d v="2025-07-07T00:00:00"/>
    <x v="2"/>
    <n v="6210"/>
    <s v="NV Energy"/>
    <s v="Electricity"/>
    <n v="2823"/>
    <x v="2"/>
    <x v="6"/>
  </r>
  <r>
    <d v="2025-07-05T00:00:00"/>
    <x v="2"/>
    <n v="6220"/>
    <s v="US Foods"/>
    <s v="Water &amp; Sewer"/>
    <n v="11466"/>
    <x v="2"/>
    <x v="6"/>
  </r>
  <r>
    <d v="2025-07-06T00:00:00"/>
    <x v="2"/>
    <n v="6220"/>
    <s v="US Foods"/>
    <s v="Water &amp; Sewer"/>
    <n v="2576"/>
    <x v="2"/>
    <x v="6"/>
  </r>
  <r>
    <d v="2025-07-07T00:00:00"/>
    <x v="2"/>
    <n v="6220"/>
    <s v="Grainger"/>
    <s v="Water &amp; Sewer"/>
    <n v="6005"/>
    <x v="2"/>
    <x v="6"/>
  </r>
  <r>
    <d v="2025-07-05T00:00:00"/>
    <x v="2"/>
    <n v="6310"/>
    <s v="Grainger"/>
    <s v="Equipment Repairs"/>
    <n v="11872"/>
    <x v="3"/>
    <x v="6"/>
  </r>
  <r>
    <d v="2025-07-06T00:00:00"/>
    <x v="2"/>
    <n v="6310"/>
    <s v="Local Contractor"/>
    <s v="Equipment Repairs"/>
    <n v="10484"/>
    <x v="3"/>
    <x v="6"/>
  </r>
  <r>
    <d v="2025-07-07T00:00:00"/>
    <x v="2"/>
    <n v="6310"/>
    <s v="Cintas"/>
    <s v="Equipment Repairs"/>
    <n v="6827"/>
    <x v="3"/>
    <x v="6"/>
  </r>
  <r>
    <d v="2025-07-05T00:00:00"/>
    <x v="2"/>
    <n v="6320"/>
    <s v="Grainger"/>
    <s v="Preventive Maintenance"/>
    <n v="11287"/>
    <x v="3"/>
    <x v="6"/>
  </r>
  <r>
    <d v="2025-07-06T00:00:00"/>
    <x v="2"/>
    <n v="6320"/>
    <s v="Cintas"/>
    <s v="Preventive Maintenance"/>
    <n v="6331"/>
    <x v="3"/>
    <x v="6"/>
  </r>
  <r>
    <d v="2025-07-07T00:00:00"/>
    <x v="2"/>
    <n v="6320"/>
    <s v="Grainger"/>
    <s v="Preventive Maintenance"/>
    <n v="9782"/>
    <x v="3"/>
    <x v="6"/>
  </r>
  <r>
    <d v="2025-07-05T00:00:00"/>
    <x v="3"/>
    <n v="6010"/>
    <s v="Sysco"/>
    <s v="Payroll"/>
    <n v="8548"/>
    <x v="0"/>
    <x v="6"/>
  </r>
  <r>
    <d v="2025-07-06T00:00:00"/>
    <x v="3"/>
    <n v="6010"/>
    <s v="Local Contractor"/>
    <s v="Payroll"/>
    <n v="3374"/>
    <x v="0"/>
    <x v="6"/>
  </r>
  <r>
    <d v="2025-07-07T00:00:00"/>
    <x v="3"/>
    <n v="6010"/>
    <s v="Local Contractor"/>
    <s v="Payroll"/>
    <n v="10533"/>
    <x v="0"/>
    <x v="6"/>
  </r>
  <r>
    <d v="2025-07-05T00:00:00"/>
    <x v="3"/>
    <n v="6020"/>
    <s v="Cintas"/>
    <s v="Overtime Payroll"/>
    <n v="5022"/>
    <x v="0"/>
    <x v="6"/>
  </r>
  <r>
    <d v="2025-07-06T00:00:00"/>
    <x v="3"/>
    <n v="6020"/>
    <s v="US Foods"/>
    <s v="Overtime Payroll"/>
    <n v="8898"/>
    <x v="0"/>
    <x v="6"/>
  </r>
  <r>
    <d v="2025-07-07T00:00:00"/>
    <x v="3"/>
    <n v="6020"/>
    <s v="NV Energy"/>
    <s v="Overtime Payroll"/>
    <n v="8279"/>
    <x v="0"/>
    <x v="6"/>
  </r>
  <r>
    <d v="2025-07-05T00:00:00"/>
    <x v="3"/>
    <n v="6110"/>
    <s v="Cintas"/>
    <s v="Food Inventory"/>
    <n v="8930"/>
    <x v="1"/>
    <x v="6"/>
  </r>
  <r>
    <d v="2025-07-06T00:00:00"/>
    <x v="3"/>
    <n v="6110"/>
    <s v="Local Contractor"/>
    <s v="Food Inventory"/>
    <n v="8315"/>
    <x v="1"/>
    <x v="6"/>
  </r>
  <r>
    <d v="2025-07-07T00:00:00"/>
    <x v="3"/>
    <n v="6110"/>
    <s v="NV Energy"/>
    <s v="Food Inventory"/>
    <n v="3057"/>
    <x v="1"/>
    <x v="6"/>
  </r>
  <r>
    <d v="2025-07-05T00:00:00"/>
    <x v="3"/>
    <n v="6120"/>
    <s v="NV Energy"/>
    <s v="Operating Supplies"/>
    <n v="8492"/>
    <x v="1"/>
    <x v="6"/>
  </r>
  <r>
    <d v="2025-07-06T00:00:00"/>
    <x v="3"/>
    <n v="6120"/>
    <s v="NV Energy"/>
    <s v="Operating Supplies"/>
    <n v="5676"/>
    <x v="1"/>
    <x v="6"/>
  </r>
  <r>
    <d v="2025-07-07T00:00:00"/>
    <x v="3"/>
    <n v="6120"/>
    <s v="Local Contractor"/>
    <s v="Operating Supplies"/>
    <n v="4000"/>
    <x v="1"/>
    <x v="6"/>
  </r>
  <r>
    <d v="2025-07-05T00:00:00"/>
    <x v="3"/>
    <n v="6210"/>
    <s v="Sysco"/>
    <s v="Electricity"/>
    <n v="9270"/>
    <x v="2"/>
    <x v="6"/>
  </r>
  <r>
    <d v="2025-07-06T00:00:00"/>
    <x v="3"/>
    <n v="6210"/>
    <s v="Sysco"/>
    <s v="Electricity"/>
    <n v="2994"/>
    <x v="2"/>
    <x v="6"/>
  </r>
  <r>
    <d v="2025-07-07T00:00:00"/>
    <x v="3"/>
    <n v="6210"/>
    <s v="Cintas"/>
    <s v="Electricity"/>
    <n v="3027"/>
    <x v="2"/>
    <x v="6"/>
  </r>
  <r>
    <d v="2025-07-05T00:00:00"/>
    <x v="3"/>
    <n v="6220"/>
    <s v="Local Contractor"/>
    <s v="Water &amp; Sewer"/>
    <n v="3082"/>
    <x v="2"/>
    <x v="6"/>
  </r>
  <r>
    <d v="2025-07-06T00:00:00"/>
    <x v="3"/>
    <n v="6220"/>
    <s v="US Foods"/>
    <s v="Water &amp; Sewer"/>
    <n v="7605"/>
    <x v="2"/>
    <x v="6"/>
  </r>
  <r>
    <d v="2025-07-07T00:00:00"/>
    <x v="3"/>
    <n v="6220"/>
    <s v="Sysco"/>
    <s v="Water &amp; Sewer"/>
    <n v="10615"/>
    <x v="2"/>
    <x v="6"/>
  </r>
  <r>
    <d v="2025-07-05T00:00:00"/>
    <x v="3"/>
    <n v="6310"/>
    <s v="Grainger"/>
    <s v="Equipment Repairs"/>
    <n v="11108"/>
    <x v="3"/>
    <x v="6"/>
  </r>
  <r>
    <d v="2025-07-06T00:00:00"/>
    <x v="3"/>
    <n v="6310"/>
    <s v="NV Energy"/>
    <s v="Equipment Repairs"/>
    <n v="10702"/>
    <x v="3"/>
    <x v="6"/>
  </r>
  <r>
    <d v="2025-07-07T00:00:00"/>
    <x v="3"/>
    <n v="6310"/>
    <s v="Cintas"/>
    <s v="Equipment Repairs"/>
    <n v="3502"/>
    <x v="3"/>
    <x v="6"/>
  </r>
  <r>
    <d v="2025-07-05T00:00:00"/>
    <x v="3"/>
    <n v="6320"/>
    <s v="Local Contractor"/>
    <s v="Preventive Maintenance"/>
    <n v="7293"/>
    <x v="3"/>
    <x v="6"/>
  </r>
  <r>
    <d v="2025-07-06T00:00:00"/>
    <x v="3"/>
    <n v="6320"/>
    <s v="Local Contractor"/>
    <s v="Preventive Maintenance"/>
    <n v="8429"/>
    <x v="3"/>
    <x v="6"/>
  </r>
  <r>
    <d v="2025-07-07T00:00:00"/>
    <x v="3"/>
    <n v="6320"/>
    <s v="NV Energy"/>
    <s v="Preventive Maintenance"/>
    <n v="2342"/>
    <x v="3"/>
    <x v="6"/>
  </r>
  <r>
    <d v="2025-08-05T00:00:00"/>
    <x v="0"/>
    <n v="6010"/>
    <s v="NV Energy"/>
    <s v="Payroll"/>
    <n v="11337"/>
    <x v="0"/>
    <x v="7"/>
  </r>
  <r>
    <d v="2025-08-06T00:00:00"/>
    <x v="0"/>
    <n v="6010"/>
    <s v="Sysco"/>
    <s v="Payroll"/>
    <n v="7261"/>
    <x v="0"/>
    <x v="7"/>
  </r>
  <r>
    <d v="2025-08-07T00:00:00"/>
    <x v="0"/>
    <n v="6010"/>
    <s v="Grainger"/>
    <s v="Payroll"/>
    <n v="10968"/>
    <x v="0"/>
    <x v="7"/>
  </r>
  <r>
    <d v="2025-08-05T00:00:00"/>
    <x v="0"/>
    <n v="6020"/>
    <s v="US Foods"/>
    <s v="Overtime Payroll"/>
    <n v="4985"/>
    <x v="0"/>
    <x v="7"/>
  </r>
  <r>
    <d v="2025-08-06T00:00:00"/>
    <x v="0"/>
    <n v="6020"/>
    <s v="US Foods"/>
    <s v="Overtime Payroll"/>
    <n v="9400"/>
    <x v="0"/>
    <x v="7"/>
  </r>
  <r>
    <d v="2025-08-07T00:00:00"/>
    <x v="0"/>
    <n v="6020"/>
    <s v="NV Energy"/>
    <s v="Overtime Payroll"/>
    <n v="3273"/>
    <x v="0"/>
    <x v="7"/>
  </r>
  <r>
    <d v="2025-08-05T00:00:00"/>
    <x v="0"/>
    <n v="6110"/>
    <s v="NV Energy"/>
    <s v="Food Inventory"/>
    <n v="10613"/>
    <x v="1"/>
    <x v="7"/>
  </r>
  <r>
    <d v="2025-08-06T00:00:00"/>
    <x v="0"/>
    <n v="6110"/>
    <s v="NV Energy"/>
    <s v="Food Inventory"/>
    <n v="3382"/>
    <x v="1"/>
    <x v="7"/>
  </r>
  <r>
    <d v="2025-08-07T00:00:00"/>
    <x v="0"/>
    <n v="6110"/>
    <s v="US Foods"/>
    <s v="Food Inventory"/>
    <n v="10906"/>
    <x v="1"/>
    <x v="7"/>
  </r>
  <r>
    <d v="2025-08-05T00:00:00"/>
    <x v="0"/>
    <n v="6120"/>
    <s v="Grainger"/>
    <s v="Operating Supplies"/>
    <n v="8530"/>
    <x v="1"/>
    <x v="7"/>
  </r>
  <r>
    <d v="2025-08-06T00:00:00"/>
    <x v="0"/>
    <n v="6120"/>
    <s v="Grainger"/>
    <s v="Operating Supplies"/>
    <n v="11686"/>
    <x v="1"/>
    <x v="7"/>
  </r>
  <r>
    <d v="2025-08-07T00:00:00"/>
    <x v="0"/>
    <n v="6120"/>
    <s v="Sysco"/>
    <s v="Operating Supplies"/>
    <n v="10621"/>
    <x v="1"/>
    <x v="7"/>
  </r>
  <r>
    <d v="2025-08-05T00:00:00"/>
    <x v="0"/>
    <n v="6210"/>
    <s v="Local Contractor"/>
    <s v="Electricity"/>
    <n v="11477"/>
    <x v="2"/>
    <x v="7"/>
  </r>
  <r>
    <d v="2025-08-06T00:00:00"/>
    <x v="0"/>
    <n v="6210"/>
    <s v="Sysco"/>
    <s v="Electricity"/>
    <n v="5881"/>
    <x v="2"/>
    <x v="7"/>
  </r>
  <r>
    <d v="2025-08-07T00:00:00"/>
    <x v="0"/>
    <n v="6210"/>
    <s v="NV Energy"/>
    <s v="Electricity"/>
    <n v="4455"/>
    <x v="2"/>
    <x v="7"/>
  </r>
  <r>
    <d v="2025-08-05T00:00:00"/>
    <x v="0"/>
    <n v="6220"/>
    <s v="NV Energy"/>
    <s v="Water &amp; Sewer"/>
    <n v="6562"/>
    <x v="2"/>
    <x v="7"/>
  </r>
  <r>
    <d v="2025-08-06T00:00:00"/>
    <x v="0"/>
    <n v="6220"/>
    <s v="Sysco"/>
    <s v="Water &amp; Sewer"/>
    <n v="7251"/>
    <x v="2"/>
    <x v="7"/>
  </r>
  <r>
    <d v="2025-08-07T00:00:00"/>
    <x v="0"/>
    <n v="6220"/>
    <s v="US Foods"/>
    <s v="Water &amp; Sewer"/>
    <n v="4472"/>
    <x v="2"/>
    <x v="7"/>
  </r>
  <r>
    <d v="2025-08-05T00:00:00"/>
    <x v="0"/>
    <n v="6310"/>
    <s v="Local Contractor"/>
    <s v="Equipment Repairs"/>
    <n v="10778"/>
    <x v="3"/>
    <x v="7"/>
  </r>
  <r>
    <d v="2025-08-06T00:00:00"/>
    <x v="0"/>
    <n v="6310"/>
    <s v="Sysco"/>
    <s v="Equipment Repairs"/>
    <n v="8066"/>
    <x v="3"/>
    <x v="7"/>
  </r>
  <r>
    <d v="2025-08-07T00:00:00"/>
    <x v="0"/>
    <n v="6310"/>
    <s v="Local Contractor"/>
    <s v="Equipment Repairs"/>
    <n v="3824"/>
    <x v="3"/>
    <x v="7"/>
  </r>
  <r>
    <d v="2025-08-05T00:00:00"/>
    <x v="0"/>
    <n v="6320"/>
    <s v="Sysco"/>
    <s v="Preventive Maintenance"/>
    <n v="11873"/>
    <x v="3"/>
    <x v="7"/>
  </r>
  <r>
    <d v="2025-08-06T00:00:00"/>
    <x v="0"/>
    <n v="6320"/>
    <s v="Local Contractor"/>
    <s v="Preventive Maintenance"/>
    <n v="3003"/>
    <x v="3"/>
    <x v="7"/>
  </r>
  <r>
    <d v="2025-08-07T00:00:00"/>
    <x v="0"/>
    <n v="6320"/>
    <s v="US Foods"/>
    <s v="Preventive Maintenance"/>
    <n v="10191"/>
    <x v="3"/>
    <x v="7"/>
  </r>
  <r>
    <d v="2025-08-05T00:00:00"/>
    <x v="1"/>
    <n v="6010"/>
    <s v="Cintas"/>
    <s v="Payroll"/>
    <n v="7663"/>
    <x v="0"/>
    <x v="7"/>
  </r>
  <r>
    <d v="2025-08-06T00:00:00"/>
    <x v="1"/>
    <n v="6010"/>
    <s v="NV Energy"/>
    <s v="Payroll"/>
    <n v="8932"/>
    <x v="0"/>
    <x v="7"/>
  </r>
  <r>
    <d v="2025-08-07T00:00:00"/>
    <x v="1"/>
    <n v="6010"/>
    <s v="NV Energy"/>
    <s v="Payroll"/>
    <n v="4078"/>
    <x v="0"/>
    <x v="7"/>
  </r>
  <r>
    <d v="2025-08-05T00:00:00"/>
    <x v="1"/>
    <n v="6020"/>
    <s v="Local Contractor"/>
    <s v="Overtime Payroll"/>
    <n v="6605"/>
    <x v="0"/>
    <x v="7"/>
  </r>
  <r>
    <d v="2025-08-06T00:00:00"/>
    <x v="1"/>
    <n v="6020"/>
    <s v="Grainger"/>
    <s v="Overtime Payroll"/>
    <n v="6814"/>
    <x v="0"/>
    <x v="7"/>
  </r>
  <r>
    <d v="2025-08-07T00:00:00"/>
    <x v="1"/>
    <n v="6020"/>
    <s v="Sysco"/>
    <s v="Overtime Payroll"/>
    <n v="11268"/>
    <x v="0"/>
    <x v="7"/>
  </r>
  <r>
    <d v="2025-08-05T00:00:00"/>
    <x v="1"/>
    <n v="6110"/>
    <s v="US Foods"/>
    <s v="Food Inventory"/>
    <n v="2361"/>
    <x v="1"/>
    <x v="7"/>
  </r>
  <r>
    <d v="2025-08-06T00:00:00"/>
    <x v="1"/>
    <n v="6110"/>
    <s v="Grainger"/>
    <s v="Food Inventory"/>
    <n v="4079"/>
    <x v="1"/>
    <x v="7"/>
  </r>
  <r>
    <d v="2025-08-07T00:00:00"/>
    <x v="1"/>
    <n v="6110"/>
    <s v="Local Contractor"/>
    <s v="Food Inventory"/>
    <n v="2315"/>
    <x v="1"/>
    <x v="7"/>
  </r>
  <r>
    <d v="2025-08-05T00:00:00"/>
    <x v="1"/>
    <n v="6120"/>
    <s v="NV Energy"/>
    <s v="Operating Supplies"/>
    <n v="2836"/>
    <x v="1"/>
    <x v="7"/>
  </r>
  <r>
    <d v="2025-08-06T00:00:00"/>
    <x v="1"/>
    <n v="6120"/>
    <s v="Local Contractor"/>
    <s v="Operating Supplies"/>
    <n v="8759"/>
    <x v="1"/>
    <x v="7"/>
  </r>
  <r>
    <d v="2025-08-07T00:00:00"/>
    <x v="1"/>
    <n v="6120"/>
    <s v="Cintas"/>
    <s v="Operating Supplies"/>
    <n v="8447"/>
    <x v="1"/>
    <x v="7"/>
  </r>
  <r>
    <d v="2025-08-05T00:00:00"/>
    <x v="1"/>
    <n v="6210"/>
    <s v="Cintas"/>
    <s v="Electricity"/>
    <n v="11446"/>
    <x v="2"/>
    <x v="7"/>
  </r>
  <r>
    <d v="2025-08-06T00:00:00"/>
    <x v="1"/>
    <n v="6210"/>
    <s v="NV Energy"/>
    <s v="Electricity"/>
    <n v="8285"/>
    <x v="2"/>
    <x v="7"/>
  </r>
  <r>
    <d v="2025-08-07T00:00:00"/>
    <x v="1"/>
    <n v="6210"/>
    <s v="Grainger"/>
    <s v="Electricity"/>
    <n v="5031"/>
    <x v="2"/>
    <x v="7"/>
  </r>
  <r>
    <d v="2025-08-05T00:00:00"/>
    <x v="1"/>
    <n v="6220"/>
    <s v="NV Energy"/>
    <s v="Water &amp; Sewer"/>
    <n v="3364"/>
    <x v="2"/>
    <x v="7"/>
  </r>
  <r>
    <d v="2025-08-06T00:00:00"/>
    <x v="1"/>
    <n v="6220"/>
    <s v="Sysco"/>
    <s v="Water &amp; Sewer"/>
    <n v="8543"/>
    <x v="2"/>
    <x v="7"/>
  </r>
  <r>
    <d v="2025-08-07T00:00:00"/>
    <x v="1"/>
    <n v="6220"/>
    <s v="Local Contractor"/>
    <s v="Water &amp; Sewer"/>
    <n v="6140"/>
    <x v="2"/>
    <x v="7"/>
  </r>
  <r>
    <d v="2025-08-05T00:00:00"/>
    <x v="1"/>
    <n v="6310"/>
    <s v="Cintas"/>
    <s v="Equipment Repairs"/>
    <n v="11217"/>
    <x v="3"/>
    <x v="7"/>
  </r>
  <r>
    <d v="2025-08-06T00:00:00"/>
    <x v="1"/>
    <n v="6310"/>
    <s v="Local Contractor"/>
    <s v="Equipment Repairs"/>
    <n v="10133"/>
    <x v="3"/>
    <x v="7"/>
  </r>
  <r>
    <d v="2025-08-07T00:00:00"/>
    <x v="1"/>
    <n v="6310"/>
    <s v="Sysco"/>
    <s v="Equipment Repairs"/>
    <n v="6553"/>
    <x v="3"/>
    <x v="7"/>
  </r>
  <r>
    <d v="2025-08-05T00:00:00"/>
    <x v="1"/>
    <n v="6320"/>
    <s v="Cintas"/>
    <s v="Preventive Maintenance"/>
    <n v="5112"/>
    <x v="3"/>
    <x v="7"/>
  </r>
  <r>
    <d v="2025-08-06T00:00:00"/>
    <x v="1"/>
    <n v="6320"/>
    <s v="Sysco"/>
    <s v="Preventive Maintenance"/>
    <n v="11319"/>
    <x v="3"/>
    <x v="7"/>
  </r>
  <r>
    <d v="2025-08-07T00:00:00"/>
    <x v="1"/>
    <n v="6320"/>
    <s v="US Foods"/>
    <s v="Preventive Maintenance"/>
    <n v="1625"/>
    <x v="3"/>
    <x v="7"/>
  </r>
  <r>
    <d v="2025-08-05T00:00:00"/>
    <x v="2"/>
    <n v="6010"/>
    <s v="US Foods"/>
    <s v="Payroll"/>
    <n v="6438"/>
    <x v="0"/>
    <x v="7"/>
  </r>
  <r>
    <d v="2025-08-06T00:00:00"/>
    <x v="2"/>
    <n v="6010"/>
    <s v="NV Energy"/>
    <s v="Payroll"/>
    <n v="3748"/>
    <x v="0"/>
    <x v="7"/>
  </r>
  <r>
    <d v="2025-08-07T00:00:00"/>
    <x v="2"/>
    <n v="6010"/>
    <s v="NV Energy"/>
    <s v="Payroll"/>
    <n v="6242"/>
    <x v="0"/>
    <x v="7"/>
  </r>
  <r>
    <d v="2025-08-05T00:00:00"/>
    <x v="2"/>
    <n v="6020"/>
    <s v="Sysco"/>
    <s v="Overtime Payroll"/>
    <n v="3465"/>
    <x v="0"/>
    <x v="7"/>
  </r>
  <r>
    <d v="2025-08-06T00:00:00"/>
    <x v="2"/>
    <n v="6020"/>
    <s v="Local Contractor"/>
    <s v="Overtime Payroll"/>
    <n v="9649"/>
    <x v="0"/>
    <x v="7"/>
  </r>
  <r>
    <d v="2025-08-07T00:00:00"/>
    <x v="2"/>
    <n v="6020"/>
    <s v="US Foods"/>
    <s v="Overtime Payroll"/>
    <n v="8555"/>
    <x v="0"/>
    <x v="7"/>
  </r>
  <r>
    <d v="2025-08-05T00:00:00"/>
    <x v="2"/>
    <n v="6110"/>
    <s v="Cintas"/>
    <s v="Food Inventory"/>
    <n v="3616"/>
    <x v="1"/>
    <x v="7"/>
  </r>
  <r>
    <d v="2025-08-06T00:00:00"/>
    <x v="2"/>
    <n v="6110"/>
    <s v="Local Contractor"/>
    <s v="Food Inventory"/>
    <n v="10225"/>
    <x v="1"/>
    <x v="7"/>
  </r>
  <r>
    <d v="2025-08-07T00:00:00"/>
    <x v="2"/>
    <n v="6110"/>
    <s v="Grainger"/>
    <s v="Food Inventory"/>
    <n v="5270"/>
    <x v="1"/>
    <x v="7"/>
  </r>
  <r>
    <d v="2025-08-05T00:00:00"/>
    <x v="2"/>
    <n v="6120"/>
    <s v="Local Contractor"/>
    <s v="Operating Supplies"/>
    <n v="10654"/>
    <x v="1"/>
    <x v="7"/>
  </r>
  <r>
    <d v="2025-08-06T00:00:00"/>
    <x v="2"/>
    <n v="6120"/>
    <s v="Sysco"/>
    <s v="Operating Supplies"/>
    <n v="7302"/>
    <x v="1"/>
    <x v="7"/>
  </r>
  <r>
    <d v="2025-08-07T00:00:00"/>
    <x v="2"/>
    <n v="6120"/>
    <s v="Local Contractor"/>
    <s v="Operating Supplies"/>
    <n v="8005"/>
    <x v="1"/>
    <x v="7"/>
  </r>
  <r>
    <d v="2025-08-05T00:00:00"/>
    <x v="2"/>
    <n v="6210"/>
    <s v="Cintas"/>
    <s v="Electricity"/>
    <n v="2193"/>
    <x v="2"/>
    <x v="7"/>
  </r>
  <r>
    <d v="2025-08-06T00:00:00"/>
    <x v="2"/>
    <n v="6210"/>
    <s v="Cintas"/>
    <s v="Electricity"/>
    <n v="1807"/>
    <x v="2"/>
    <x v="7"/>
  </r>
  <r>
    <d v="2025-08-07T00:00:00"/>
    <x v="2"/>
    <n v="6210"/>
    <s v="NV Energy"/>
    <s v="Electricity"/>
    <n v="2775"/>
    <x v="2"/>
    <x v="7"/>
  </r>
  <r>
    <d v="2025-08-05T00:00:00"/>
    <x v="2"/>
    <n v="6220"/>
    <s v="Cintas"/>
    <s v="Water &amp; Sewer"/>
    <n v="10933"/>
    <x v="2"/>
    <x v="7"/>
  </r>
  <r>
    <d v="2025-08-06T00:00:00"/>
    <x v="2"/>
    <n v="6220"/>
    <s v="Cintas"/>
    <s v="Water &amp; Sewer"/>
    <n v="10894"/>
    <x v="2"/>
    <x v="7"/>
  </r>
  <r>
    <d v="2025-08-07T00:00:00"/>
    <x v="2"/>
    <n v="6220"/>
    <s v="Cintas"/>
    <s v="Water &amp; Sewer"/>
    <n v="11988"/>
    <x v="2"/>
    <x v="7"/>
  </r>
  <r>
    <d v="2025-08-05T00:00:00"/>
    <x v="2"/>
    <n v="6310"/>
    <s v="Sysco"/>
    <s v="Equipment Repairs"/>
    <n v="6243"/>
    <x v="3"/>
    <x v="7"/>
  </r>
  <r>
    <d v="2025-08-06T00:00:00"/>
    <x v="2"/>
    <n v="6310"/>
    <s v="Sysco"/>
    <s v="Equipment Repairs"/>
    <n v="8136"/>
    <x v="3"/>
    <x v="7"/>
  </r>
  <r>
    <d v="2025-08-07T00:00:00"/>
    <x v="2"/>
    <n v="6310"/>
    <s v="US Foods"/>
    <s v="Equipment Repairs"/>
    <n v="6821"/>
    <x v="3"/>
    <x v="7"/>
  </r>
  <r>
    <d v="2025-08-05T00:00:00"/>
    <x v="2"/>
    <n v="6320"/>
    <s v="Cintas"/>
    <s v="Preventive Maintenance"/>
    <n v="11627"/>
    <x v="3"/>
    <x v="7"/>
  </r>
  <r>
    <d v="2025-08-06T00:00:00"/>
    <x v="2"/>
    <n v="6320"/>
    <s v="Sysco"/>
    <s v="Preventive Maintenance"/>
    <n v="7428"/>
    <x v="3"/>
    <x v="7"/>
  </r>
  <r>
    <d v="2025-08-07T00:00:00"/>
    <x v="2"/>
    <n v="6320"/>
    <s v="Sysco"/>
    <s v="Preventive Maintenance"/>
    <n v="8655"/>
    <x v="3"/>
    <x v="7"/>
  </r>
  <r>
    <d v="2025-08-05T00:00:00"/>
    <x v="3"/>
    <n v="6010"/>
    <s v="Cintas"/>
    <s v="Payroll"/>
    <n v="5486"/>
    <x v="0"/>
    <x v="7"/>
  </r>
  <r>
    <d v="2025-08-06T00:00:00"/>
    <x v="3"/>
    <n v="6010"/>
    <s v="Cintas"/>
    <s v="Payroll"/>
    <n v="11148"/>
    <x v="0"/>
    <x v="7"/>
  </r>
  <r>
    <d v="2025-08-07T00:00:00"/>
    <x v="3"/>
    <n v="6010"/>
    <s v="Sysco"/>
    <s v="Payroll"/>
    <n v="10084"/>
    <x v="0"/>
    <x v="7"/>
  </r>
  <r>
    <d v="2025-08-05T00:00:00"/>
    <x v="3"/>
    <n v="6020"/>
    <s v="NV Energy"/>
    <s v="Overtime Payroll"/>
    <n v="7984"/>
    <x v="0"/>
    <x v="7"/>
  </r>
  <r>
    <d v="2025-08-06T00:00:00"/>
    <x v="3"/>
    <n v="6020"/>
    <s v="US Foods"/>
    <s v="Overtime Payroll"/>
    <n v="7062"/>
    <x v="0"/>
    <x v="7"/>
  </r>
  <r>
    <d v="2025-08-07T00:00:00"/>
    <x v="3"/>
    <n v="6020"/>
    <s v="US Foods"/>
    <s v="Overtime Payroll"/>
    <n v="6956"/>
    <x v="0"/>
    <x v="7"/>
  </r>
  <r>
    <d v="2025-08-05T00:00:00"/>
    <x v="3"/>
    <n v="6110"/>
    <s v="Grainger"/>
    <s v="Food Inventory"/>
    <n v="2751"/>
    <x v="1"/>
    <x v="7"/>
  </r>
  <r>
    <d v="2025-08-06T00:00:00"/>
    <x v="3"/>
    <n v="6110"/>
    <s v="Sysco"/>
    <s v="Food Inventory"/>
    <n v="11874"/>
    <x v="1"/>
    <x v="7"/>
  </r>
  <r>
    <d v="2025-08-07T00:00:00"/>
    <x v="3"/>
    <n v="6110"/>
    <s v="Grainger"/>
    <s v="Food Inventory"/>
    <n v="10193"/>
    <x v="1"/>
    <x v="7"/>
  </r>
  <r>
    <d v="2025-08-05T00:00:00"/>
    <x v="3"/>
    <n v="6120"/>
    <s v="NV Energy"/>
    <s v="Operating Supplies"/>
    <n v="4676"/>
    <x v="1"/>
    <x v="7"/>
  </r>
  <r>
    <d v="2025-08-06T00:00:00"/>
    <x v="3"/>
    <n v="6120"/>
    <s v="Local Contractor"/>
    <s v="Operating Supplies"/>
    <n v="7252"/>
    <x v="1"/>
    <x v="7"/>
  </r>
  <r>
    <d v="2025-08-07T00:00:00"/>
    <x v="3"/>
    <n v="6120"/>
    <s v="US Foods"/>
    <s v="Operating Supplies"/>
    <n v="3919"/>
    <x v="1"/>
    <x v="7"/>
  </r>
  <r>
    <d v="2025-08-05T00:00:00"/>
    <x v="3"/>
    <n v="6210"/>
    <s v="US Foods"/>
    <s v="Electricity"/>
    <n v="3184"/>
    <x v="2"/>
    <x v="7"/>
  </r>
  <r>
    <d v="2025-08-06T00:00:00"/>
    <x v="3"/>
    <n v="6210"/>
    <s v="US Foods"/>
    <s v="Electricity"/>
    <n v="5693"/>
    <x v="2"/>
    <x v="7"/>
  </r>
  <r>
    <d v="2025-08-07T00:00:00"/>
    <x v="3"/>
    <n v="6210"/>
    <s v="Grainger"/>
    <s v="Electricity"/>
    <n v="4342"/>
    <x v="2"/>
    <x v="7"/>
  </r>
  <r>
    <d v="2025-08-05T00:00:00"/>
    <x v="3"/>
    <n v="6220"/>
    <s v="Local Contractor"/>
    <s v="Water &amp; Sewer"/>
    <n v="4004"/>
    <x v="2"/>
    <x v="7"/>
  </r>
  <r>
    <d v="2025-08-06T00:00:00"/>
    <x v="3"/>
    <n v="6220"/>
    <s v="US Foods"/>
    <s v="Water &amp; Sewer"/>
    <n v="2734"/>
    <x v="2"/>
    <x v="7"/>
  </r>
  <r>
    <d v="2025-08-07T00:00:00"/>
    <x v="3"/>
    <n v="6220"/>
    <s v="Cintas"/>
    <s v="Water &amp; Sewer"/>
    <n v="11788"/>
    <x v="2"/>
    <x v="7"/>
  </r>
  <r>
    <d v="2025-08-05T00:00:00"/>
    <x v="3"/>
    <n v="6310"/>
    <s v="Grainger"/>
    <s v="Equipment Repairs"/>
    <n v="9101"/>
    <x v="3"/>
    <x v="7"/>
  </r>
  <r>
    <d v="2025-08-06T00:00:00"/>
    <x v="3"/>
    <n v="6310"/>
    <s v="Cintas"/>
    <s v="Equipment Repairs"/>
    <n v="10994"/>
    <x v="3"/>
    <x v="7"/>
  </r>
  <r>
    <d v="2025-08-07T00:00:00"/>
    <x v="3"/>
    <n v="6310"/>
    <s v="Local Contractor"/>
    <s v="Equipment Repairs"/>
    <n v="10748"/>
    <x v="3"/>
    <x v="7"/>
  </r>
  <r>
    <d v="2025-08-05T00:00:00"/>
    <x v="3"/>
    <n v="6320"/>
    <s v="Grainger"/>
    <s v="Preventive Maintenance"/>
    <n v="11908"/>
    <x v="3"/>
    <x v="7"/>
  </r>
  <r>
    <d v="2025-08-06T00:00:00"/>
    <x v="3"/>
    <n v="6320"/>
    <s v="Local Contractor"/>
    <s v="Preventive Maintenance"/>
    <n v="6795"/>
    <x v="3"/>
    <x v="7"/>
  </r>
  <r>
    <d v="2025-08-07T00:00:00"/>
    <x v="3"/>
    <n v="6320"/>
    <s v="US Foods"/>
    <s v="Preventive Maintenance"/>
    <n v="6679"/>
    <x v="3"/>
    <x v="7"/>
  </r>
  <r>
    <d v="2025-09-05T00:00:00"/>
    <x v="0"/>
    <n v="6010"/>
    <s v="Sysco"/>
    <s v="Payroll"/>
    <n v="8705"/>
    <x v="0"/>
    <x v="8"/>
  </r>
  <r>
    <d v="2025-09-06T00:00:00"/>
    <x v="0"/>
    <n v="6010"/>
    <s v="Cintas"/>
    <s v="Payroll"/>
    <n v="9182"/>
    <x v="0"/>
    <x v="8"/>
  </r>
  <r>
    <d v="2025-09-07T00:00:00"/>
    <x v="0"/>
    <n v="6010"/>
    <s v="NV Energy"/>
    <s v="Payroll"/>
    <n v="11844"/>
    <x v="0"/>
    <x v="8"/>
  </r>
  <r>
    <d v="2025-09-05T00:00:00"/>
    <x v="0"/>
    <n v="6020"/>
    <s v="Grainger"/>
    <s v="Overtime Payroll"/>
    <n v="6000"/>
    <x v="0"/>
    <x v="8"/>
  </r>
  <r>
    <d v="2025-09-06T00:00:00"/>
    <x v="0"/>
    <n v="6020"/>
    <s v="NV Energy"/>
    <s v="Overtime Payroll"/>
    <n v="2420"/>
    <x v="0"/>
    <x v="8"/>
  </r>
  <r>
    <d v="2025-09-07T00:00:00"/>
    <x v="0"/>
    <n v="6020"/>
    <s v="Sysco"/>
    <s v="Overtime Payroll"/>
    <n v="9812"/>
    <x v="0"/>
    <x v="8"/>
  </r>
  <r>
    <d v="2025-09-05T00:00:00"/>
    <x v="0"/>
    <n v="6110"/>
    <s v="Cintas"/>
    <s v="Food Inventory"/>
    <n v="6585"/>
    <x v="1"/>
    <x v="8"/>
  </r>
  <r>
    <d v="2025-09-06T00:00:00"/>
    <x v="0"/>
    <n v="6110"/>
    <s v="Sysco"/>
    <s v="Food Inventory"/>
    <n v="8904"/>
    <x v="1"/>
    <x v="8"/>
  </r>
  <r>
    <d v="2025-09-07T00:00:00"/>
    <x v="0"/>
    <n v="6110"/>
    <s v="NV Energy"/>
    <s v="Food Inventory"/>
    <n v="2432"/>
    <x v="1"/>
    <x v="8"/>
  </r>
  <r>
    <d v="2025-09-05T00:00:00"/>
    <x v="0"/>
    <n v="6120"/>
    <s v="Sysco"/>
    <s v="Operating Supplies"/>
    <n v="6203"/>
    <x v="1"/>
    <x v="8"/>
  </r>
  <r>
    <d v="2025-09-06T00:00:00"/>
    <x v="0"/>
    <n v="6120"/>
    <s v="Grainger"/>
    <s v="Operating Supplies"/>
    <n v="2979"/>
    <x v="1"/>
    <x v="8"/>
  </r>
  <r>
    <d v="2025-09-07T00:00:00"/>
    <x v="0"/>
    <n v="6120"/>
    <s v="Grainger"/>
    <s v="Operating Supplies"/>
    <n v="11233"/>
    <x v="1"/>
    <x v="8"/>
  </r>
  <r>
    <d v="2025-09-05T00:00:00"/>
    <x v="0"/>
    <n v="6210"/>
    <s v="Cintas"/>
    <s v="Electricity"/>
    <n v="7799"/>
    <x v="2"/>
    <x v="8"/>
  </r>
  <r>
    <d v="2025-09-06T00:00:00"/>
    <x v="0"/>
    <n v="6210"/>
    <s v="Grainger"/>
    <s v="Electricity"/>
    <n v="11008"/>
    <x v="2"/>
    <x v="8"/>
  </r>
  <r>
    <d v="2025-09-07T00:00:00"/>
    <x v="0"/>
    <n v="6210"/>
    <s v="Cintas"/>
    <s v="Electricity"/>
    <n v="2172"/>
    <x v="2"/>
    <x v="8"/>
  </r>
  <r>
    <d v="2025-09-05T00:00:00"/>
    <x v="0"/>
    <n v="6220"/>
    <s v="Local Contractor"/>
    <s v="Water &amp; Sewer"/>
    <n v="10866"/>
    <x v="2"/>
    <x v="8"/>
  </r>
  <r>
    <d v="2025-09-06T00:00:00"/>
    <x v="0"/>
    <n v="6220"/>
    <s v="NV Energy"/>
    <s v="Water &amp; Sewer"/>
    <n v="4584"/>
    <x v="2"/>
    <x v="8"/>
  </r>
  <r>
    <d v="2025-09-07T00:00:00"/>
    <x v="0"/>
    <n v="6220"/>
    <s v="Cintas"/>
    <s v="Water &amp; Sewer"/>
    <n v="11412"/>
    <x v="2"/>
    <x v="8"/>
  </r>
  <r>
    <d v="2025-09-05T00:00:00"/>
    <x v="0"/>
    <n v="6310"/>
    <s v="US Foods"/>
    <s v="Equipment Repairs"/>
    <n v="9714"/>
    <x v="3"/>
    <x v="8"/>
  </r>
  <r>
    <d v="2025-09-06T00:00:00"/>
    <x v="0"/>
    <n v="6310"/>
    <s v="Cintas"/>
    <s v="Equipment Repairs"/>
    <n v="2513"/>
    <x v="3"/>
    <x v="8"/>
  </r>
  <r>
    <d v="2025-09-07T00:00:00"/>
    <x v="0"/>
    <n v="6310"/>
    <s v="NV Energy"/>
    <s v="Equipment Repairs"/>
    <n v="3195"/>
    <x v="3"/>
    <x v="8"/>
  </r>
  <r>
    <d v="2025-09-05T00:00:00"/>
    <x v="0"/>
    <n v="6320"/>
    <s v="Grainger"/>
    <s v="Preventive Maintenance"/>
    <n v="2881"/>
    <x v="3"/>
    <x v="8"/>
  </r>
  <r>
    <d v="2025-09-06T00:00:00"/>
    <x v="0"/>
    <n v="6320"/>
    <s v="Sysco"/>
    <s v="Preventive Maintenance"/>
    <n v="4327"/>
    <x v="3"/>
    <x v="8"/>
  </r>
  <r>
    <d v="2025-09-07T00:00:00"/>
    <x v="0"/>
    <n v="6320"/>
    <s v="Local Contractor"/>
    <s v="Preventive Maintenance"/>
    <n v="5559"/>
    <x v="3"/>
    <x v="8"/>
  </r>
  <r>
    <d v="2025-09-05T00:00:00"/>
    <x v="1"/>
    <n v="6010"/>
    <s v="Cintas"/>
    <s v="Payroll"/>
    <n v="8672"/>
    <x v="0"/>
    <x v="8"/>
  </r>
  <r>
    <d v="2025-09-06T00:00:00"/>
    <x v="1"/>
    <n v="6010"/>
    <s v="Grainger"/>
    <s v="Payroll"/>
    <n v="10086"/>
    <x v="0"/>
    <x v="8"/>
  </r>
  <r>
    <d v="2025-09-07T00:00:00"/>
    <x v="1"/>
    <n v="6010"/>
    <s v="US Foods"/>
    <s v="Payroll"/>
    <n v="11491"/>
    <x v="0"/>
    <x v="8"/>
  </r>
  <r>
    <d v="2025-09-05T00:00:00"/>
    <x v="1"/>
    <n v="6020"/>
    <s v="NV Energy"/>
    <s v="Overtime Payroll"/>
    <n v="7462"/>
    <x v="0"/>
    <x v="8"/>
  </r>
  <r>
    <d v="2025-09-06T00:00:00"/>
    <x v="1"/>
    <n v="6020"/>
    <s v="Cintas"/>
    <s v="Overtime Payroll"/>
    <n v="6134"/>
    <x v="0"/>
    <x v="8"/>
  </r>
  <r>
    <d v="2025-09-07T00:00:00"/>
    <x v="1"/>
    <n v="6020"/>
    <s v="NV Energy"/>
    <s v="Overtime Payroll"/>
    <n v="8197"/>
    <x v="0"/>
    <x v="8"/>
  </r>
  <r>
    <d v="2025-09-05T00:00:00"/>
    <x v="1"/>
    <n v="6110"/>
    <s v="Sysco"/>
    <s v="Food Inventory"/>
    <n v="11295"/>
    <x v="1"/>
    <x v="8"/>
  </r>
  <r>
    <d v="2025-09-06T00:00:00"/>
    <x v="1"/>
    <n v="6110"/>
    <s v="Local Contractor"/>
    <s v="Food Inventory"/>
    <n v="11836"/>
    <x v="1"/>
    <x v="8"/>
  </r>
  <r>
    <d v="2025-09-07T00:00:00"/>
    <x v="1"/>
    <n v="6110"/>
    <s v="Sysco"/>
    <s v="Food Inventory"/>
    <n v="6982"/>
    <x v="1"/>
    <x v="8"/>
  </r>
  <r>
    <d v="2025-09-05T00:00:00"/>
    <x v="1"/>
    <n v="6120"/>
    <s v="Sysco"/>
    <s v="Operating Supplies"/>
    <n v="6901"/>
    <x v="1"/>
    <x v="8"/>
  </r>
  <r>
    <d v="2025-09-06T00:00:00"/>
    <x v="1"/>
    <n v="6120"/>
    <s v="Local Contractor"/>
    <s v="Operating Supplies"/>
    <n v="10641"/>
    <x v="1"/>
    <x v="8"/>
  </r>
  <r>
    <d v="2025-09-07T00:00:00"/>
    <x v="1"/>
    <n v="6120"/>
    <s v="NV Energy"/>
    <s v="Operating Supplies"/>
    <n v="7833"/>
    <x v="1"/>
    <x v="8"/>
  </r>
  <r>
    <d v="2025-09-05T00:00:00"/>
    <x v="1"/>
    <n v="6210"/>
    <s v="Local Contractor"/>
    <s v="Electricity"/>
    <n v="5628"/>
    <x v="2"/>
    <x v="8"/>
  </r>
  <r>
    <d v="2025-09-06T00:00:00"/>
    <x v="1"/>
    <n v="6210"/>
    <s v="US Foods"/>
    <s v="Electricity"/>
    <n v="11374"/>
    <x v="2"/>
    <x v="8"/>
  </r>
  <r>
    <d v="2025-09-07T00:00:00"/>
    <x v="1"/>
    <n v="6210"/>
    <s v="Sysco"/>
    <s v="Electricity"/>
    <n v="6961"/>
    <x v="2"/>
    <x v="8"/>
  </r>
  <r>
    <d v="2025-09-05T00:00:00"/>
    <x v="1"/>
    <n v="6220"/>
    <s v="Local Contractor"/>
    <s v="Water &amp; Sewer"/>
    <n v="11047"/>
    <x v="2"/>
    <x v="8"/>
  </r>
  <r>
    <d v="2025-09-06T00:00:00"/>
    <x v="1"/>
    <n v="6220"/>
    <s v="NV Energy"/>
    <s v="Water &amp; Sewer"/>
    <n v="3817"/>
    <x v="2"/>
    <x v="8"/>
  </r>
  <r>
    <d v="2025-09-07T00:00:00"/>
    <x v="1"/>
    <n v="6220"/>
    <s v="Local Contractor"/>
    <s v="Water &amp; Sewer"/>
    <n v="6582"/>
    <x v="2"/>
    <x v="8"/>
  </r>
  <r>
    <d v="2025-09-05T00:00:00"/>
    <x v="1"/>
    <n v="6310"/>
    <s v="US Foods"/>
    <s v="Equipment Repairs"/>
    <n v="7921"/>
    <x v="3"/>
    <x v="8"/>
  </r>
  <r>
    <d v="2025-09-06T00:00:00"/>
    <x v="1"/>
    <n v="6310"/>
    <s v="Local Contractor"/>
    <s v="Equipment Repairs"/>
    <n v="11249"/>
    <x v="3"/>
    <x v="8"/>
  </r>
  <r>
    <d v="2025-09-07T00:00:00"/>
    <x v="1"/>
    <n v="6310"/>
    <s v="NV Energy"/>
    <s v="Equipment Repairs"/>
    <n v="2888"/>
    <x v="3"/>
    <x v="8"/>
  </r>
  <r>
    <d v="2025-09-05T00:00:00"/>
    <x v="1"/>
    <n v="6320"/>
    <s v="Cintas"/>
    <s v="Preventive Maintenance"/>
    <n v="10657"/>
    <x v="3"/>
    <x v="8"/>
  </r>
  <r>
    <d v="2025-09-06T00:00:00"/>
    <x v="1"/>
    <n v="6320"/>
    <s v="US Foods"/>
    <s v="Preventive Maintenance"/>
    <n v="6881"/>
    <x v="3"/>
    <x v="8"/>
  </r>
  <r>
    <d v="2025-09-07T00:00:00"/>
    <x v="1"/>
    <n v="6320"/>
    <s v="Sysco"/>
    <s v="Preventive Maintenance"/>
    <n v="10124"/>
    <x v="3"/>
    <x v="8"/>
  </r>
  <r>
    <d v="2025-09-05T00:00:00"/>
    <x v="2"/>
    <n v="6010"/>
    <s v="Grainger"/>
    <s v="Payroll"/>
    <n v="8437"/>
    <x v="0"/>
    <x v="8"/>
  </r>
  <r>
    <d v="2025-09-06T00:00:00"/>
    <x v="2"/>
    <n v="6010"/>
    <s v="Sysco"/>
    <s v="Payroll"/>
    <n v="7428"/>
    <x v="0"/>
    <x v="8"/>
  </r>
  <r>
    <d v="2025-09-07T00:00:00"/>
    <x v="2"/>
    <n v="6010"/>
    <s v="NV Energy"/>
    <s v="Payroll"/>
    <n v="7440"/>
    <x v="0"/>
    <x v="8"/>
  </r>
  <r>
    <d v="2025-09-05T00:00:00"/>
    <x v="2"/>
    <n v="6020"/>
    <s v="US Foods"/>
    <s v="Overtime Payroll"/>
    <n v="4453"/>
    <x v="0"/>
    <x v="8"/>
  </r>
  <r>
    <d v="2025-09-06T00:00:00"/>
    <x v="2"/>
    <n v="6020"/>
    <s v="Cintas"/>
    <s v="Overtime Payroll"/>
    <n v="7098"/>
    <x v="0"/>
    <x v="8"/>
  </r>
  <r>
    <d v="2025-09-07T00:00:00"/>
    <x v="2"/>
    <n v="6020"/>
    <s v="US Foods"/>
    <s v="Overtime Payroll"/>
    <n v="4645"/>
    <x v="0"/>
    <x v="8"/>
  </r>
  <r>
    <d v="2025-09-05T00:00:00"/>
    <x v="2"/>
    <n v="6110"/>
    <s v="US Foods"/>
    <s v="Food Inventory"/>
    <n v="3753"/>
    <x v="1"/>
    <x v="8"/>
  </r>
  <r>
    <d v="2025-09-06T00:00:00"/>
    <x v="2"/>
    <n v="6110"/>
    <s v="NV Energy"/>
    <s v="Food Inventory"/>
    <n v="2764"/>
    <x v="1"/>
    <x v="8"/>
  </r>
  <r>
    <d v="2025-09-07T00:00:00"/>
    <x v="2"/>
    <n v="6110"/>
    <s v="Grainger"/>
    <s v="Food Inventory"/>
    <n v="3157"/>
    <x v="1"/>
    <x v="8"/>
  </r>
  <r>
    <d v="2025-09-05T00:00:00"/>
    <x v="2"/>
    <n v="6120"/>
    <s v="Local Contractor"/>
    <s v="Operating Supplies"/>
    <n v="10343"/>
    <x v="1"/>
    <x v="8"/>
  </r>
  <r>
    <d v="2025-09-06T00:00:00"/>
    <x v="2"/>
    <n v="6120"/>
    <s v="Sysco"/>
    <s v="Operating Supplies"/>
    <n v="10126"/>
    <x v="1"/>
    <x v="8"/>
  </r>
  <r>
    <d v="2025-09-07T00:00:00"/>
    <x v="2"/>
    <n v="6120"/>
    <s v="Grainger"/>
    <s v="Operating Supplies"/>
    <n v="7017"/>
    <x v="1"/>
    <x v="8"/>
  </r>
  <r>
    <d v="2025-09-05T00:00:00"/>
    <x v="2"/>
    <n v="6210"/>
    <s v="Grainger"/>
    <s v="Electricity"/>
    <n v="3647"/>
    <x v="2"/>
    <x v="8"/>
  </r>
  <r>
    <d v="2025-09-06T00:00:00"/>
    <x v="2"/>
    <n v="6210"/>
    <s v="US Foods"/>
    <s v="Electricity"/>
    <n v="7672"/>
    <x v="2"/>
    <x v="8"/>
  </r>
  <r>
    <d v="2025-09-07T00:00:00"/>
    <x v="2"/>
    <n v="6210"/>
    <s v="US Foods"/>
    <s v="Electricity"/>
    <n v="4158"/>
    <x v="2"/>
    <x v="8"/>
  </r>
  <r>
    <d v="2025-09-05T00:00:00"/>
    <x v="2"/>
    <n v="6220"/>
    <s v="US Foods"/>
    <s v="Water &amp; Sewer"/>
    <n v="11735"/>
    <x v="2"/>
    <x v="8"/>
  </r>
  <r>
    <d v="2025-09-06T00:00:00"/>
    <x v="2"/>
    <n v="6220"/>
    <s v="Sysco"/>
    <s v="Water &amp; Sewer"/>
    <n v="8670"/>
    <x v="2"/>
    <x v="8"/>
  </r>
  <r>
    <d v="2025-09-07T00:00:00"/>
    <x v="2"/>
    <n v="6220"/>
    <s v="NV Energy"/>
    <s v="Water &amp; Sewer"/>
    <n v="8231"/>
    <x v="2"/>
    <x v="8"/>
  </r>
  <r>
    <d v="2025-09-05T00:00:00"/>
    <x v="2"/>
    <n v="6310"/>
    <s v="Cintas"/>
    <s v="Equipment Repairs"/>
    <n v="5391"/>
    <x v="3"/>
    <x v="8"/>
  </r>
  <r>
    <d v="2025-09-06T00:00:00"/>
    <x v="2"/>
    <n v="6310"/>
    <s v="NV Energy"/>
    <s v="Equipment Repairs"/>
    <n v="11503"/>
    <x v="3"/>
    <x v="8"/>
  </r>
  <r>
    <d v="2025-09-07T00:00:00"/>
    <x v="2"/>
    <n v="6310"/>
    <s v="US Foods"/>
    <s v="Equipment Repairs"/>
    <n v="8855"/>
    <x v="3"/>
    <x v="8"/>
  </r>
  <r>
    <d v="2025-09-05T00:00:00"/>
    <x v="2"/>
    <n v="6320"/>
    <s v="US Foods"/>
    <s v="Preventive Maintenance"/>
    <n v="10249"/>
    <x v="3"/>
    <x v="8"/>
  </r>
  <r>
    <d v="2025-09-06T00:00:00"/>
    <x v="2"/>
    <n v="6320"/>
    <s v="Cintas"/>
    <s v="Preventive Maintenance"/>
    <n v="6570"/>
    <x v="3"/>
    <x v="8"/>
  </r>
  <r>
    <d v="2025-09-07T00:00:00"/>
    <x v="2"/>
    <n v="6320"/>
    <s v="NV Energy"/>
    <s v="Preventive Maintenance"/>
    <n v="4678"/>
    <x v="3"/>
    <x v="8"/>
  </r>
  <r>
    <d v="2025-09-05T00:00:00"/>
    <x v="3"/>
    <n v="6010"/>
    <s v="Cintas"/>
    <s v="Payroll"/>
    <n v="10845"/>
    <x v="0"/>
    <x v="8"/>
  </r>
  <r>
    <d v="2025-09-06T00:00:00"/>
    <x v="3"/>
    <n v="6010"/>
    <s v="NV Energy"/>
    <s v="Payroll"/>
    <n v="9064"/>
    <x v="0"/>
    <x v="8"/>
  </r>
  <r>
    <d v="2025-09-07T00:00:00"/>
    <x v="3"/>
    <n v="6010"/>
    <s v="Grainger"/>
    <s v="Payroll"/>
    <n v="7756"/>
    <x v="0"/>
    <x v="8"/>
  </r>
  <r>
    <d v="2025-09-05T00:00:00"/>
    <x v="3"/>
    <n v="6020"/>
    <s v="Cintas"/>
    <s v="Overtime Payroll"/>
    <n v="10141"/>
    <x v="0"/>
    <x v="8"/>
  </r>
  <r>
    <d v="2025-09-06T00:00:00"/>
    <x v="3"/>
    <n v="6020"/>
    <s v="US Foods"/>
    <s v="Overtime Payroll"/>
    <n v="4155"/>
    <x v="0"/>
    <x v="8"/>
  </r>
  <r>
    <d v="2025-09-07T00:00:00"/>
    <x v="3"/>
    <n v="6020"/>
    <s v="US Foods"/>
    <s v="Overtime Payroll"/>
    <n v="11406"/>
    <x v="0"/>
    <x v="8"/>
  </r>
  <r>
    <d v="2025-09-05T00:00:00"/>
    <x v="3"/>
    <n v="6110"/>
    <s v="Sysco"/>
    <s v="Food Inventory"/>
    <n v="5596"/>
    <x v="1"/>
    <x v="8"/>
  </r>
  <r>
    <d v="2025-09-06T00:00:00"/>
    <x v="3"/>
    <n v="6110"/>
    <s v="NV Energy"/>
    <s v="Food Inventory"/>
    <n v="9373"/>
    <x v="1"/>
    <x v="8"/>
  </r>
  <r>
    <d v="2025-09-07T00:00:00"/>
    <x v="3"/>
    <n v="6110"/>
    <s v="Sysco"/>
    <s v="Food Inventory"/>
    <n v="10585"/>
    <x v="1"/>
    <x v="8"/>
  </r>
  <r>
    <d v="2025-09-05T00:00:00"/>
    <x v="3"/>
    <n v="6120"/>
    <s v="Sysco"/>
    <s v="Operating Supplies"/>
    <n v="9952"/>
    <x v="1"/>
    <x v="8"/>
  </r>
  <r>
    <d v="2025-09-06T00:00:00"/>
    <x v="3"/>
    <n v="6120"/>
    <s v="Sysco"/>
    <s v="Operating Supplies"/>
    <n v="6170"/>
    <x v="1"/>
    <x v="8"/>
  </r>
  <r>
    <d v="2025-09-07T00:00:00"/>
    <x v="3"/>
    <n v="6120"/>
    <s v="NV Energy"/>
    <s v="Operating Supplies"/>
    <n v="4126"/>
    <x v="1"/>
    <x v="8"/>
  </r>
  <r>
    <d v="2025-09-05T00:00:00"/>
    <x v="3"/>
    <n v="6210"/>
    <s v="Grainger"/>
    <s v="Electricity"/>
    <n v="8861"/>
    <x v="2"/>
    <x v="8"/>
  </r>
  <r>
    <d v="2025-09-06T00:00:00"/>
    <x v="3"/>
    <n v="6210"/>
    <s v="Cintas"/>
    <s v="Electricity"/>
    <n v="3914"/>
    <x v="2"/>
    <x v="8"/>
  </r>
  <r>
    <d v="2025-09-07T00:00:00"/>
    <x v="3"/>
    <n v="6210"/>
    <s v="US Foods"/>
    <s v="Electricity"/>
    <n v="3002"/>
    <x v="2"/>
    <x v="8"/>
  </r>
  <r>
    <d v="2025-09-05T00:00:00"/>
    <x v="3"/>
    <n v="6220"/>
    <s v="NV Energy"/>
    <s v="Water &amp; Sewer"/>
    <n v="8891"/>
    <x v="2"/>
    <x v="8"/>
  </r>
  <r>
    <d v="2025-09-06T00:00:00"/>
    <x v="3"/>
    <n v="6220"/>
    <s v="Cintas"/>
    <s v="Water &amp; Sewer"/>
    <n v="1936"/>
    <x v="2"/>
    <x v="8"/>
  </r>
  <r>
    <d v="2025-09-07T00:00:00"/>
    <x v="3"/>
    <n v="6220"/>
    <s v="Cintas"/>
    <s v="Water &amp; Sewer"/>
    <n v="2372"/>
    <x v="2"/>
    <x v="8"/>
  </r>
  <r>
    <d v="2025-09-05T00:00:00"/>
    <x v="3"/>
    <n v="6310"/>
    <s v="NV Energy"/>
    <s v="Equipment Repairs"/>
    <n v="9724"/>
    <x v="3"/>
    <x v="8"/>
  </r>
  <r>
    <d v="2025-09-06T00:00:00"/>
    <x v="3"/>
    <n v="6310"/>
    <s v="Cintas"/>
    <s v="Equipment Repairs"/>
    <n v="5362"/>
    <x v="3"/>
    <x v="8"/>
  </r>
  <r>
    <d v="2025-09-07T00:00:00"/>
    <x v="3"/>
    <n v="6310"/>
    <s v="NV Energy"/>
    <s v="Equipment Repairs"/>
    <n v="2837"/>
    <x v="3"/>
    <x v="8"/>
  </r>
  <r>
    <d v="2025-09-05T00:00:00"/>
    <x v="3"/>
    <n v="6320"/>
    <s v="Sysco"/>
    <s v="Preventive Maintenance"/>
    <n v="5178"/>
    <x v="3"/>
    <x v="8"/>
  </r>
  <r>
    <d v="2025-09-06T00:00:00"/>
    <x v="3"/>
    <n v="6320"/>
    <s v="Sysco"/>
    <s v="Preventive Maintenance"/>
    <n v="6721"/>
    <x v="3"/>
    <x v="8"/>
  </r>
  <r>
    <d v="2025-09-07T00:00:00"/>
    <x v="3"/>
    <n v="6320"/>
    <s v="US Foods"/>
    <s v="Preventive Maintenance"/>
    <n v="6993"/>
    <x v="3"/>
    <x v="8"/>
  </r>
  <r>
    <d v="2025-10-05T00:00:00"/>
    <x v="0"/>
    <n v="6010"/>
    <s v="Sysco"/>
    <s v="Payroll"/>
    <n v="3754"/>
    <x v="0"/>
    <x v="9"/>
  </r>
  <r>
    <d v="2025-10-06T00:00:00"/>
    <x v="0"/>
    <n v="6010"/>
    <s v="Cintas"/>
    <s v="Payroll"/>
    <n v="6200"/>
    <x v="0"/>
    <x v="9"/>
  </r>
  <r>
    <d v="2025-10-07T00:00:00"/>
    <x v="0"/>
    <n v="6010"/>
    <s v="Local Contractor"/>
    <s v="Payroll"/>
    <n v="3773"/>
    <x v="0"/>
    <x v="9"/>
  </r>
  <r>
    <d v="2025-10-05T00:00:00"/>
    <x v="0"/>
    <n v="6020"/>
    <s v="Cintas"/>
    <s v="Overtime Payroll"/>
    <n v="9185"/>
    <x v="0"/>
    <x v="9"/>
  </r>
  <r>
    <d v="2025-10-06T00:00:00"/>
    <x v="0"/>
    <n v="6020"/>
    <s v="Sysco"/>
    <s v="Overtime Payroll"/>
    <n v="11581"/>
    <x v="0"/>
    <x v="9"/>
  </r>
  <r>
    <d v="2025-10-07T00:00:00"/>
    <x v="0"/>
    <n v="6020"/>
    <s v="Sysco"/>
    <s v="Overtime Payroll"/>
    <n v="2798"/>
    <x v="0"/>
    <x v="9"/>
  </r>
  <r>
    <d v="2025-10-05T00:00:00"/>
    <x v="0"/>
    <n v="6110"/>
    <s v="US Foods"/>
    <s v="Food Inventory"/>
    <n v="5693"/>
    <x v="1"/>
    <x v="9"/>
  </r>
  <r>
    <d v="2025-10-06T00:00:00"/>
    <x v="0"/>
    <n v="6110"/>
    <s v="Grainger"/>
    <s v="Food Inventory"/>
    <n v="3949"/>
    <x v="1"/>
    <x v="9"/>
  </r>
  <r>
    <d v="2025-10-07T00:00:00"/>
    <x v="0"/>
    <n v="6110"/>
    <s v="Grainger"/>
    <s v="Food Inventory"/>
    <n v="11475"/>
    <x v="1"/>
    <x v="9"/>
  </r>
  <r>
    <d v="2025-10-05T00:00:00"/>
    <x v="0"/>
    <n v="6120"/>
    <s v="Sysco"/>
    <s v="Operating Supplies"/>
    <n v="8434"/>
    <x v="1"/>
    <x v="9"/>
  </r>
  <r>
    <d v="2025-10-06T00:00:00"/>
    <x v="0"/>
    <n v="6120"/>
    <s v="US Foods"/>
    <s v="Operating Supplies"/>
    <n v="6220"/>
    <x v="1"/>
    <x v="9"/>
  </r>
  <r>
    <d v="2025-10-07T00:00:00"/>
    <x v="0"/>
    <n v="6120"/>
    <s v="Sysco"/>
    <s v="Operating Supplies"/>
    <n v="6434"/>
    <x v="1"/>
    <x v="9"/>
  </r>
  <r>
    <d v="2025-10-05T00:00:00"/>
    <x v="0"/>
    <n v="6210"/>
    <s v="US Foods"/>
    <s v="Electricity"/>
    <n v="2282"/>
    <x v="2"/>
    <x v="9"/>
  </r>
  <r>
    <d v="2025-10-06T00:00:00"/>
    <x v="0"/>
    <n v="6210"/>
    <s v="Local Contractor"/>
    <s v="Electricity"/>
    <n v="8378"/>
    <x v="2"/>
    <x v="9"/>
  </r>
  <r>
    <d v="2025-10-07T00:00:00"/>
    <x v="0"/>
    <n v="6210"/>
    <s v="Cintas"/>
    <s v="Electricity"/>
    <n v="11704"/>
    <x v="2"/>
    <x v="9"/>
  </r>
  <r>
    <d v="2025-10-05T00:00:00"/>
    <x v="0"/>
    <n v="6220"/>
    <s v="Sysco"/>
    <s v="Water &amp; Sewer"/>
    <n v="2529"/>
    <x v="2"/>
    <x v="9"/>
  </r>
  <r>
    <d v="2025-10-06T00:00:00"/>
    <x v="0"/>
    <n v="6220"/>
    <s v="Grainger"/>
    <s v="Water &amp; Sewer"/>
    <n v="9689"/>
    <x v="2"/>
    <x v="9"/>
  </r>
  <r>
    <d v="2025-10-07T00:00:00"/>
    <x v="0"/>
    <n v="6220"/>
    <s v="Sysco"/>
    <s v="Water &amp; Sewer"/>
    <n v="10282"/>
    <x v="2"/>
    <x v="9"/>
  </r>
  <r>
    <d v="2025-10-05T00:00:00"/>
    <x v="0"/>
    <n v="6310"/>
    <s v="Grainger"/>
    <s v="Equipment Repairs"/>
    <n v="11853"/>
    <x v="3"/>
    <x v="9"/>
  </r>
  <r>
    <d v="2025-10-06T00:00:00"/>
    <x v="0"/>
    <n v="6310"/>
    <s v="US Foods"/>
    <s v="Equipment Repairs"/>
    <n v="10921"/>
    <x v="3"/>
    <x v="9"/>
  </r>
  <r>
    <d v="2025-10-07T00:00:00"/>
    <x v="0"/>
    <n v="6310"/>
    <s v="NV Energy"/>
    <s v="Equipment Repairs"/>
    <n v="3852"/>
    <x v="3"/>
    <x v="9"/>
  </r>
  <r>
    <d v="2025-10-05T00:00:00"/>
    <x v="0"/>
    <n v="6320"/>
    <s v="Sysco"/>
    <s v="Preventive Maintenance"/>
    <n v="8532"/>
    <x v="3"/>
    <x v="9"/>
  </r>
  <r>
    <d v="2025-10-06T00:00:00"/>
    <x v="0"/>
    <n v="6320"/>
    <s v="NV Energy"/>
    <s v="Preventive Maintenance"/>
    <n v="11573"/>
    <x v="3"/>
    <x v="9"/>
  </r>
  <r>
    <d v="2025-10-07T00:00:00"/>
    <x v="0"/>
    <n v="6320"/>
    <s v="Grainger"/>
    <s v="Preventive Maintenance"/>
    <n v="5441"/>
    <x v="3"/>
    <x v="9"/>
  </r>
  <r>
    <d v="2025-10-05T00:00:00"/>
    <x v="1"/>
    <n v="6010"/>
    <s v="US Foods"/>
    <s v="Payroll"/>
    <n v="8325"/>
    <x v="0"/>
    <x v="9"/>
  </r>
  <r>
    <d v="2025-10-06T00:00:00"/>
    <x v="1"/>
    <n v="6010"/>
    <s v="Grainger"/>
    <s v="Payroll"/>
    <n v="2902"/>
    <x v="0"/>
    <x v="9"/>
  </r>
  <r>
    <d v="2025-10-07T00:00:00"/>
    <x v="1"/>
    <n v="6010"/>
    <s v="Sysco"/>
    <s v="Payroll"/>
    <n v="7408"/>
    <x v="0"/>
    <x v="9"/>
  </r>
  <r>
    <d v="2025-10-05T00:00:00"/>
    <x v="1"/>
    <n v="6020"/>
    <s v="Grainger"/>
    <s v="Overtime Payroll"/>
    <n v="10118"/>
    <x v="0"/>
    <x v="9"/>
  </r>
  <r>
    <d v="2025-10-06T00:00:00"/>
    <x v="1"/>
    <n v="6020"/>
    <s v="Grainger"/>
    <s v="Overtime Payroll"/>
    <n v="9812"/>
    <x v="0"/>
    <x v="9"/>
  </r>
  <r>
    <d v="2025-10-07T00:00:00"/>
    <x v="1"/>
    <n v="6020"/>
    <s v="Sysco"/>
    <s v="Overtime Payroll"/>
    <n v="10579"/>
    <x v="0"/>
    <x v="9"/>
  </r>
  <r>
    <d v="2025-10-05T00:00:00"/>
    <x v="1"/>
    <n v="6110"/>
    <s v="Cintas"/>
    <s v="Food Inventory"/>
    <n v="7897"/>
    <x v="1"/>
    <x v="9"/>
  </r>
  <r>
    <d v="2025-10-06T00:00:00"/>
    <x v="1"/>
    <n v="6110"/>
    <s v="Local Contractor"/>
    <s v="Food Inventory"/>
    <n v="2213"/>
    <x v="1"/>
    <x v="9"/>
  </r>
  <r>
    <d v="2025-10-07T00:00:00"/>
    <x v="1"/>
    <n v="6110"/>
    <s v="NV Energy"/>
    <s v="Food Inventory"/>
    <n v="7838"/>
    <x v="1"/>
    <x v="9"/>
  </r>
  <r>
    <d v="2025-10-05T00:00:00"/>
    <x v="1"/>
    <n v="6120"/>
    <s v="Local Contractor"/>
    <s v="Operating Supplies"/>
    <n v="5655"/>
    <x v="1"/>
    <x v="9"/>
  </r>
  <r>
    <d v="2025-10-06T00:00:00"/>
    <x v="1"/>
    <n v="6120"/>
    <s v="NV Energy"/>
    <s v="Operating Supplies"/>
    <n v="1766"/>
    <x v="1"/>
    <x v="9"/>
  </r>
  <r>
    <d v="2025-10-07T00:00:00"/>
    <x v="1"/>
    <n v="6120"/>
    <s v="NV Energy"/>
    <s v="Operating Supplies"/>
    <n v="2606"/>
    <x v="1"/>
    <x v="9"/>
  </r>
  <r>
    <d v="2025-10-05T00:00:00"/>
    <x v="1"/>
    <n v="6210"/>
    <s v="Local Contractor"/>
    <s v="Electricity"/>
    <n v="5450"/>
    <x v="2"/>
    <x v="9"/>
  </r>
  <r>
    <d v="2025-10-06T00:00:00"/>
    <x v="1"/>
    <n v="6210"/>
    <s v="Sysco"/>
    <s v="Electricity"/>
    <n v="11793"/>
    <x v="2"/>
    <x v="9"/>
  </r>
  <r>
    <d v="2025-10-07T00:00:00"/>
    <x v="1"/>
    <n v="6210"/>
    <s v="Local Contractor"/>
    <s v="Electricity"/>
    <n v="11033"/>
    <x v="2"/>
    <x v="9"/>
  </r>
  <r>
    <d v="2025-10-05T00:00:00"/>
    <x v="1"/>
    <n v="6220"/>
    <s v="US Foods"/>
    <s v="Water &amp; Sewer"/>
    <n v="6947"/>
    <x v="2"/>
    <x v="9"/>
  </r>
  <r>
    <d v="2025-10-06T00:00:00"/>
    <x v="1"/>
    <n v="6220"/>
    <s v="NV Energy"/>
    <s v="Water &amp; Sewer"/>
    <n v="2226"/>
    <x v="2"/>
    <x v="9"/>
  </r>
  <r>
    <d v="2025-10-07T00:00:00"/>
    <x v="1"/>
    <n v="6220"/>
    <s v="NV Energy"/>
    <s v="Water &amp; Sewer"/>
    <n v="10445"/>
    <x v="2"/>
    <x v="9"/>
  </r>
  <r>
    <d v="2025-10-05T00:00:00"/>
    <x v="1"/>
    <n v="6310"/>
    <s v="Local Contractor"/>
    <s v="Equipment Repairs"/>
    <n v="4368"/>
    <x v="3"/>
    <x v="9"/>
  </r>
  <r>
    <d v="2025-10-06T00:00:00"/>
    <x v="1"/>
    <n v="6310"/>
    <s v="Local Contractor"/>
    <s v="Equipment Repairs"/>
    <n v="9112"/>
    <x v="3"/>
    <x v="9"/>
  </r>
  <r>
    <d v="2025-10-07T00:00:00"/>
    <x v="1"/>
    <n v="6310"/>
    <s v="Local Contractor"/>
    <s v="Equipment Repairs"/>
    <n v="9340"/>
    <x v="3"/>
    <x v="9"/>
  </r>
  <r>
    <d v="2025-10-05T00:00:00"/>
    <x v="1"/>
    <n v="6320"/>
    <s v="US Foods"/>
    <s v="Preventive Maintenance"/>
    <n v="4486"/>
    <x v="3"/>
    <x v="9"/>
  </r>
  <r>
    <d v="2025-10-06T00:00:00"/>
    <x v="1"/>
    <n v="6320"/>
    <s v="Local Contractor"/>
    <s v="Preventive Maintenance"/>
    <n v="2533"/>
    <x v="3"/>
    <x v="9"/>
  </r>
  <r>
    <d v="2025-10-07T00:00:00"/>
    <x v="1"/>
    <n v="6320"/>
    <s v="Sysco"/>
    <s v="Preventive Maintenance"/>
    <n v="8998"/>
    <x v="3"/>
    <x v="9"/>
  </r>
  <r>
    <d v="2025-10-05T00:00:00"/>
    <x v="2"/>
    <n v="6010"/>
    <s v="US Foods"/>
    <s v="Payroll"/>
    <n v="6307"/>
    <x v="0"/>
    <x v="9"/>
  </r>
  <r>
    <d v="2025-10-06T00:00:00"/>
    <x v="2"/>
    <n v="6010"/>
    <s v="US Foods"/>
    <s v="Payroll"/>
    <n v="2217"/>
    <x v="0"/>
    <x v="9"/>
  </r>
  <r>
    <d v="2025-10-07T00:00:00"/>
    <x v="2"/>
    <n v="6010"/>
    <s v="NV Energy"/>
    <s v="Payroll"/>
    <n v="2186"/>
    <x v="0"/>
    <x v="9"/>
  </r>
  <r>
    <d v="2025-10-05T00:00:00"/>
    <x v="2"/>
    <n v="6020"/>
    <s v="Grainger"/>
    <s v="Overtime Payroll"/>
    <n v="6580"/>
    <x v="0"/>
    <x v="9"/>
  </r>
  <r>
    <d v="2025-10-06T00:00:00"/>
    <x v="2"/>
    <n v="6020"/>
    <s v="Grainger"/>
    <s v="Overtime Payroll"/>
    <n v="8024"/>
    <x v="0"/>
    <x v="9"/>
  </r>
  <r>
    <d v="2025-10-07T00:00:00"/>
    <x v="2"/>
    <n v="6020"/>
    <s v="NV Energy"/>
    <s v="Overtime Payroll"/>
    <n v="9256"/>
    <x v="0"/>
    <x v="9"/>
  </r>
  <r>
    <d v="2025-10-05T00:00:00"/>
    <x v="2"/>
    <n v="6110"/>
    <s v="Local Contractor"/>
    <s v="Food Inventory"/>
    <n v="2099"/>
    <x v="1"/>
    <x v="9"/>
  </r>
  <r>
    <d v="2025-10-06T00:00:00"/>
    <x v="2"/>
    <n v="6110"/>
    <s v="NV Energy"/>
    <s v="Food Inventory"/>
    <n v="4631"/>
    <x v="1"/>
    <x v="9"/>
  </r>
  <r>
    <d v="2025-10-07T00:00:00"/>
    <x v="2"/>
    <n v="6110"/>
    <s v="Sysco"/>
    <s v="Food Inventory"/>
    <n v="7348"/>
    <x v="1"/>
    <x v="9"/>
  </r>
  <r>
    <d v="2025-10-05T00:00:00"/>
    <x v="2"/>
    <n v="6120"/>
    <s v="NV Energy"/>
    <s v="Operating Supplies"/>
    <n v="6938"/>
    <x v="1"/>
    <x v="9"/>
  </r>
  <r>
    <d v="2025-10-06T00:00:00"/>
    <x v="2"/>
    <n v="6120"/>
    <s v="NV Energy"/>
    <s v="Operating Supplies"/>
    <n v="3539"/>
    <x v="1"/>
    <x v="9"/>
  </r>
  <r>
    <d v="2025-10-07T00:00:00"/>
    <x v="2"/>
    <n v="6120"/>
    <s v="Cintas"/>
    <s v="Operating Supplies"/>
    <n v="8659"/>
    <x v="1"/>
    <x v="9"/>
  </r>
  <r>
    <d v="2025-10-05T00:00:00"/>
    <x v="2"/>
    <n v="6210"/>
    <s v="Cintas"/>
    <s v="Electricity"/>
    <n v="8704"/>
    <x v="2"/>
    <x v="9"/>
  </r>
  <r>
    <d v="2025-10-06T00:00:00"/>
    <x v="2"/>
    <n v="6210"/>
    <s v="US Foods"/>
    <s v="Electricity"/>
    <n v="7054"/>
    <x v="2"/>
    <x v="9"/>
  </r>
  <r>
    <d v="2025-10-07T00:00:00"/>
    <x v="2"/>
    <n v="6210"/>
    <s v="Local Contractor"/>
    <s v="Electricity"/>
    <n v="9629"/>
    <x v="2"/>
    <x v="9"/>
  </r>
  <r>
    <d v="2025-10-05T00:00:00"/>
    <x v="2"/>
    <n v="6220"/>
    <s v="NV Energy"/>
    <s v="Water &amp; Sewer"/>
    <n v="9651"/>
    <x v="2"/>
    <x v="9"/>
  </r>
  <r>
    <d v="2025-10-06T00:00:00"/>
    <x v="2"/>
    <n v="6220"/>
    <s v="NV Energy"/>
    <s v="Water &amp; Sewer"/>
    <n v="10007"/>
    <x v="2"/>
    <x v="9"/>
  </r>
  <r>
    <d v="2025-10-07T00:00:00"/>
    <x v="2"/>
    <n v="6220"/>
    <s v="Local Contractor"/>
    <s v="Water &amp; Sewer"/>
    <n v="2853"/>
    <x v="2"/>
    <x v="9"/>
  </r>
  <r>
    <d v="2025-10-05T00:00:00"/>
    <x v="2"/>
    <n v="6310"/>
    <s v="Sysco"/>
    <s v="Equipment Repairs"/>
    <n v="8455"/>
    <x v="3"/>
    <x v="9"/>
  </r>
  <r>
    <d v="2025-10-06T00:00:00"/>
    <x v="2"/>
    <n v="6310"/>
    <s v="Grainger"/>
    <s v="Equipment Repairs"/>
    <n v="8555"/>
    <x v="3"/>
    <x v="9"/>
  </r>
  <r>
    <d v="2025-10-07T00:00:00"/>
    <x v="2"/>
    <n v="6310"/>
    <s v="Grainger"/>
    <s v="Equipment Repairs"/>
    <n v="4456"/>
    <x v="3"/>
    <x v="9"/>
  </r>
  <r>
    <d v="2025-10-05T00:00:00"/>
    <x v="2"/>
    <n v="6320"/>
    <s v="NV Energy"/>
    <s v="Preventive Maintenance"/>
    <n v="6313"/>
    <x v="3"/>
    <x v="9"/>
  </r>
  <r>
    <d v="2025-10-06T00:00:00"/>
    <x v="2"/>
    <n v="6320"/>
    <s v="Sysco"/>
    <s v="Preventive Maintenance"/>
    <n v="3180"/>
    <x v="3"/>
    <x v="9"/>
  </r>
  <r>
    <d v="2025-10-07T00:00:00"/>
    <x v="2"/>
    <n v="6320"/>
    <s v="Local Contractor"/>
    <s v="Preventive Maintenance"/>
    <n v="6872"/>
    <x v="3"/>
    <x v="9"/>
  </r>
  <r>
    <d v="2025-10-05T00:00:00"/>
    <x v="3"/>
    <n v="6010"/>
    <s v="NV Energy"/>
    <s v="Payroll"/>
    <n v="6343"/>
    <x v="0"/>
    <x v="9"/>
  </r>
  <r>
    <d v="2025-10-06T00:00:00"/>
    <x v="3"/>
    <n v="6010"/>
    <s v="Grainger"/>
    <s v="Payroll"/>
    <n v="8805"/>
    <x v="0"/>
    <x v="9"/>
  </r>
  <r>
    <d v="2025-10-07T00:00:00"/>
    <x v="3"/>
    <n v="6010"/>
    <s v="US Foods"/>
    <s v="Payroll"/>
    <n v="8481"/>
    <x v="0"/>
    <x v="9"/>
  </r>
  <r>
    <d v="2025-10-05T00:00:00"/>
    <x v="3"/>
    <n v="6020"/>
    <s v="NV Energy"/>
    <s v="Overtime Payroll"/>
    <n v="8772"/>
    <x v="0"/>
    <x v="9"/>
  </r>
  <r>
    <d v="2025-10-06T00:00:00"/>
    <x v="3"/>
    <n v="6020"/>
    <s v="Sysco"/>
    <s v="Overtime Payroll"/>
    <n v="8825"/>
    <x v="0"/>
    <x v="9"/>
  </r>
  <r>
    <d v="2025-10-07T00:00:00"/>
    <x v="3"/>
    <n v="6020"/>
    <s v="Grainger"/>
    <s v="Overtime Payroll"/>
    <n v="7276"/>
    <x v="0"/>
    <x v="9"/>
  </r>
  <r>
    <d v="2025-10-05T00:00:00"/>
    <x v="3"/>
    <n v="6110"/>
    <s v="NV Energy"/>
    <s v="Food Inventory"/>
    <n v="8626"/>
    <x v="1"/>
    <x v="9"/>
  </r>
  <r>
    <d v="2025-10-06T00:00:00"/>
    <x v="3"/>
    <n v="6110"/>
    <s v="Sysco"/>
    <s v="Food Inventory"/>
    <n v="11977"/>
    <x v="1"/>
    <x v="9"/>
  </r>
  <r>
    <d v="2025-10-07T00:00:00"/>
    <x v="3"/>
    <n v="6110"/>
    <s v="Local Contractor"/>
    <s v="Food Inventory"/>
    <n v="2729"/>
    <x v="1"/>
    <x v="9"/>
  </r>
  <r>
    <d v="2025-10-05T00:00:00"/>
    <x v="3"/>
    <n v="6120"/>
    <s v="Cintas"/>
    <s v="Operating Supplies"/>
    <n v="11945"/>
    <x v="1"/>
    <x v="9"/>
  </r>
  <r>
    <d v="2025-10-06T00:00:00"/>
    <x v="3"/>
    <n v="6120"/>
    <s v="Grainger"/>
    <s v="Operating Supplies"/>
    <n v="7452"/>
    <x v="1"/>
    <x v="9"/>
  </r>
  <r>
    <d v="2025-10-07T00:00:00"/>
    <x v="3"/>
    <n v="6120"/>
    <s v="Sysco"/>
    <s v="Operating Supplies"/>
    <n v="4121"/>
    <x v="1"/>
    <x v="9"/>
  </r>
  <r>
    <d v="2025-10-05T00:00:00"/>
    <x v="3"/>
    <n v="6210"/>
    <s v="Grainger"/>
    <s v="Electricity"/>
    <n v="3839"/>
    <x v="2"/>
    <x v="9"/>
  </r>
  <r>
    <d v="2025-10-06T00:00:00"/>
    <x v="3"/>
    <n v="6210"/>
    <s v="Sysco"/>
    <s v="Electricity"/>
    <n v="8679"/>
    <x v="2"/>
    <x v="9"/>
  </r>
  <r>
    <d v="2025-10-07T00:00:00"/>
    <x v="3"/>
    <n v="6210"/>
    <s v="Sysco"/>
    <s v="Electricity"/>
    <n v="3568"/>
    <x v="2"/>
    <x v="9"/>
  </r>
  <r>
    <d v="2025-10-05T00:00:00"/>
    <x v="3"/>
    <n v="6220"/>
    <s v="Local Contractor"/>
    <s v="Water &amp; Sewer"/>
    <n v="5366"/>
    <x v="2"/>
    <x v="9"/>
  </r>
  <r>
    <d v="2025-10-06T00:00:00"/>
    <x v="3"/>
    <n v="6220"/>
    <s v="NV Energy"/>
    <s v="Water &amp; Sewer"/>
    <n v="7501"/>
    <x v="2"/>
    <x v="9"/>
  </r>
  <r>
    <d v="2025-10-07T00:00:00"/>
    <x v="3"/>
    <n v="6220"/>
    <s v="Grainger"/>
    <s v="Water &amp; Sewer"/>
    <n v="7772"/>
    <x v="2"/>
    <x v="9"/>
  </r>
  <r>
    <d v="2025-10-05T00:00:00"/>
    <x v="3"/>
    <n v="6310"/>
    <s v="Grainger"/>
    <s v="Equipment Repairs"/>
    <n v="2030"/>
    <x v="3"/>
    <x v="9"/>
  </r>
  <r>
    <d v="2025-10-06T00:00:00"/>
    <x v="3"/>
    <n v="6310"/>
    <s v="Local Contractor"/>
    <s v="Equipment Repairs"/>
    <n v="4013"/>
    <x v="3"/>
    <x v="9"/>
  </r>
  <r>
    <d v="2025-10-07T00:00:00"/>
    <x v="3"/>
    <n v="6310"/>
    <s v="NV Energy"/>
    <s v="Equipment Repairs"/>
    <n v="8871"/>
    <x v="3"/>
    <x v="9"/>
  </r>
  <r>
    <d v="2025-10-05T00:00:00"/>
    <x v="3"/>
    <n v="6320"/>
    <s v="Cintas"/>
    <s v="Preventive Maintenance"/>
    <n v="7595"/>
    <x v="3"/>
    <x v="9"/>
  </r>
  <r>
    <d v="2025-10-06T00:00:00"/>
    <x v="3"/>
    <n v="6320"/>
    <s v="Grainger"/>
    <s v="Preventive Maintenance"/>
    <n v="2759"/>
    <x v="3"/>
    <x v="9"/>
  </r>
  <r>
    <d v="2025-10-07T00:00:00"/>
    <x v="3"/>
    <n v="6320"/>
    <s v="Grainger"/>
    <s v="Preventive Maintenance"/>
    <n v="3755"/>
    <x v="3"/>
    <x v="9"/>
  </r>
  <r>
    <d v="2025-11-05T00:00:00"/>
    <x v="0"/>
    <n v="6010"/>
    <s v="Cintas"/>
    <s v="Payroll"/>
    <n v="7512"/>
    <x v="0"/>
    <x v="10"/>
  </r>
  <r>
    <d v="2025-11-06T00:00:00"/>
    <x v="0"/>
    <n v="6010"/>
    <s v="Local Contractor"/>
    <s v="Payroll"/>
    <n v="6650"/>
    <x v="0"/>
    <x v="10"/>
  </r>
  <r>
    <d v="2025-11-07T00:00:00"/>
    <x v="0"/>
    <n v="6010"/>
    <s v="US Foods"/>
    <s v="Payroll"/>
    <n v="6066"/>
    <x v="0"/>
    <x v="10"/>
  </r>
  <r>
    <d v="2025-11-05T00:00:00"/>
    <x v="0"/>
    <n v="6020"/>
    <s v="Sysco"/>
    <s v="Overtime Payroll"/>
    <n v="3358"/>
    <x v="0"/>
    <x v="10"/>
  </r>
  <r>
    <d v="2025-11-06T00:00:00"/>
    <x v="0"/>
    <n v="6020"/>
    <s v="Cintas"/>
    <s v="Overtime Payroll"/>
    <n v="4548"/>
    <x v="0"/>
    <x v="10"/>
  </r>
  <r>
    <d v="2025-11-07T00:00:00"/>
    <x v="0"/>
    <n v="6020"/>
    <s v="Cintas"/>
    <s v="Overtime Payroll"/>
    <n v="9982"/>
    <x v="0"/>
    <x v="10"/>
  </r>
  <r>
    <d v="2025-11-05T00:00:00"/>
    <x v="0"/>
    <n v="6110"/>
    <s v="Sysco"/>
    <s v="Food Inventory"/>
    <n v="10702"/>
    <x v="1"/>
    <x v="10"/>
  </r>
  <r>
    <d v="2025-11-06T00:00:00"/>
    <x v="0"/>
    <n v="6110"/>
    <s v="NV Energy"/>
    <s v="Food Inventory"/>
    <n v="5788"/>
    <x v="1"/>
    <x v="10"/>
  </r>
  <r>
    <d v="2025-11-07T00:00:00"/>
    <x v="0"/>
    <n v="6110"/>
    <s v="US Foods"/>
    <s v="Food Inventory"/>
    <n v="8811"/>
    <x v="1"/>
    <x v="10"/>
  </r>
  <r>
    <d v="2025-11-05T00:00:00"/>
    <x v="0"/>
    <n v="6120"/>
    <s v="NV Energy"/>
    <s v="Operating Supplies"/>
    <n v="11524"/>
    <x v="1"/>
    <x v="10"/>
  </r>
  <r>
    <d v="2025-11-06T00:00:00"/>
    <x v="0"/>
    <n v="6120"/>
    <s v="US Foods"/>
    <s v="Operating Supplies"/>
    <n v="9547"/>
    <x v="1"/>
    <x v="10"/>
  </r>
  <r>
    <d v="2025-11-07T00:00:00"/>
    <x v="0"/>
    <n v="6120"/>
    <s v="US Foods"/>
    <s v="Operating Supplies"/>
    <n v="3509"/>
    <x v="1"/>
    <x v="10"/>
  </r>
  <r>
    <d v="2025-11-05T00:00:00"/>
    <x v="0"/>
    <n v="6210"/>
    <s v="Cintas"/>
    <s v="Electricity"/>
    <n v="2713"/>
    <x v="2"/>
    <x v="10"/>
  </r>
  <r>
    <d v="2025-11-06T00:00:00"/>
    <x v="0"/>
    <n v="6210"/>
    <s v="Local Contractor"/>
    <s v="Electricity"/>
    <n v="4328"/>
    <x v="2"/>
    <x v="10"/>
  </r>
  <r>
    <d v="2025-11-07T00:00:00"/>
    <x v="0"/>
    <n v="6210"/>
    <s v="Sysco"/>
    <s v="Electricity"/>
    <n v="8792"/>
    <x v="2"/>
    <x v="10"/>
  </r>
  <r>
    <d v="2025-11-05T00:00:00"/>
    <x v="0"/>
    <n v="6220"/>
    <s v="Local Contractor"/>
    <s v="Water &amp; Sewer"/>
    <n v="6736"/>
    <x v="2"/>
    <x v="10"/>
  </r>
  <r>
    <d v="2025-11-06T00:00:00"/>
    <x v="0"/>
    <n v="6220"/>
    <s v="Local Contractor"/>
    <s v="Water &amp; Sewer"/>
    <n v="7192"/>
    <x v="2"/>
    <x v="10"/>
  </r>
  <r>
    <d v="2025-11-07T00:00:00"/>
    <x v="0"/>
    <n v="6220"/>
    <s v="Grainger"/>
    <s v="Water &amp; Sewer"/>
    <n v="2563"/>
    <x v="2"/>
    <x v="10"/>
  </r>
  <r>
    <d v="2025-11-05T00:00:00"/>
    <x v="0"/>
    <n v="6310"/>
    <s v="NV Energy"/>
    <s v="Equipment Repairs"/>
    <n v="10382"/>
    <x v="3"/>
    <x v="10"/>
  </r>
  <r>
    <d v="2025-11-06T00:00:00"/>
    <x v="0"/>
    <n v="6310"/>
    <s v="US Foods"/>
    <s v="Equipment Repairs"/>
    <n v="6414"/>
    <x v="3"/>
    <x v="10"/>
  </r>
  <r>
    <d v="2025-11-07T00:00:00"/>
    <x v="0"/>
    <n v="6310"/>
    <s v="US Foods"/>
    <s v="Equipment Repairs"/>
    <n v="11948"/>
    <x v="3"/>
    <x v="10"/>
  </r>
  <r>
    <d v="2025-11-05T00:00:00"/>
    <x v="0"/>
    <n v="6320"/>
    <s v="Grainger"/>
    <s v="Preventive Maintenance"/>
    <n v="7422"/>
    <x v="3"/>
    <x v="10"/>
  </r>
  <r>
    <d v="2025-11-06T00:00:00"/>
    <x v="0"/>
    <n v="6320"/>
    <s v="Sysco"/>
    <s v="Preventive Maintenance"/>
    <n v="5173"/>
    <x v="3"/>
    <x v="10"/>
  </r>
  <r>
    <d v="2025-11-07T00:00:00"/>
    <x v="0"/>
    <n v="6320"/>
    <s v="US Foods"/>
    <s v="Preventive Maintenance"/>
    <n v="4792"/>
    <x v="3"/>
    <x v="10"/>
  </r>
  <r>
    <d v="2025-11-05T00:00:00"/>
    <x v="1"/>
    <n v="6010"/>
    <s v="Cintas"/>
    <s v="Payroll"/>
    <n v="5378"/>
    <x v="0"/>
    <x v="10"/>
  </r>
  <r>
    <d v="2025-11-06T00:00:00"/>
    <x v="1"/>
    <n v="6010"/>
    <s v="NV Energy"/>
    <s v="Payroll"/>
    <n v="1930"/>
    <x v="0"/>
    <x v="10"/>
  </r>
  <r>
    <d v="2025-11-07T00:00:00"/>
    <x v="1"/>
    <n v="6010"/>
    <s v="Grainger"/>
    <s v="Payroll"/>
    <n v="10577"/>
    <x v="0"/>
    <x v="10"/>
  </r>
  <r>
    <d v="2025-11-05T00:00:00"/>
    <x v="1"/>
    <n v="6020"/>
    <s v="Cintas"/>
    <s v="Overtime Payroll"/>
    <n v="7544"/>
    <x v="0"/>
    <x v="10"/>
  </r>
  <r>
    <d v="2025-11-06T00:00:00"/>
    <x v="1"/>
    <n v="6020"/>
    <s v="US Foods"/>
    <s v="Overtime Payroll"/>
    <n v="10538"/>
    <x v="0"/>
    <x v="10"/>
  </r>
  <r>
    <d v="2025-11-07T00:00:00"/>
    <x v="1"/>
    <n v="6020"/>
    <s v="Sysco"/>
    <s v="Overtime Payroll"/>
    <n v="11526"/>
    <x v="0"/>
    <x v="10"/>
  </r>
  <r>
    <d v="2025-11-05T00:00:00"/>
    <x v="1"/>
    <n v="6110"/>
    <s v="NV Energy"/>
    <s v="Food Inventory"/>
    <n v="2577"/>
    <x v="1"/>
    <x v="10"/>
  </r>
  <r>
    <d v="2025-11-06T00:00:00"/>
    <x v="1"/>
    <n v="6110"/>
    <s v="Local Contractor"/>
    <s v="Food Inventory"/>
    <n v="8023"/>
    <x v="1"/>
    <x v="10"/>
  </r>
  <r>
    <d v="2025-11-07T00:00:00"/>
    <x v="1"/>
    <n v="6110"/>
    <s v="Grainger"/>
    <s v="Food Inventory"/>
    <n v="9342"/>
    <x v="1"/>
    <x v="10"/>
  </r>
  <r>
    <d v="2025-11-05T00:00:00"/>
    <x v="1"/>
    <n v="6120"/>
    <s v="Cintas"/>
    <s v="Operating Supplies"/>
    <n v="8230"/>
    <x v="1"/>
    <x v="10"/>
  </r>
  <r>
    <d v="2025-11-06T00:00:00"/>
    <x v="1"/>
    <n v="6120"/>
    <s v="Sysco"/>
    <s v="Operating Supplies"/>
    <n v="10919"/>
    <x v="1"/>
    <x v="10"/>
  </r>
  <r>
    <d v="2025-11-07T00:00:00"/>
    <x v="1"/>
    <n v="6120"/>
    <s v="NV Energy"/>
    <s v="Operating Supplies"/>
    <n v="3553"/>
    <x v="1"/>
    <x v="10"/>
  </r>
  <r>
    <d v="2025-11-05T00:00:00"/>
    <x v="1"/>
    <n v="6210"/>
    <s v="Cintas"/>
    <s v="Electricity"/>
    <n v="2715"/>
    <x v="2"/>
    <x v="10"/>
  </r>
  <r>
    <d v="2025-11-06T00:00:00"/>
    <x v="1"/>
    <n v="6210"/>
    <s v="Local Contractor"/>
    <s v="Electricity"/>
    <n v="9132"/>
    <x v="2"/>
    <x v="10"/>
  </r>
  <r>
    <d v="2025-11-07T00:00:00"/>
    <x v="1"/>
    <n v="6210"/>
    <s v="NV Energy"/>
    <s v="Electricity"/>
    <n v="9976"/>
    <x v="2"/>
    <x v="10"/>
  </r>
  <r>
    <d v="2025-11-05T00:00:00"/>
    <x v="1"/>
    <n v="6220"/>
    <s v="Grainger"/>
    <s v="Water &amp; Sewer"/>
    <n v="3602"/>
    <x v="2"/>
    <x v="10"/>
  </r>
  <r>
    <d v="2025-11-06T00:00:00"/>
    <x v="1"/>
    <n v="6220"/>
    <s v="Grainger"/>
    <s v="Water &amp; Sewer"/>
    <n v="11982"/>
    <x v="2"/>
    <x v="10"/>
  </r>
  <r>
    <d v="2025-11-07T00:00:00"/>
    <x v="1"/>
    <n v="6220"/>
    <s v="US Foods"/>
    <s v="Water &amp; Sewer"/>
    <n v="4481"/>
    <x v="2"/>
    <x v="10"/>
  </r>
  <r>
    <d v="2025-11-05T00:00:00"/>
    <x v="1"/>
    <n v="6310"/>
    <s v="Grainger"/>
    <s v="Equipment Repairs"/>
    <n v="8588"/>
    <x v="3"/>
    <x v="10"/>
  </r>
  <r>
    <d v="2025-11-06T00:00:00"/>
    <x v="1"/>
    <n v="6310"/>
    <s v="Sysco"/>
    <s v="Equipment Repairs"/>
    <n v="2407"/>
    <x v="3"/>
    <x v="10"/>
  </r>
  <r>
    <d v="2025-11-07T00:00:00"/>
    <x v="1"/>
    <n v="6310"/>
    <s v="US Foods"/>
    <s v="Equipment Repairs"/>
    <n v="9988"/>
    <x v="3"/>
    <x v="10"/>
  </r>
  <r>
    <d v="2025-11-05T00:00:00"/>
    <x v="1"/>
    <n v="6320"/>
    <s v="US Foods"/>
    <s v="Preventive Maintenance"/>
    <n v="6482"/>
    <x v="3"/>
    <x v="10"/>
  </r>
  <r>
    <d v="2025-11-06T00:00:00"/>
    <x v="1"/>
    <n v="6320"/>
    <s v="NV Energy"/>
    <s v="Preventive Maintenance"/>
    <n v="4153"/>
    <x v="3"/>
    <x v="10"/>
  </r>
  <r>
    <d v="2025-11-07T00:00:00"/>
    <x v="1"/>
    <n v="6320"/>
    <s v="NV Energy"/>
    <s v="Preventive Maintenance"/>
    <n v="5194"/>
    <x v="3"/>
    <x v="10"/>
  </r>
  <r>
    <d v="2025-11-05T00:00:00"/>
    <x v="2"/>
    <n v="6010"/>
    <s v="NV Energy"/>
    <s v="Payroll"/>
    <n v="10001"/>
    <x v="0"/>
    <x v="10"/>
  </r>
  <r>
    <d v="2025-11-06T00:00:00"/>
    <x v="2"/>
    <n v="6010"/>
    <s v="NV Energy"/>
    <s v="Payroll"/>
    <n v="2792"/>
    <x v="0"/>
    <x v="10"/>
  </r>
  <r>
    <d v="2025-11-07T00:00:00"/>
    <x v="2"/>
    <n v="6010"/>
    <s v="Local Contractor"/>
    <s v="Payroll"/>
    <n v="4716"/>
    <x v="0"/>
    <x v="10"/>
  </r>
  <r>
    <d v="2025-11-05T00:00:00"/>
    <x v="2"/>
    <n v="6020"/>
    <s v="NV Energy"/>
    <s v="Overtime Payroll"/>
    <n v="10524"/>
    <x v="0"/>
    <x v="10"/>
  </r>
  <r>
    <d v="2025-11-06T00:00:00"/>
    <x v="2"/>
    <n v="6020"/>
    <s v="Local Contractor"/>
    <s v="Overtime Payroll"/>
    <n v="3550"/>
    <x v="0"/>
    <x v="10"/>
  </r>
  <r>
    <d v="2025-11-07T00:00:00"/>
    <x v="2"/>
    <n v="6020"/>
    <s v="Grainger"/>
    <s v="Overtime Payroll"/>
    <n v="6461"/>
    <x v="0"/>
    <x v="10"/>
  </r>
  <r>
    <d v="2025-11-05T00:00:00"/>
    <x v="2"/>
    <n v="6110"/>
    <s v="Sysco"/>
    <s v="Food Inventory"/>
    <n v="10240"/>
    <x v="1"/>
    <x v="10"/>
  </r>
  <r>
    <d v="2025-11-06T00:00:00"/>
    <x v="2"/>
    <n v="6110"/>
    <s v="Local Contractor"/>
    <s v="Food Inventory"/>
    <n v="9734"/>
    <x v="1"/>
    <x v="10"/>
  </r>
  <r>
    <d v="2025-11-07T00:00:00"/>
    <x v="2"/>
    <n v="6110"/>
    <s v="Grainger"/>
    <s v="Food Inventory"/>
    <n v="4262"/>
    <x v="1"/>
    <x v="10"/>
  </r>
  <r>
    <d v="2025-11-05T00:00:00"/>
    <x v="2"/>
    <n v="6120"/>
    <s v="US Foods"/>
    <s v="Operating Supplies"/>
    <n v="11013"/>
    <x v="1"/>
    <x v="10"/>
  </r>
  <r>
    <d v="2025-11-06T00:00:00"/>
    <x v="2"/>
    <n v="6120"/>
    <s v="Local Contractor"/>
    <s v="Operating Supplies"/>
    <n v="4304"/>
    <x v="1"/>
    <x v="10"/>
  </r>
  <r>
    <d v="2025-11-07T00:00:00"/>
    <x v="2"/>
    <n v="6120"/>
    <s v="Local Contractor"/>
    <s v="Operating Supplies"/>
    <n v="11731"/>
    <x v="1"/>
    <x v="10"/>
  </r>
  <r>
    <d v="2025-11-05T00:00:00"/>
    <x v="2"/>
    <n v="6210"/>
    <s v="NV Energy"/>
    <s v="Electricity"/>
    <n v="11414"/>
    <x v="2"/>
    <x v="10"/>
  </r>
  <r>
    <d v="2025-11-06T00:00:00"/>
    <x v="2"/>
    <n v="6210"/>
    <s v="Sysco"/>
    <s v="Electricity"/>
    <n v="10734"/>
    <x v="2"/>
    <x v="10"/>
  </r>
  <r>
    <d v="2025-11-07T00:00:00"/>
    <x v="2"/>
    <n v="6210"/>
    <s v="Sysco"/>
    <s v="Electricity"/>
    <n v="1964"/>
    <x v="2"/>
    <x v="10"/>
  </r>
  <r>
    <d v="2025-11-05T00:00:00"/>
    <x v="2"/>
    <n v="6220"/>
    <s v="Local Contractor"/>
    <s v="Water &amp; Sewer"/>
    <n v="2244"/>
    <x v="2"/>
    <x v="10"/>
  </r>
  <r>
    <d v="2025-11-06T00:00:00"/>
    <x v="2"/>
    <n v="6220"/>
    <s v="NV Energy"/>
    <s v="Water &amp; Sewer"/>
    <n v="10949"/>
    <x v="2"/>
    <x v="10"/>
  </r>
  <r>
    <d v="2025-11-07T00:00:00"/>
    <x v="2"/>
    <n v="6220"/>
    <s v="Grainger"/>
    <s v="Water &amp; Sewer"/>
    <n v="4953"/>
    <x v="2"/>
    <x v="10"/>
  </r>
  <r>
    <d v="2025-11-05T00:00:00"/>
    <x v="2"/>
    <n v="6310"/>
    <s v="Grainger"/>
    <s v="Equipment Repairs"/>
    <n v="8325"/>
    <x v="3"/>
    <x v="10"/>
  </r>
  <r>
    <d v="2025-11-06T00:00:00"/>
    <x v="2"/>
    <n v="6310"/>
    <s v="Sysco"/>
    <s v="Equipment Repairs"/>
    <n v="11969"/>
    <x v="3"/>
    <x v="10"/>
  </r>
  <r>
    <d v="2025-11-07T00:00:00"/>
    <x v="2"/>
    <n v="6310"/>
    <s v="Local Contractor"/>
    <s v="Equipment Repairs"/>
    <n v="9659"/>
    <x v="3"/>
    <x v="10"/>
  </r>
  <r>
    <d v="2025-11-05T00:00:00"/>
    <x v="2"/>
    <n v="6320"/>
    <s v="NV Energy"/>
    <s v="Preventive Maintenance"/>
    <n v="10438"/>
    <x v="3"/>
    <x v="10"/>
  </r>
  <r>
    <d v="2025-11-06T00:00:00"/>
    <x v="2"/>
    <n v="6320"/>
    <s v="Cintas"/>
    <s v="Preventive Maintenance"/>
    <n v="6449"/>
    <x v="3"/>
    <x v="10"/>
  </r>
  <r>
    <d v="2025-11-07T00:00:00"/>
    <x v="2"/>
    <n v="6320"/>
    <s v="Local Contractor"/>
    <s v="Preventive Maintenance"/>
    <n v="5512"/>
    <x v="3"/>
    <x v="10"/>
  </r>
  <r>
    <d v="2025-11-05T00:00:00"/>
    <x v="3"/>
    <n v="6010"/>
    <s v="NV Energy"/>
    <s v="Payroll"/>
    <n v="8153"/>
    <x v="0"/>
    <x v="10"/>
  </r>
  <r>
    <d v="2025-11-06T00:00:00"/>
    <x v="3"/>
    <n v="6010"/>
    <s v="Sysco"/>
    <s v="Payroll"/>
    <n v="8930"/>
    <x v="0"/>
    <x v="10"/>
  </r>
  <r>
    <d v="2025-11-07T00:00:00"/>
    <x v="3"/>
    <n v="6010"/>
    <s v="US Foods"/>
    <s v="Payroll"/>
    <n v="2481"/>
    <x v="0"/>
    <x v="10"/>
  </r>
  <r>
    <d v="2025-11-05T00:00:00"/>
    <x v="3"/>
    <n v="6020"/>
    <s v="Cintas"/>
    <s v="Overtime Payroll"/>
    <n v="8702"/>
    <x v="0"/>
    <x v="10"/>
  </r>
  <r>
    <d v="2025-11-06T00:00:00"/>
    <x v="3"/>
    <n v="6020"/>
    <s v="Cintas"/>
    <s v="Overtime Payroll"/>
    <n v="9433"/>
    <x v="0"/>
    <x v="10"/>
  </r>
  <r>
    <d v="2025-11-07T00:00:00"/>
    <x v="3"/>
    <n v="6020"/>
    <s v="NV Energy"/>
    <s v="Overtime Payroll"/>
    <n v="4842"/>
    <x v="0"/>
    <x v="10"/>
  </r>
  <r>
    <d v="2025-11-05T00:00:00"/>
    <x v="3"/>
    <n v="6110"/>
    <s v="US Foods"/>
    <s v="Food Inventory"/>
    <n v="11439"/>
    <x v="1"/>
    <x v="10"/>
  </r>
  <r>
    <d v="2025-11-06T00:00:00"/>
    <x v="3"/>
    <n v="6110"/>
    <s v="Local Contractor"/>
    <s v="Food Inventory"/>
    <n v="6621"/>
    <x v="1"/>
    <x v="10"/>
  </r>
  <r>
    <d v="2025-11-07T00:00:00"/>
    <x v="3"/>
    <n v="6110"/>
    <s v="Local Contractor"/>
    <s v="Food Inventory"/>
    <n v="6731"/>
    <x v="1"/>
    <x v="10"/>
  </r>
  <r>
    <d v="2025-11-05T00:00:00"/>
    <x v="3"/>
    <n v="6120"/>
    <s v="Cintas"/>
    <s v="Operating Supplies"/>
    <n v="7158"/>
    <x v="1"/>
    <x v="10"/>
  </r>
  <r>
    <d v="2025-11-06T00:00:00"/>
    <x v="3"/>
    <n v="6120"/>
    <s v="NV Energy"/>
    <s v="Operating Supplies"/>
    <n v="3642"/>
    <x v="1"/>
    <x v="10"/>
  </r>
  <r>
    <d v="2025-11-07T00:00:00"/>
    <x v="3"/>
    <n v="6120"/>
    <s v="Grainger"/>
    <s v="Operating Supplies"/>
    <n v="9937"/>
    <x v="1"/>
    <x v="10"/>
  </r>
  <r>
    <d v="2025-11-05T00:00:00"/>
    <x v="3"/>
    <n v="6210"/>
    <s v="NV Energy"/>
    <s v="Electricity"/>
    <n v="3239"/>
    <x v="2"/>
    <x v="10"/>
  </r>
  <r>
    <d v="2025-11-06T00:00:00"/>
    <x v="3"/>
    <n v="6210"/>
    <s v="Cintas"/>
    <s v="Electricity"/>
    <n v="5460"/>
    <x v="2"/>
    <x v="10"/>
  </r>
  <r>
    <d v="2025-11-07T00:00:00"/>
    <x v="3"/>
    <n v="6210"/>
    <s v="NV Energy"/>
    <s v="Electricity"/>
    <n v="3507"/>
    <x v="2"/>
    <x v="10"/>
  </r>
  <r>
    <d v="2025-11-05T00:00:00"/>
    <x v="3"/>
    <n v="6220"/>
    <s v="US Foods"/>
    <s v="Water &amp; Sewer"/>
    <n v="8866"/>
    <x v="2"/>
    <x v="10"/>
  </r>
  <r>
    <d v="2025-11-06T00:00:00"/>
    <x v="3"/>
    <n v="6220"/>
    <s v="Sysco"/>
    <s v="Water &amp; Sewer"/>
    <n v="3808"/>
    <x v="2"/>
    <x v="10"/>
  </r>
  <r>
    <d v="2025-11-07T00:00:00"/>
    <x v="3"/>
    <n v="6220"/>
    <s v="NV Energy"/>
    <s v="Water &amp; Sewer"/>
    <n v="2329"/>
    <x v="2"/>
    <x v="10"/>
  </r>
  <r>
    <d v="2025-11-05T00:00:00"/>
    <x v="3"/>
    <n v="6310"/>
    <s v="Grainger"/>
    <s v="Equipment Repairs"/>
    <n v="7793"/>
    <x v="3"/>
    <x v="10"/>
  </r>
  <r>
    <d v="2025-11-06T00:00:00"/>
    <x v="3"/>
    <n v="6310"/>
    <s v="US Foods"/>
    <s v="Equipment Repairs"/>
    <n v="8350"/>
    <x v="3"/>
    <x v="10"/>
  </r>
  <r>
    <d v="2025-11-07T00:00:00"/>
    <x v="3"/>
    <n v="6310"/>
    <s v="NV Energy"/>
    <s v="Equipment Repairs"/>
    <n v="4116"/>
    <x v="3"/>
    <x v="10"/>
  </r>
  <r>
    <d v="2025-11-05T00:00:00"/>
    <x v="3"/>
    <n v="6320"/>
    <s v="Local Contractor"/>
    <s v="Preventive Maintenance"/>
    <n v="10964"/>
    <x v="3"/>
    <x v="10"/>
  </r>
  <r>
    <d v="2025-11-06T00:00:00"/>
    <x v="3"/>
    <n v="6320"/>
    <s v="US Foods"/>
    <s v="Preventive Maintenance"/>
    <n v="6623"/>
    <x v="3"/>
    <x v="10"/>
  </r>
  <r>
    <d v="2025-11-07T00:00:00"/>
    <x v="3"/>
    <n v="6320"/>
    <s v="Cintas"/>
    <s v="Preventive Maintenance"/>
    <n v="4110"/>
    <x v="3"/>
    <x v="10"/>
  </r>
  <r>
    <d v="2025-12-05T00:00:00"/>
    <x v="0"/>
    <n v="6010"/>
    <s v="Cintas"/>
    <s v="Payroll"/>
    <n v="9933"/>
    <x v="0"/>
    <x v="11"/>
  </r>
  <r>
    <d v="2025-12-06T00:00:00"/>
    <x v="0"/>
    <n v="6010"/>
    <s v="NV Energy"/>
    <s v="Payroll"/>
    <n v="9671"/>
    <x v="0"/>
    <x v="11"/>
  </r>
  <r>
    <d v="2025-12-07T00:00:00"/>
    <x v="0"/>
    <n v="6010"/>
    <s v="Sysco"/>
    <s v="Payroll"/>
    <n v="9648"/>
    <x v="0"/>
    <x v="11"/>
  </r>
  <r>
    <d v="2025-12-05T00:00:00"/>
    <x v="0"/>
    <n v="6020"/>
    <s v="Cintas"/>
    <s v="Overtime Payroll"/>
    <n v="2975"/>
    <x v="0"/>
    <x v="11"/>
  </r>
  <r>
    <d v="2025-12-06T00:00:00"/>
    <x v="0"/>
    <n v="6020"/>
    <s v="Cintas"/>
    <s v="Overtime Payroll"/>
    <n v="9781"/>
    <x v="0"/>
    <x v="11"/>
  </r>
  <r>
    <d v="2025-12-07T00:00:00"/>
    <x v="0"/>
    <n v="6020"/>
    <s v="US Foods"/>
    <s v="Overtime Payroll"/>
    <n v="5444"/>
    <x v="0"/>
    <x v="11"/>
  </r>
  <r>
    <d v="2025-12-05T00:00:00"/>
    <x v="0"/>
    <n v="6110"/>
    <s v="NV Energy"/>
    <s v="Food Inventory"/>
    <n v="11057"/>
    <x v="1"/>
    <x v="11"/>
  </r>
  <r>
    <d v="2025-12-06T00:00:00"/>
    <x v="0"/>
    <n v="6110"/>
    <s v="Sysco"/>
    <s v="Food Inventory"/>
    <n v="2297"/>
    <x v="1"/>
    <x v="11"/>
  </r>
  <r>
    <d v="2025-12-07T00:00:00"/>
    <x v="0"/>
    <n v="6110"/>
    <s v="Cintas"/>
    <s v="Food Inventory"/>
    <n v="6109"/>
    <x v="1"/>
    <x v="11"/>
  </r>
  <r>
    <d v="2025-12-05T00:00:00"/>
    <x v="0"/>
    <n v="6120"/>
    <s v="Local Contractor"/>
    <s v="Operating Supplies"/>
    <n v="11289"/>
    <x v="1"/>
    <x v="11"/>
  </r>
  <r>
    <d v="2025-12-06T00:00:00"/>
    <x v="0"/>
    <n v="6120"/>
    <s v="NV Energy"/>
    <s v="Operating Supplies"/>
    <n v="9210"/>
    <x v="1"/>
    <x v="11"/>
  </r>
  <r>
    <d v="2025-12-07T00:00:00"/>
    <x v="0"/>
    <n v="6120"/>
    <s v="Sysco"/>
    <s v="Operating Supplies"/>
    <n v="10293"/>
    <x v="1"/>
    <x v="11"/>
  </r>
  <r>
    <d v="2025-12-05T00:00:00"/>
    <x v="0"/>
    <n v="6210"/>
    <s v="Cintas"/>
    <s v="Electricity"/>
    <n v="3261"/>
    <x v="2"/>
    <x v="11"/>
  </r>
  <r>
    <d v="2025-12-06T00:00:00"/>
    <x v="0"/>
    <n v="6210"/>
    <s v="NV Energy"/>
    <s v="Electricity"/>
    <n v="3694"/>
    <x v="2"/>
    <x v="11"/>
  </r>
  <r>
    <d v="2025-12-07T00:00:00"/>
    <x v="0"/>
    <n v="6210"/>
    <s v="Cintas"/>
    <s v="Electricity"/>
    <n v="7492"/>
    <x v="2"/>
    <x v="11"/>
  </r>
  <r>
    <d v="2025-12-05T00:00:00"/>
    <x v="0"/>
    <n v="6220"/>
    <s v="Sysco"/>
    <s v="Water &amp; Sewer"/>
    <n v="7495"/>
    <x v="2"/>
    <x v="11"/>
  </r>
  <r>
    <d v="2025-12-06T00:00:00"/>
    <x v="0"/>
    <n v="6220"/>
    <s v="Sysco"/>
    <s v="Water &amp; Sewer"/>
    <n v="8063"/>
    <x v="2"/>
    <x v="11"/>
  </r>
  <r>
    <d v="2025-12-07T00:00:00"/>
    <x v="0"/>
    <n v="6220"/>
    <s v="Grainger"/>
    <s v="Water &amp; Sewer"/>
    <n v="10843"/>
    <x v="2"/>
    <x v="11"/>
  </r>
  <r>
    <d v="2025-12-05T00:00:00"/>
    <x v="0"/>
    <n v="6310"/>
    <s v="NV Energy"/>
    <s v="Equipment Repairs"/>
    <n v="4689"/>
    <x v="3"/>
    <x v="11"/>
  </r>
  <r>
    <d v="2025-12-06T00:00:00"/>
    <x v="0"/>
    <n v="6310"/>
    <s v="NV Energy"/>
    <s v="Equipment Repairs"/>
    <n v="10564"/>
    <x v="3"/>
    <x v="11"/>
  </r>
  <r>
    <d v="2025-12-07T00:00:00"/>
    <x v="0"/>
    <n v="6310"/>
    <s v="Cintas"/>
    <s v="Equipment Repairs"/>
    <n v="2704"/>
    <x v="3"/>
    <x v="11"/>
  </r>
  <r>
    <d v="2025-12-05T00:00:00"/>
    <x v="0"/>
    <n v="6320"/>
    <s v="Cintas"/>
    <s v="Preventive Maintenance"/>
    <n v="9761"/>
    <x v="3"/>
    <x v="11"/>
  </r>
  <r>
    <d v="2025-12-06T00:00:00"/>
    <x v="0"/>
    <n v="6320"/>
    <s v="NV Energy"/>
    <s v="Preventive Maintenance"/>
    <n v="10508"/>
    <x v="3"/>
    <x v="11"/>
  </r>
  <r>
    <d v="2025-12-07T00:00:00"/>
    <x v="0"/>
    <n v="6320"/>
    <s v="Local Contractor"/>
    <s v="Preventive Maintenance"/>
    <n v="11711"/>
    <x v="3"/>
    <x v="11"/>
  </r>
  <r>
    <d v="2025-12-05T00:00:00"/>
    <x v="1"/>
    <n v="6010"/>
    <s v="Sysco"/>
    <s v="Payroll"/>
    <n v="11511"/>
    <x v="0"/>
    <x v="11"/>
  </r>
  <r>
    <d v="2025-12-06T00:00:00"/>
    <x v="1"/>
    <n v="6010"/>
    <s v="Sysco"/>
    <s v="Payroll"/>
    <n v="3608"/>
    <x v="0"/>
    <x v="11"/>
  </r>
  <r>
    <d v="2025-12-07T00:00:00"/>
    <x v="1"/>
    <n v="6010"/>
    <s v="NV Energy"/>
    <s v="Payroll"/>
    <n v="7953"/>
    <x v="0"/>
    <x v="11"/>
  </r>
  <r>
    <d v="2025-12-05T00:00:00"/>
    <x v="1"/>
    <n v="6020"/>
    <s v="Grainger"/>
    <s v="Overtime Payroll"/>
    <n v="7055"/>
    <x v="0"/>
    <x v="11"/>
  </r>
  <r>
    <d v="2025-12-06T00:00:00"/>
    <x v="1"/>
    <n v="6020"/>
    <s v="US Foods"/>
    <s v="Overtime Payroll"/>
    <n v="7490"/>
    <x v="0"/>
    <x v="11"/>
  </r>
  <r>
    <d v="2025-12-07T00:00:00"/>
    <x v="1"/>
    <n v="6020"/>
    <s v="Grainger"/>
    <s v="Overtime Payroll"/>
    <n v="4761"/>
    <x v="0"/>
    <x v="11"/>
  </r>
  <r>
    <d v="2025-12-05T00:00:00"/>
    <x v="1"/>
    <n v="6110"/>
    <s v="Cintas"/>
    <s v="Food Inventory"/>
    <n v="9841"/>
    <x v="1"/>
    <x v="11"/>
  </r>
  <r>
    <d v="2025-12-06T00:00:00"/>
    <x v="1"/>
    <n v="6110"/>
    <s v="Sysco"/>
    <s v="Food Inventory"/>
    <n v="9693"/>
    <x v="1"/>
    <x v="11"/>
  </r>
  <r>
    <d v="2025-12-07T00:00:00"/>
    <x v="1"/>
    <n v="6110"/>
    <s v="Sysco"/>
    <s v="Food Inventory"/>
    <n v="2242"/>
    <x v="1"/>
    <x v="11"/>
  </r>
  <r>
    <d v="2025-12-05T00:00:00"/>
    <x v="1"/>
    <n v="6120"/>
    <s v="Local Contractor"/>
    <s v="Operating Supplies"/>
    <n v="3745"/>
    <x v="1"/>
    <x v="11"/>
  </r>
  <r>
    <d v="2025-12-06T00:00:00"/>
    <x v="1"/>
    <n v="6120"/>
    <s v="Cintas"/>
    <s v="Operating Supplies"/>
    <n v="6956"/>
    <x v="1"/>
    <x v="11"/>
  </r>
  <r>
    <d v="2025-12-07T00:00:00"/>
    <x v="1"/>
    <n v="6120"/>
    <s v="Cintas"/>
    <s v="Operating Supplies"/>
    <n v="10008"/>
    <x v="1"/>
    <x v="11"/>
  </r>
  <r>
    <d v="2025-12-05T00:00:00"/>
    <x v="1"/>
    <n v="6210"/>
    <s v="Grainger"/>
    <s v="Electricity"/>
    <n v="3940"/>
    <x v="2"/>
    <x v="11"/>
  </r>
  <r>
    <d v="2025-12-06T00:00:00"/>
    <x v="1"/>
    <n v="6210"/>
    <s v="US Foods"/>
    <s v="Electricity"/>
    <n v="9946"/>
    <x v="2"/>
    <x v="11"/>
  </r>
  <r>
    <d v="2025-12-07T00:00:00"/>
    <x v="1"/>
    <n v="6210"/>
    <s v="Grainger"/>
    <s v="Electricity"/>
    <n v="6873"/>
    <x v="2"/>
    <x v="11"/>
  </r>
  <r>
    <d v="2025-12-05T00:00:00"/>
    <x v="1"/>
    <n v="6220"/>
    <s v="US Foods"/>
    <s v="Water &amp; Sewer"/>
    <n v="6718"/>
    <x v="2"/>
    <x v="11"/>
  </r>
  <r>
    <d v="2025-12-06T00:00:00"/>
    <x v="1"/>
    <n v="6220"/>
    <s v="Grainger"/>
    <s v="Water &amp; Sewer"/>
    <n v="7938"/>
    <x v="2"/>
    <x v="11"/>
  </r>
  <r>
    <d v="2025-12-07T00:00:00"/>
    <x v="1"/>
    <n v="6220"/>
    <s v="Grainger"/>
    <s v="Water &amp; Sewer"/>
    <n v="6402"/>
    <x v="2"/>
    <x v="11"/>
  </r>
  <r>
    <d v="2025-12-05T00:00:00"/>
    <x v="1"/>
    <n v="6310"/>
    <s v="Grainger"/>
    <s v="Equipment Repairs"/>
    <n v="7011"/>
    <x v="3"/>
    <x v="11"/>
  </r>
  <r>
    <d v="2025-12-06T00:00:00"/>
    <x v="1"/>
    <n v="6310"/>
    <s v="Grainger"/>
    <s v="Equipment Repairs"/>
    <n v="9851"/>
    <x v="3"/>
    <x v="11"/>
  </r>
  <r>
    <d v="2025-12-07T00:00:00"/>
    <x v="1"/>
    <n v="6310"/>
    <s v="Local Contractor"/>
    <s v="Equipment Repairs"/>
    <n v="9525"/>
    <x v="3"/>
    <x v="11"/>
  </r>
  <r>
    <d v="2025-12-05T00:00:00"/>
    <x v="1"/>
    <n v="6320"/>
    <s v="NV Energy"/>
    <s v="Preventive Maintenance"/>
    <n v="10722"/>
    <x v="3"/>
    <x v="11"/>
  </r>
  <r>
    <d v="2025-12-06T00:00:00"/>
    <x v="1"/>
    <n v="6320"/>
    <s v="Sysco"/>
    <s v="Preventive Maintenance"/>
    <n v="9280"/>
    <x v="3"/>
    <x v="11"/>
  </r>
  <r>
    <d v="2025-12-07T00:00:00"/>
    <x v="1"/>
    <n v="6320"/>
    <s v="NV Energy"/>
    <s v="Preventive Maintenance"/>
    <n v="7535"/>
    <x v="3"/>
    <x v="11"/>
  </r>
  <r>
    <d v="2025-12-05T00:00:00"/>
    <x v="2"/>
    <n v="6010"/>
    <s v="Cintas"/>
    <s v="Payroll"/>
    <n v="3295"/>
    <x v="0"/>
    <x v="11"/>
  </r>
  <r>
    <d v="2025-12-06T00:00:00"/>
    <x v="2"/>
    <n v="6010"/>
    <s v="NV Energy"/>
    <s v="Payroll"/>
    <n v="11063"/>
    <x v="0"/>
    <x v="11"/>
  </r>
  <r>
    <d v="2025-12-07T00:00:00"/>
    <x v="2"/>
    <n v="6010"/>
    <s v="Sysco"/>
    <s v="Payroll"/>
    <n v="11809"/>
    <x v="0"/>
    <x v="11"/>
  </r>
  <r>
    <d v="2025-12-05T00:00:00"/>
    <x v="2"/>
    <n v="6020"/>
    <s v="Cintas"/>
    <s v="Overtime Payroll"/>
    <n v="11279"/>
    <x v="0"/>
    <x v="11"/>
  </r>
  <r>
    <d v="2025-12-06T00:00:00"/>
    <x v="2"/>
    <n v="6020"/>
    <s v="Local Contractor"/>
    <s v="Overtime Payroll"/>
    <n v="5850"/>
    <x v="0"/>
    <x v="11"/>
  </r>
  <r>
    <d v="2025-12-07T00:00:00"/>
    <x v="2"/>
    <n v="6020"/>
    <s v="Grainger"/>
    <s v="Overtime Payroll"/>
    <n v="10977"/>
    <x v="0"/>
    <x v="11"/>
  </r>
  <r>
    <d v="2025-12-05T00:00:00"/>
    <x v="2"/>
    <n v="6110"/>
    <s v="Local Contractor"/>
    <s v="Food Inventory"/>
    <n v="5228"/>
    <x v="1"/>
    <x v="11"/>
  </r>
  <r>
    <d v="2025-12-06T00:00:00"/>
    <x v="2"/>
    <n v="6110"/>
    <s v="Grainger"/>
    <s v="Food Inventory"/>
    <n v="2341"/>
    <x v="1"/>
    <x v="11"/>
  </r>
  <r>
    <d v="2025-12-07T00:00:00"/>
    <x v="2"/>
    <n v="6110"/>
    <s v="US Foods"/>
    <s v="Food Inventory"/>
    <n v="9371"/>
    <x v="1"/>
    <x v="11"/>
  </r>
  <r>
    <d v="2025-12-05T00:00:00"/>
    <x v="2"/>
    <n v="6120"/>
    <s v="Local Contractor"/>
    <s v="Operating Supplies"/>
    <n v="10089"/>
    <x v="1"/>
    <x v="11"/>
  </r>
  <r>
    <d v="2025-12-06T00:00:00"/>
    <x v="2"/>
    <n v="6120"/>
    <s v="Cintas"/>
    <s v="Operating Supplies"/>
    <n v="11653"/>
    <x v="1"/>
    <x v="11"/>
  </r>
  <r>
    <d v="2025-12-07T00:00:00"/>
    <x v="2"/>
    <n v="6120"/>
    <s v="Local Contractor"/>
    <s v="Operating Supplies"/>
    <n v="3921"/>
    <x v="1"/>
    <x v="11"/>
  </r>
  <r>
    <d v="2025-12-05T00:00:00"/>
    <x v="2"/>
    <n v="6210"/>
    <s v="Sysco"/>
    <s v="Electricity"/>
    <n v="5468"/>
    <x v="2"/>
    <x v="11"/>
  </r>
  <r>
    <d v="2025-12-06T00:00:00"/>
    <x v="2"/>
    <n v="6210"/>
    <s v="Local Contractor"/>
    <s v="Electricity"/>
    <n v="10880"/>
    <x v="2"/>
    <x v="11"/>
  </r>
  <r>
    <d v="2025-12-07T00:00:00"/>
    <x v="2"/>
    <n v="6210"/>
    <s v="US Foods"/>
    <s v="Electricity"/>
    <n v="3300"/>
    <x v="2"/>
    <x v="11"/>
  </r>
  <r>
    <d v="2025-12-05T00:00:00"/>
    <x v="2"/>
    <n v="6220"/>
    <s v="Cintas"/>
    <s v="Water &amp; Sewer"/>
    <n v="1810"/>
    <x v="2"/>
    <x v="11"/>
  </r>
  <r>
    <d v="2025-12-06T00:00:00"/>
    <x v="2"/>
    <n v="6220"/>
    <s v="Cintas"/>
    <s v="Water &amp; Sewer"/>
    <n v="6639"/>
    <x v="2"/>
    <x v="11"/>
  </r>
  <r>
    <d v="2025-12-07T00:00:00"/>
    <x v="2"/>
    <n v="6220"/>
    <s v="Cintas"/>
    <s v="Water &amp; Sewer"/>
    <n v="3981"/>
    <x v="2"/>
    <x v="11"/>
  </r>
  <r>
    <d v="2025-12-05T00:00:00"/>
    <x v="2"/>
    <n v="6310"/>
    <s v="Cintas"/>
    <s v="Equipment Repairs"/>
    <n v="4840"/>
    <x v="3"/>
    <x v="11"/>
  </r>
  <r>
    <d v="2025-12-06T00:00:00"/>
    <x v="2"/>
    <n v="6310"/>
    <s v="Grainger"/>
    <s v="Equipment Repairs"/>
    <n v="9721"/>
    <x v="3"/>
    <x v="11"/>
  </r>
  <r>
    <d v="2025-12-07T00:00:00"/>
    <x v="2"/>
    <n v="6310"/>
    <s v="Local Contractor"/>
    <s v="Equipment Repairs"/>
    <n v="9226"/>
    <x v="3"/>
    <x v="11"/>
  </r>
  <r>
    <d v="2025-12-05T00:00:00"/>
    <x v="2"/>
    <n v="6320"/>
    <s v="Local Contractor"/>
    <s v="Preventive Maintenance"/>
    <n v="2520"/>
    <x v="3"/>
    <x v="11"/>
  </r>
  <r>
    <d v="2025-12-06T00:00:00"/>
    <x v="2"/>
    <n v="6320"/>
    <s v="Grainger"/>
    <s v="Preventive Maintenance"/>
    <n v="3762"/>
    <x v="3"/>
    <x v="11"/>
  </r>
  <r>
    <d v="2025-12-07T00:00:00"/>
    <x v="2"/>
    <n v="6320"/>
    <s v="Grainger"/>
    <s v="Preventive Maintenance"/>
    <n v="4897"/>
    <x v="3"/>
    <x v="11"/>
  </r>
  <r>
    <d v="2025-12-05T00:00:00"/>
    <x v="3"/>
    <n v="6010"/>
    <s v="Local Contractor"/>
    <s v="Payroll"/>
    <n v="6825"/>
    <x v="0"/>
    <x v="11"/>
  </r>
  <r>
    <d v="2025-12-06T00:00:00"/>
    <x v="3"/>
    <n v="6010"/>
    <s v="Grainger"/>
    <s v="Payroll"/>
    <n v="9337"/>
    <x v="0"/>
    <x v="11"/>
  </r>
  <r>
    <d v="2025-12-07T00:00:00"/>
    <x v="3"/>
    <n v="6010"/>
    <s v="NV Energy"/>
    <s v="Payroll"/>
    <n v="7673"/>
    <x v="0"/>
    <x v="11"/>
  </r>
  <r>
    <d v="2025-12-05T00:00:00"/>
    <x v="3"/>
    <n v="6020"/>
    <s v="Cintas"/>
    <s v="Overtime Payroll"/>
    <n v="4337"/>
    <x v="0"/>
    <x v="11"/>
  </r>
  <r>
    <d v="2025-12-06T00:00:00"/>
    <x v="3"/>
    <n v="6020"/>
    <s v="NV Energy"/>
    <s v="Overtime Payroll"/>
    <n v="10234"/>
    <x v="0"/>
    <x v="11"/>
  </r>
  <r>
    <d v="2025-12-07T00:00:00"/>
    <x v="3"/>
    <n v="6020"/>
    <s v="NV Energy"/>
    <s v="Overtime Payroll"/>
    <n v="10450"/>
    <x v="0"/>
    <x v="11"/>
  </r>
  <r>
    <d v="2025-12-05T00:00:00"/>
    <x v="3"/>
    <n v="6110"/>
    <s v="Grainger"/>
    <s v="Food Inventory"/>
    <n v="5831"/>
    <x v="1"/>
    <x v="11"/>
  </r>
  <r>
    <d v="2025-12-06T00:00:00"/>
    <x v="3"/>
    <n v="6110"/>
    <s v="US Foods"/>
    <s v="Food Inventory"/>
    <n v="9432"/>
    <x v="1"/>
    <x v="11"/>
  </r>
  <r>
    <d v="2025-12-07T00:00:00"/>
    <x v="3"/>
    <n v="6110"/>
    <s v="NV Energy"/>
    <s v="Food Inventory"/>
    <n v="5538"/>
    <x v="1"/>
    <x v="11"/>
  </r>
  <r>
    <d v="2025-12-05T00:00:00"/>
    <x v="3"/>
    <n v="6120"/>
    <s v="NV Energy"/>
    <s v="Operating Supplies"/>
    <n v="10643"/>
    <x v="1"/>
    <x v="11"/>
  </r>
  <r>
    <d v="2025-12-06T00:00:00"/>
    <x v="3"/>
    <n v="6120"/>
    <s v="NV Energy"/>
    <s v="Operating Supplies"/>
    <n v="5184"/>
    <x v="1"/>
    <x v="11"/>
  </r>
  <r>
    <d v="2025-12-07T00:00:00"/>
    <x v="3"/>
    <n v="6120"/>
    <s v="Local Contractor"/>
    <s v="Operating Supplies"/>
    <n v="6235"/>
    <x v="1"/>
    <x v="11"/>
  </r>
  <r>
    <d v="2025-12-05T00:00:00"/>
    <x v="3"/>
    <n v="6210"/>
    <s v="Local Contractor"/>
    <s v="Electricity"/>
    <n v="4896"/>
    <x v="2"/>
    <x v="11"/>
  </r>
  <r>
    <d v="2025-12-06T00:00:00"/>
    <x v="3"/>
    <n v="6210"/>
    <s v="NV Energy"/>
    <s v="Electricity"/>
    <n v="9511"/>
    <x v="2"/>
    <x v="11"/>
  </r>
  <r>
    <d v="2025-12-07T00:00:00"/>
    <x v="3"/>
    <n v="6210"/>
    <s v="NV Energy"/>
    <s v="Electricity"/>
    <n v="9361"/>
    <x v="2"/>
    <x v="11"/>
  </r>
  <r>
    <d v="2025-12-05T00:00:00"/>
    <x v="3"/>
    <n v="6220"/>
    <s v="Local Contractor"/>
    <s v="Water &amp; Sewer"/>
    <n v="10683"/>
    <x v="2"/>
    <x v="11"/>
  </r>
  <r>
    <d v="2025-12-06T00:00:00"/>
    <x v="3"/>
    <n v="6220"/>
    <s v="NV Energy"/>
    <s v="Water &amp; Sewer"/>
    <n v="5980"/>
    <x v="2"/>
    <x v="11"/>
  </r>
  <r>
    <d v="2025-12-07T00:00:00"/>
    <x v="3"/>
    <n v="6220"/>
    <s v="Grainger"/>
    <s v="Water &amp; Sewer"/>
    <n v="3496"/>
    <x v="2"/>
    <x v="11"/>
  </r>
  <r>
    <d v="2025-12-05T00:00:00"/>
    <x v="3"/>
    <n v="6310"/>
    <s v="Cintas"/>
    <s v="Equipment Repairs"/>
    <n v="10399"/>
    <x v="3"/>
    <x v="11"/>
  </r>
  <r>
    <d v="2025-12-06T00:00:00"/>
    <x v="3"/>
    <n v="6310"/>
    <s v="NV Energy"/>
    <s v="Equipment Repairs"/>
    <n v="7964"/>
    <x v="3"/>
    <x v="11"/>
  </r>
  <r>
    <d v="2025-12-07T00:00:00"/>
    <x v="3"/>
    <n v="6310"/>
    <s v="NV Energy"/>
    <s v="Equipment Repairs"/>
    <n v="3899"/>
    <x v="3"/>
    <x v="11"/>
  </r>
  <r>
    <d v="2025-12-05T00:00:00"/>
    <x v="3"/>
    <n v="6320"/>
    <s v="NV Energy"/>
    <s v="Preventive Maintenance"/>
    <n v="2189"/>
    <x v="3"/>
    <x v="11"/>
  </r>
  <r>
    <d v="2025-12-06T00:00:00"/>
    <x v="3"/>
    <n v="6320"/>
    <s v="NV Energy"/>
    <s v="Preventive Maintenance"/>
    <n v="2794"/>
    <x v="3"/>
    <x v="11"/>
  </r>
  <r>
    <d v="2025-12-07T00:00:00"/>
    <x v="3"/>
    <n v="6320"/>
    <s v="Local Contractor"/>
    <s v="Preventive Maintenance"/>
    <n v="8747"/>
    <x v="3"/>
    <x v="1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2">
  <r>
    <x v="0"/>
    <x v="0"/>
    <x v="0"/>
    <n v="76988"/>
    <n v="40795"/>
    <n v="-36193"/>
    <n v="-0.47011222528186208"/>
  </r>
  <r>
    <x v="0"/>
    <x v="0"/>
    <x v="1"/>
    <n v="18612"/>
    <n v="46007"/>
    <n v="27395"/>
    <n v="1.471899849559424"/>
  </r>
  <r>
    <x v="0"/>
    <x v="0"/>
    <x v="2"/>
    <n v="11004"/>
    <n v="37662"/>
    <n v="26658"/>
    <n v="2.4225736095965105"/>
  </r>
  <r>
    <x v="0"/>
    <x v="0"/>
    <x v="3"/>
    <n v="16503"/>
    <n v="43057"/>
    <n v="26554"/>
    <n v="1.609040780464158"/>
  </r>
  <r>
    <x v="0"/>
    <x v="1"/>
    <x v="0"/>
    <n v="54256"/>
    <n v="35110"/>
    <n v="-19146"/>
    <n v="-0.35288263049248009"/>
  </r>
  <r>
    <x v="0"/>
    <x v="1"/>
    <x v="1"/>
    <n v="14128"/>
    <n v="45617"/>
    <n v="31489"/>
    <n v="2.2288363533408835"/>
  </r>
  <r>
    <x v="0"/>
    <x v="1"/>
    <x v="2"/>
    <n v="8343"/>
    <n v="38244"/>
    <n v="29901"/>
    <n v="3.5839626033800793"/>
  </r>
  <r>
    <x v="0"/>
    <x v="1"/>
    <x v="3"/>
    <n v="10589"/>
    <n v="39106"/>
    <n v="28517"/>
    <n v="2.6930777221645101"/>
  </r>
  <r>
    <x v="0"/>
    <x v="2"/>
    <x v="0"/>
    <n v="83793"/>
    <n v="38928"/>
    <n v="-44865"/>
    <n v="-0.53542658694640366"/>
  </r>
  <r>
    <x v="0"/>
    <x v="2"/>
    <x v="1"/>
    <n v="23967"/>
    <n v="40451"/>
    <n v="16484"/>
    <n v="0.68777902949889436"/>
  </r>
  <r>
    <x v="0"/>
    <x v="2"/>
    <x v="2"/>
    <n v="12712"/>
    <n v="51127"/>
    <n v="38415"/>
    <n v="3.0219477658904972"/>
  </r>
  <r>
    <x v="0"/>
    <x v="2"/>
    <x v="3"/>
    <n v="20587"/>
    <n v="33714"/>
    <n v="13127"/>
    <n v="0.63763540098120175"/>
  </r>
  <r>
    <x v="0"/>
    <x v="3"/>
    <x v="0"/>
    <n v="68706"/>
    <n v="30825"/>
    <n v="-37881"/>
    <n v="-0.5513492271417344"/>
  </r>
  <r>
    <x v="0"/>
    <x v="3"/>
    <x v="1"/>
    <n v="16160"/>
    <n v="53561"/>
    <n v="37401"/>
    <n v="2.314418316831683"/>
  </r>
  <r>
    <x v="0"/>
    <x v="3"/>
    <x v="2"/>
    <n v="9844"/>
    <n v="35919"/>
    <n v="26075"/>
    <n v="2.6488216172287689"/>
  </r>
  <r>
    <x v="0"/>
    <x v="3"/>
    <x v="3"/>
    <n v="13517"/>
    <n v="37085"/>
    <n v="23568"/>
    <n v="1.7435821558038027"/>
  </r>
  <r>
    <x v="1"/>
    <x v="0"/>
    <x v="0"/>
    <n v="73541"/>
    <n v="44889"/>
    <n v="-28652"/>
    <n v="-0.38960579812621532"/>
  </r>
  <r>
    <x v="1"/>
    <x v="0"/>
    <x v="1"/>
    <n v="19605"/>
    <n v="44138"/>
    <n v="24533"/>
    <n v="1.2513644478449375"/>
  </r>
  <r>
    <x v="1"/>
    <x v="0"/>
    <x v="2"/>
    <n v="14939"/>
    <n v="40958"/>
    <n v="26019"/>
    <n v="1.7416828435638263"/>
  </r>
  <r>
    <x v="1"/>
    <x v="0"/>
    <x v="3"/>
    <n v="19181"/>
    <n v="41953"/>
    <n v="22772"/>
    <n v="1.1872165163442991"/>
  </r>
  <r>
    <x v="1"/>
    <x v="1"/>
    <x v="0"/>
    <n v="52467"/>
    <n v="27321"/>
    <n v="-25146"/>
    <n v="-0.47927268568814685"/>
  </r>
  <r>
    <x v="1"/>
    <x v="1"/>
    <x v="1"/>
    <n v="16897"/>
    <n v="33089"/>
    <n v="16192"/>
    <n v="0.95827661715097356"/>
  </r>
  <r>
    <x v="1"/>
    <x v="1"/>
    <x v="2"/>
    <n v="8828"/>
    <n v="39497"/>
    <n v="30669"/>
    <n v="3.4740598096964206"/>
  </r>
  <r>
    <x v="1"/>
    <x v="1"/>
    <x v="3"/>
    <n v="15615"/>
    <n v="29263"/>
    <n v="13648"/>
    <n v="0.87403138008325332"/>
  </r>
  <r>
    <x v="1"/>
    <x v="2"/>
    <x v="0"/>
    <n v="83573"/>
    <n v="33084"/>
    <n v="-50489"/>
    <n v="-0.60413052062268913"/>
  </r>
  <r>
    <x v="1"/>
    <x v="2"/>
    <x v="1"/>
    <n v="25245"/>
    <n v="41000"/>
    <n v="15755"/>
    <n v="0.6240839770251535"/>
  </r>
  <r>
    <x v="1"/>
    <x v="2"/>
    <x v="2"/>
    <n v="16464"/>
    <n v="50848"/>
    <n v="34384"/>
    <n v="2.0884353741496597"/>
  </r>
  <r>
    <x v="1"/>
    <x v="2"/>
    <x v="3"/>
    <n v="19186"/>
    <n v="44538"/>
    <n v="25352"/>
    <n v="1.3213801730428438"/>
  </r>
  <r>
    <x v="1"/>
    <x v="3"/>
    <x v="0"/>
    <n v="67055"/>
    <n v="39454"/>
    <n v="-27601"/>
    <n v="-0.41161732905823578"/>
  </r>
  <r>
    <x v="1"/>
    <x v="3"/>
    <x v="1"/>
    <n v="19579"/>
    <n v="41203"/>
    <n v="21624"/>
    <n v="1.1044486439552581"/>
  </r>
  <r>
    <x v="1"/>
    <x v="3"/>
    <x v="2"/>
    <n v="14427"/>
    <n v="42620"/>
    <n v="28193"/>
    <n v="1.954183128855618"/>
  </r>
  <r>
    <x v="1"/>
    <x v="3"/>
    <x v="3"/>
    <n v="15028"/>
    <n v="40105"/>
    <n v="25077"/>
    <n v="1.6686851211072664"/>
  </r>
  <r>
    <x v="2"/>
    <x v="0"/>
    <x v="0"/>
    <n v="71803"/>
    <n v="37456"/>
    <n v="-34347"/>
    <n v="-0.47835048674846453"/>
  </r>
  <r>
    <x v="2"/>
    <x v="0"/>
    <x v="1"/>
    <n v="19007"/>
    <n v="50281"/>
    <n v="31274"/>
    <n v="1.6453938022833692"/>
  </r>
  <r>
    <x v="2"/>
    <x v="0"/>
    <x v="2"/>
    <n v="16519"/>
    <n v="36386"/>
    <n v="19867"/>
    <n v="1.2026757067619105"/>
  </r>
  <r>
    <x v="2"/>
    <x v="0"/>
    <x v="3"/>
    <n v="17712"/>
    <n v="47451"/>
    <n v="29739"/>
    <n v="1.6790311653116532"/>
  </r>
  <r>
    <x v="2"/>
    <x v="1"/>
    <x v="0"/>
    <n v="55037"/>
    <n v="48127"/>
    <n v="-6910"/>
    <n v="-0.12555190144811673"/>
  </r>
  <r>
    <x v="2"/>
    <x v="1"/>
    <x v="1"/>
    <n v="14576"/>
    <n v="48704"/>
    <n v="34128"/>
    <n v="2.341383095499451"/>
  </r>
  <r>
    <x v="2"/>
    <x v="1"/>
    <x v="2"/>
    <n v="8473"/>
    <n v="31258"/>
    <n v="22785"/>
    <n v="2.6891301782131478"/>
  </r>
  <r>
    <x v="2"/>
    <x v="1"/>
    <x v="3"/>
    <n v="11513"/>
    <n v="40259"/>
    <n v="28746"/>
    <n v="2.496829670806914"/>
  </r>
  <r>
    <x v="2"/>
    <x v="2"/>
    <x v="0"/>
    <n v="81007"/>
    <n v="36974"/>
    <n v="-44033"/>
    <n v="-0.54357030873875101"/>
  </r>
  <r>
    <x v="2"/>
    <x v="2"/>
    <x v="1"/>
    <n v="20337"/>
    <n v="38277"/>
    <n v="17940"/>
    <n v="0.8821360082608054"/>
  </r>
  <r>
    <x v="2"/>
    <x v="2"/>
    <x v="2"/>
    <n v="12759"/>
    <n v="44871"/>
    <n v="32112"/>
    <n v="2.516811662355984"/>
  </r>
  <r>
    <x v="2"/>
    <x v="2"/>
    <x v="3"/>
    <n v="18862"/>
    <n v="34531"/>
    <n v="15669"/>
    <n v="0.83071784540345672"/>
  </r>
  <r>
    <x v="2"/>
    <x v="3"/>
    <x v="0"/>
    <n v="66042"/>
    <n v="37967"/>
    <n v="-28075"/>
    <n v="-0.42510826443778199"/>
  </r>
  <r>
    <x v="2"/>
    <x v="3"/>
    <x v="1"/>
    <n v="18840"/>
    <n v="23396"/>
    <n v="4556"/>
    <n v="0.24182590233545648"/>
  </r>
  <r>
    <x v="2"/>
    <x v="3"/>
    <x v="2"/>
    <n v="12417"/>
    <n v="33409"/>
    <n v="20992"/>
    <n v="1.6905854876379158"/>
  </r>
  <r>
    <x v="2"/>
    <x v="3"/>
    <x v="3"/>
    <n v="17695"/>
    <n v="39962"/>
    <n v="22267"/>
    <n v="1.2583780729019498"/>
  </r>
  <r>
    <x v="3"/>
    <x v="0"/>
    <x v="0"/>
    <n v="73916"/>
    <n v="54695"/>
    <n v="-19221"/>
    <n v="-0.26003842199253208"/>
  </r>
  <r>
    <x v="3"/>
    <x v="0"/>
    <x v="1"/>
    <n v="18055"/>
    <n v="48538"/>
    <n v="30483"/>
    <n v="1.688341179728607"/>
  </r>
  <r>
    <x v="3"/>
    <x v="0"/>
    <x v="2"/>
    <n v="16777"/>
    <n v="38134"/>
    <n v="21357"/>
    <n v="1.2729927877451273"/>
  </r>
  <r>
    <x v="3"/>
    <x v="0"/>
    <x v="3"/>
    <n v="18013"/>
    <n v="46264"/>
    <n v="28251"/>
    <n v="1.5683672902903458"/>
  </r>
  <r>
    <x v="3"/>
    <x v="1"/>
    <x v="0"/>
    <n v="56642"/>
    <n v="46001"/>
    <n v="-10641"/>
    <n v="-0.18786412909148689"/>
  </r>
  <r>
    <x v="3"/>
    <x v="1"/>
    <x v="1"/>
    <n v="13322"/>
    <n v="42836"/>
    <n v="29514"/>
    <n v="2.2154331181504276"/>
  </r>
  <r>
    <x v="3"/>
    <x v="1"/>
    <x v="2"/>
    <n v="10300"/>
    <n v="47679"/>
    <n v="37379"/>
    <n v="3.6290291262135921"/>
  </r>
  <r>
    <x v="3"/>
    <x v="1"/>
    <x v="3"/>
    <n v="10395"/>
    <n v="41994"/>
    <n v="31599"/>
    <n v="3.0398268398268398"/>
  </r>
  <r>
    <x v="3"/>
    <x v="2"/>
    <x v="0"/>
    <n v="82772"/>
    <n v="51907"/>
    <n v="-30865"/>
    <n v="-0.37289179915913595"/>
  </r>
  <r>
    <x v="3"/>
    <x v="2"/>
    <x v="1"/>
    <n v="21901"/>
    <n v="33247"/>
    <n v="11346"/>
    <n v="0.51805853613990227"/>
  </r>
  <r>
    <x v="3"/>
    <x v="2"/>
    <x v="2"/>
    <n v="17149"/>
    <n v="48781"/>
    <n v="31632"/>
    <n v="1.8445390401772699"/>
  </r>
  <r>
    <x v="3"/>
    <x v="2"/>
    <x v="3"/>
    <n v="20816"/>
    <n v="34944"/>
    <n v="14128"/>
    <n v="0.67870868562644115"/>
  </r>
  <r>
    <x v="3"/>
    <x v="3"/>
    <x v="0"/>
    <n v="68212"/>
    <n v="36166"/>
    <n v="-32046"/>
    <n v="-0.46980003518442504"/>
  </r>
  <r>
    <x v="3"/>
    <x v="3"/>
    <x v="1"/>
    <n v="20629"/>
    <n v="38728"/>
    <n v="18099"/>
    <n v="0.87735711861941923"/>
  </r>
  <r>
    <x v="3"/>
    <x v="3"/>
    <x v="2"/>
    <n v="11175"/>
    <n v="55813"/>
    <n v="44638"/>
    <n v="3.9944519015659954"/>
  </r>
  <r>
    <x v="3"/>
    <x v="3"/>
    <x v="3"/>
    <n v="18521"/>
    <n v="40204"/>
    <n v="21683"/>
    <n v="1.1707251228335402"/>
  </r>
  <r>
    <x v="4"/>
    <x v="0"/>
    <x v="0"/>
    <n v="72319"/>
    <n v="40449"/>
    <n v="-31870"/>
    <n v="-0.44068640329650577"/>
  </r>
  <r>
    <x v="4"/>
    <x v="0"/>
    <x v="1"/>
    <n v="18075"/>
    <n v="46055"/>
    <n v="27980"/>
    <n v="1.5479944674965422"/>
  </r>
  <r>
    <x v="4"/>
    <x v="0"/>
    <x v="2"/>
    <n v="16217"/>
    <n v="34309"/>
    <n v="18092"/>
    <n v="1.115619411728433"/>
  </r>
  <r>
    <x v="4"/>
    <x v="0"/>
    <x v="3"/>
    <n v="16116"/>
    <n v="41545"/>
    <n v="25429"/>
    <n v="1.577872921320427"/>
  </r>
  <r>
    <x v="4"/>
    <x v="1"/>
    <x v="0"/>
    <n v="54620"/>
    <n v="38835"/>
    <n v="-15785"/>
    <n v="-0.28899670450384474"/>
  </r>
  <r>
    <x v="4"/>
    <x v="1"/>
    <x v="1"/>
    <n v="12953"/>
    <n v="34056"/>
    <n v="21103"/>
    <n v="1.6291978692194857"/>
  </r>
  <r>
    <x v="4"/>
    <x v="1"/>
    <x v="2"/>
    <n v="9107"/>
    <n v="42782"/>
    <n v="33675"/>
    <n v="3.697705062040189"/>
  </r>
  <r>
    <x v="4"/>
    <x v="1"/>
    <x v="3"/>
    <n v="10577"/>
    <n v="43883"/>
    <n v="33306"/>
    <n v="3.1489080079417606"/>
  </r>
  <r>
    <x v="4"/>
    <x v="2"/>
    <x v="0"/>
    <n v="81363"/>
    <n v="32069"/>
    <n v="-49294"/>
    <n v="-0.60585278320612568"/>
  </r>
  <r>
    <x v="4"/>
    <x v="2"/>
    <x v="1"/>
    <n v="21777"/>
    <n v="49068"/>
    <n v="27291"/>
    <n v="1.2532029205124673"/>
  </r>
  <r>
    <x v="4"/>
    <x v="2"/>
    <x v="2"/>
    <n v="15714"/>
    <n v="44440"/>
    <n v="28726"/>
    <n v="1.8280514191167112"/>
  </r>
  <r>
    <x v="4"/>
    <x v="2"/>
    <x v="3"/>
    <n v="20957"/>
    <n v="34975"/>
    <n v="14018"/>
    <n v="0.66889344848976473"/>
  </r>
  <r>
    <x v="4"/>
    <x v="3"/>
    <x v="0"/>
    <n v="68238"/>
    <n v="41711"/>
    <n v="-26527"/>
    <n v="-0.38874234297605442"/>
  </r>
  <r>
    <x v="4"/>
    <x v="3"/>
    <x v="1"/>
    <n v="17232"/>
    <n v="41811"/>
    <n v="24579"/>
    <n v="1.4263579387186629"/>
  </r>
  <r>
    <x v="4"/>
    <x v="3"/>
    <x v="2"/>
    <n v="12632"/>
    <n v="51299"/>
    <n v="38667"/>
    <n v="3.0610354654844838"/>
  </r>
  <r>
    <x v="4"/>
    <x v="3"/>
    <x v="3"/>
    <n v="15660"/>
    <n v="44085"/>
    <n v="28425"/>
    <n v="1.8151340996168583"/>
  </r>
  <r>
    <x v="5"/>
    <x v="0"/>
    <x v="0"/>
    <n v="73466"/>
    <n v="38036"/>
    <n v="-35430"/>
    <n v="-0.48226390439114691"/>
  </r>
  <r>
    <x v="5"/>
    <x v="0"/>
    <x v="1"/>
    <n v="23190"/>
    <n v="41110"/>
    <n v="17920"/>
    <n v="0.77274687365243644"/>
  </r>
  <r>
    <x v="5"/>
    <x v="0"/>
    <x v="2"/>
    <n v="12987"/>
    <n v="41336"/>
    <n v="28349"/>
    <n v="2.1828751828751827"/>
  </r>
  <r>
    <x v="5"/>
    <x v="0"/>
    <x v="3"/>
    <n v="19999"/>
    <n v="38939"/>
    <n v="18940"/>
    <n v="0.94704735236761839"/>
  </r>
  <r>
    <x v="5"/>
    <x v="1"/>
    <x v="0"/>
    <n v="57849"/>
    <n v="22122"/>
    <n v="-35727"/>
    <n v="-0.61759062386558106"/>
  </r>
  <r>
    <x v="5"/>
    <x v="1"/>
    <x v="1"/>
    <n v="17608"/>
    <n v="36549"/>
    <n v="18941"/>
    <n v="1.0757042253521127"/>
  </r>
  <r>
    <x v="5"/>
    <x v="1"/>
    <x v="2"/>
    <n v="7784"/>
    <n v="49309"/>
    <n v="41525"/>
    <n v="5.334660842754368"/>
  </r>
  <r>
    <x v="5"/>
    <x v="1"/>
    <x v="3"/>
    <n v="14740"/>
    <n v="42010"/>
    <n v="27270"/>
    <n v="1.850067842605156"/>
  </r>
  <r>
    <x v="5"/>
    <x v="2"/>
    <x v="0"/>
    <n v="83451"/>
    <n v="41861"/>
    <n v="-41590"/>
    <n v="-0.49837629267474326"/>
  </r>
  <r>
    <x v="5"/>
    <x v="2"/>
    <x v="1"/>
    <n v="20901"/>
    <n v="39044"/>
    <n v="18143"/>
    <n v="0.86804459116788668"/>
  </r>
  <r>
    <x v="5"/>
    <x v="2"/>
    <x v="2"/>
    <n v="16375"/>
    <n v="38045"/>
    <n v="21670"/>
    <n v="1.3233587786259542"/>
  </r>
  <r>
    <x v="5"/>
    <x v="2"/>
    <x v="3"/>
    <n v="21723"/>
    <n v="40365"/>
    <n v="18642"/>
    <n v="0.85816876122082586"/>
  </r>
  <r>
    <x v="5"/>
    <x v="3"/>
    <x v="0"/>
    <n v="67255"/>
    <n v="43618"/>
    <n v="-23637"/>
    <n v="-0.35145342353728348"/>
  </r>
  <r>
    <x v="5"/>
    <x v="3"/>
    <x v="1"/>
    <n v="17238"/>
    <n v="38038"/>
    <n v="20800"/>
    <n v="1.2066365007541477"/>
  </r>
  <r>
    <x v="5"/>
    <x v="3"/>
    <x v="2"/>
    <n v="13386"/>
    <n v="40361"/>
    <n v="26975"/>
    <n v="2.0151650978634392"/>
  </r>
  <r>
    <x v="5"/>
    <x v="3"/>
    <x v="3"/>
    <n v="15858"/>
    <n v="39061"/>
    <n v="23203"/>
    <n v="1.4631731618110733"/>
  </r>
  <r>
    <x v="6"/>
    <x v="0"/>
    <x v="0"/>
    <n v="73961"/>
    <n v="41566"/>
    <n v="-32395"/>
    <n v="-0.43800110869241898"/>
  </r>
  <r>
    <x v="6"/>
    <x v="0"/>
    <x v="1"/>
    <n v="22942"/>
    <n v="40524"/>
    <n v="17582"/>
    <n v="0.76636736117165027"/>
  </r>
  <r>
    <x v="6"/>
    <x v="0"/>
    <x v="2"/>
    <n v="16437"/>
    <n v="46294"/>
    <n v="29857"/>
    <n v="1.8164506905153008"/>
  </r>
  <r>
    <x v="6"/>
    <x v="0"/>
    <x v="3"/>
    <n v="18812"/>
    <n v="39723"/>
    <n v="20911"/>
    <n v="1.1115777163512652"/>
  </r>
  <r>
    <x v="6"/>
    <x v="1"/>
    <x v="0"/>
    <n v="54049"/>
    <n v="40383"/>
    <n v="-13666"/>
    <n v="-0.25284464097393106"/>
  </r>
  <r>
    <x v="6"/>
    <x v="1"/>
    <x v="1"/>
    <n v="17908"/>
    <n v="42393"/>
    <n v="24485"/>
    <n v="1.3672660263569354"/>
  </r>
  <r>
    <x v="6"/>
    <x v="1"/>
    <x v="2"/>
    <n v="9856"/>
    <n v="25963"/>
    <n v="16107"/>
    <n v="1.6342329545454546"/>
  </r>
  <r>
    <x v="6"/>
    <x v="1"/>
    <x v="3"/>
    <n v="10208"/>
    <n v="29054"/>
    <n v="18846"/>
    <n v="1.8461990595611286"/>
  </r>
  <r>
    <x v="6"/>
    <x v="2"/>
    <x v="0"/>
    <n v="80126"/>
    <n v="37695"/>
    <n v="-42431"/>
    <n v="-0.52955345331103509"/>
  </r>
  <r>
    <x v="6"/>
    <x v="2"/>
    <x v="1"/>
    <n v="19762"/>
    <n v="50465"/>
    <n v="30703"/>
    <n v="1.5536382957190569"/>
  </r>
  <r>
    <x v="6"/>
    <x v="2"/>
    <x v="2"/>
    <n v="14584"/>
    <n v="34905"/>
    <n v="20321"/>
    <n v="1.3933763027975863"/>
  </r>
  <r>
    <x v="6"/>
    <x v="2"/>
    <x v="3"/>
    <n v="19036"/>
    <n v="56583"/>
    <n v="37547"/>
    <n v="1.9724206766127337"/>
  </r>
  <r>
    <x v="6"/>
    <x v="3"/>
    <x v="0"/>
    <n v="67443"/>
    <n v="44654"/>
    <n v="-22789"/>
    <n v="-0.33790015272155749"/>
  </r>
  <r>
    <x v="6"/>
    <x v="3"/>
    <x v="1"/>
    <n v="16442"/>
    <n v="38470"/>
    <n v="22028"/>
    <n v="1.3397396910351538"/>
  </r>
  <r>
    <x v="6"/>
    <x v="3"/>
    <x v="2"/>
    <n v="11328"/>
    <n v="36593"/>
    <n v="25265"/>
    <n v="2.2303142655367232"/>
  </r>
  <r>
    <x v="6"/>
    <x v="3"/>
    <x v="3"/>
    <n v="17396"/>
    <n v="43376"/>
    <n v="25980"/>
    <n v="1.4934467693722695"/>
  </r>
  <r>
    <x v="7"/>
    <x v="0"/>
    <x v="0"/>
    <n v="77631"/>
    <n v="47224"/>
    <n v="-30407"/>
    <n v="-0.39168631088096251"/>
  </r>
  <r>
    <x v="7"/>
    <x v="0"/>
    <x v="1"/>
    <n v="20277"/>
    <n v="55738"/>
    <n v="35461"/>
    <n v="1.7488287221975638"/>
  </r>
  <r>
    <x v="7"/>
    <x v="0"/>
    <x v="2"/>
    <n v="12541"/>
    <n v="40098"/>
    <n v="27557"/>
    <n v="2.197352683199107"/>
  </r>
  <r>
    <x v="7"/>
    <x v="0"/>
    <x v="3"/>
    <n v="19619"/>
    <n v="47735"/>
    <n v="28116"/>
    <n v="1.4331005657780722"/>
  </r>
  <r>
    <x v="7"/>
    <x v="1"/>
    <x v="0"/>
    <n v="56339"/>
    <n v="45360"/>
    <n v="-10979"/>
    <n v="-0.19487388842542466"/>
  </r>
  <r>
    <x v="7"/>
    <x v="1"/>
    <x v="1"/>
    <n v="15541"/>
    <n v="28797"/>
    <n v="13256"/>
    <n v="0.85296956437809668"/>
  </r>
  <r>
    <x v="7"/>
    <x v="1"/>
    <x v="2"/>
    <n v="12466"/>
    <n v="42809"/>
    <n v="30343"/>
    <n v="2.4340606449542754"/>
  </r>
  <r>
    <x v="7"/>
    <x v="1"/>
    <x v="3"/>
    <n v="13508"/>
    <n v="45959"/>
    <n v="32451"/>
    <n v="2.4023541604974832"/>
  </r>
  <r>
    <x v="7"/>
    <x v="2"/>
    <x v="0"/>
    <n v="79420"/>
    <n v="38097"/>
    <n v="-41323"/>
    <n v="-0.52030974565600607"/>
  </r>
  <r>
    <x v="7"/>
    <x v="2"/>
    <x v="1"/>
    <n v="21669"/>
    <n v="45072"/>
    <n v="23403"/>
    <n v="1.0800221514606119"/>
  </r>
  <r>
    <x v="7"/>
    <x v="2"/>
    <x v="2"/>
    <n v="13143"/>
    <n v="40590"/>
    <n v="27447"/>
    <n v="2.0883359963478658"/>
  </r>
  <r>
    <x v="7"/>
    <x v="2"/>
    <x v="3"/>
    <n v="17770"/>
    <n v="48910"/>
    <n v="31140"/>
    <n v="1.7523916713562184"/>
  </r>
  <r>
    <x v="7"/>
    <x v="3"/>
    <x v="0"/>
    <n v="69848"/>
    <n v="48720"/>
    <n v="-21128"/>
    <n v="-0.30248539686175696"/>
  </r>
  <r>
    <x v="7"/>
    <x v="3"/>
    <x v="1"/>
    <n v="20315"/>
    <n v="40665"/>
    <n v="20350"/>
    <n v="1.0017228648781689"/>
  </r>
  <r>
    <x v="7"/>
    <x v="3"/>
    <x v="2"/>
    <n v="11752"/>
    <n v="31745"/>
    <n v="19993"/>
    <n v="1.7012423417290674"/>
  </r>
  <r>
    <x v="7"/>
    <x v="3"/>
    <x v="3"/>
    <n v="17538"/>
    <n v="56225"/>
    <n v="38687"/>
    <n v="2.2058957691869083"/>
  </r>
  <r>
    <x v="8"/>
    <x v="0"/>
    <x v="0"/>
    <n v="75259"/>
    <n v="47963"/>
    <n v="-27296"/>
    <n v="-0.36269416282437983"/>
  </r>
  <r>
    <x v="8"/>
    <x v="0"/>
    <x v="1"/>
    <n v="22480"/>
    <n v="38336"/>
    <n v="15856"/>
    <n v="0.70533807829181494"/>
  </r>
  <r>
    <x v="8"/>
    <x v="0"/>
    <x v="2"/>
    <n v="14071"/>
    <n v="47841"/>
    <n v="33770"/>
    <n v="2.3999715727382558"/>
  </r>
  <r>
    <x v="8"/>
    <x v="0"/>
    <x v="3"/>
    <n v="17215"/>
    <n v="28189"/>
    <n v="10974"/>
    <n v="0.63746732500726111"/>
  </r>
  <r>
    <x v="8"/>
    <x v="1"/>
    <x v="0"/>
    <n v="54046"/>
    <n v="52042"/>
    <n v="-2004"/>
    <n v="-3.707952484920253E-2"/>
  </r>
  <r>
    <x v="8"/>
    <x v="1"/>
    <x v="1"/>
    <n v="13433"/>
    <n v="55488"/>
    <n v="42055"/>
    <n v="3.1307228467207624"/>
  </r>
  <r>
    <x v="8"/>
    <x v="1"/>
    <x v="2"/>
    <n v="11374"/>
    <n v="45409"/>
    <n v="34035"/>
    <n v="2.9923509759099702"/>
  </r>
  <r>
    <x v="8"/>
    <x v="1"/>
    <x v="3"/>
    <n v="13792"/>
    <n v="49720"/>
    <n v="35928"/>
    <n v="2.6049883990719258"/>
  </r>
  <r>
    <x v="8"/>
    <x v="2"/>
    <x v="0"/>
    <n v="78994"/>
    <n v="39501"/>
    <n v="-39493"/>
    <n v="-0.49994936324277794"/>
  </r>
  <r>
    <x v="8"/>
    <x v="2"/>
    <x v="1"/>
    <n v="19885"/>
    <n v="37160"/>
    <n v="17275"/>
    <n v="0.86874528539099827"/>
  </r>
  <r>
    <x v="8"/>
    <x v="2"/>
    <x v="2"/>
    <n v="12898"/>
    <n v="44113"/>
    <n v="31215"/>
    <n v="2.4201426577763994"/>
  </r>
  <r>
    <x v="8"/>
    <x v="2"/>
    <x v="3"/>
    <n v="17002"/>
    <n v="47246"/>
    <n v="30244"/>
    <n v="1.7788495471121044"/>
  </r>
  <r>
    <x v="8"/>
    <x v="3"/>
    <x v="0"/>
    <n v="70390"/>
    <n v="53367"/>
    <n v="-17023"/>
    <n v="-0.24183832930814037"/>
  </r>
  <r>
    <x v="8"/>
    <x v="3"/>
    <x v="1"/>
    <n v="17210"/>
    <n v="45802"/>
    <n v="28592"/>
    <n v="1.6613596746077861"/>
  </r>
  <r>
    <x v="8"/>
    <x v="3"/>
    <x v="2"/>
    <n v="15174"/>
    <n v="28976"/>
    <n v="13802"/>
    <n v="0.9095821800448135"/>
  </r>
  <r>
    <x v="8"/>
    <x v="3"/>
    <x v="3"/>
    <n v="16208"/>
    <n v="36815"/>
    <n v="20607"/>
    <n v="1.2714091806515302"/>
  </r>
  <r>
    <x v="9"/>
    <x v="0"/>
    <x v="0"/>
    <n v="76635"/>
    <n v="37291"/>
    <n v="-39344"/>
    <n v="-0.51339466301298364"/>
  </r>
  <r>
    <x v="9"/>
    <x v="0"/>
    <x v="1"/>
    <n v="18220"/>
    <n v="42205"/>
    <n v="23985"/>
    <n v="1.316410537870472"/>
  </r>
  <r>
    <x v="9"/>
    <x v="0"/>
    <x v="2"/>
    <n v="13952"/>
    <n v="44864"/>
    <n v="30912"/>
    <n v="2.2155963302752295"/>
  </r>
  <r>
    <x v="9"/>
    <x v="0"/>
    <x v="3"/>
    <n v="17376"/>
    <n v="52172"/>
    <n v="34796"/>
    <n v="2.0025322283609577"/>
  </r>
  <r>
    <x v="9"/>
    <x v="1"/>
    <x v="0"/>
    <n v="57131"/>
    <n v="49144"/>
    <n v="-7987"/>
    <n v="-0.13980150881307871"/>
  </r>
  <r>
    <x v="9"/>
    <x v="1"/>
    <x v="1"/>
    <n v="16134"/>
    <n v="27975"/>
    <n v="11841"/>
    <n v="0.73391595388620301"/>
  </r>
  <r>
    <x v="9"/>
    <x v="1"/>
    <x v="2"/>
    <n v="11534"/>
    <n v="47894"/>
    <n v="36360"/>
    <n v="3.1524189353216578"/>
  </r>
  <r>
    <x v="9"/>
    <x v="1"/>
    <x v="3"/>
    <n v="11809"/>
    <n v="38837"/>
    <n v="27028"/>
    <n v="2.2887628080277755"/>
  </r>
  <r>
    <x v="9"/>
    <x v="2"/>
    <x v="0"/>
    <n v="82782"/>
    <n v="34570"/>
    <n v="-48212"/>
    <n v="-0.58239713947476501"/>
  </r>
  <r>
    <x v="9"/>
    <x v="2"/>
    <x v="1"/>
    <n v="19594"/>
    <n v="33214"/>
    <n v="13620"/>
    <n v="0.69511074818822094"/>
  </r>
  <r>
    <x v="9"/>
    <x v="2"/>
    <x v="2"/>
    <n v="17572"/>
    <n v="47898"/>
    <n v="30326"/>
    <n v="1.7258137946733441"/>
  </r>
  <r>
    <x v="9"/>
    <x v="2"/>
    <x v="3"/>
    <n v="21654"/>
    <n v="37831"/>
    <n v="16177"/>
    <n v="0.74706751639419966"/>
  </r>
  <r>
    <x v="9"/>
    <x v="3"/>
    <x v="0"/>
    <n v="66188"/>
    <n v="48502"/>
    <n v="-17686"/>
    <n v="-0.26720855744243671"/>
  </r>
  <r>
    <x v="9"/>
    <x v="3"/>
    <x v="1"/>
    <n v="21484"/>
    <n v="46850"/>
    <n v="25366"/>
    <n v="1.180692608452802"/>
  </r>
  <r>
    <x v="9"/>
    <x v="3"/>
    <x v="2"/>
    <n v="13998"/>
    <n v="36725"/>
    <n v="22727"/>
    <n v="1.6235890841548792"/>
  </r>
  <r>
    <x v="9"/>
    <x v="3"/>
    <x v="3"/>
    <n v="14935"/>
    <n v="29023"/>
    <n v="14088"/>
    <n v="0.94328757951121522"/>
  </r>
  <r>
    <x v="10"/>
    <x v="0"/>
    <x v="0"/>
    <n v="77000"/>
    <n v="38116"/>
    <n v="-38884"/>
    <n v="-0.50498701298701298"/>
  </r>
  <r>
    <x v="10"/>
    <x v="0"/>
    <x v="1"/>
    <n v="20486"/>
    <n v="49881"/>
    <n v="29395"/>
    <n v="1.4348823586839794"/>
  </r>
  <r>
    <x v="10"/>
    <x v="0"/>
    <x v="2"/>
    <n v="11713"/>
    <n v="32324"/>
    <n v="20611"/>
    <n v="1.7596687441304533"/>
  </r>
  <r>
    <x v="10"/>
    <x v="0"/>
    <x v="3"/>
    <n v="16654"/>
    <n v="46131"/>
    <n v="29477"/>
    <n v="1.7699651735318842"/>
  </r>
  <r>
    <x v="10"/>
    <x v="1"/>
    <x v="0"/>
    <n v="55811"/>
    <n v="47493"/>
    <n v="-8318"/>
    <n v="-0.14903871996559817"/>
  </r>
  <r>
    <x v="10"/>
    <x v="1"/>
    <x v="1"/>
    <n v="13595"/>
    <n v="42644"/>
    <n v="29049"/>
    <n v="2.1367414490621552"/>
  </r>
  <r>
    <x v="10"/>
    <x v="1"/>
    <x v="2"/>
    <n v="10916"/>
    <n v="41888"/>
    <n v="30972"/>
    <n v="2.8373030414071088"/>
  </r>
  <r>
    <x v="10"/>
    <x v="1"/>
    <x v="3"/>
    <n v="9776"/>
    <n v="36812"/>
    <n v="27036"/>
    <n v="2.7655482815057284"/>
  </r>
  <r>
    <x v="10"/>
    <x v="2"/>
    <x v="0"/>
    <n v="84165"/>
    <n v="38044"/>
    <n v="-46121"/>
    <n v="-0.54798312837877983"/>
  </r>
  <r>
    <x v="10"/>
    <x v="2"/>
    <x v="1"/>
    <n v="25395"/>
    <n v="51284"/>
    <n v="25889"/>
    <n v="1.0194526481590864"/>
  </r>
  <r>
    <x v="10"/>
    <x v="2"/>
    <x v="2"/>
    <n v="14157"/>
    <n v="42258"/>
    <n v="28101"/>
    <n v="1.9849544394998941"/>
  </r>
  <r>
    <x v="10"/>
    <x v="2"/>
    <x v="3"/>
    <n v="19850"/>
    <n v="52352"/>
    <n v="32502"/>
    <n v="1.6373803526448363"/>
  </r>
  <r>
    <x v="10"/>
    <x v="3"/>
    <x v="0"/>
    <n v="66713"/>
    <n v="42541"/>
    <n v="-24172"/>
    <n v="-0.36232818191357008"/>
  </r>
  <r>
    <x v="10"/>
    <x v="3"/>
    <x v="1"/>
    <n v="20058"/>
    <n v="45528"/>
    <n v="25470"/>
    <n v="1.2698175291654203"/>
  </r>
  <r>
    <x v="10"/>
    <x v="3"/>
    <x v="2"/>
    <n v="10471"/>
    <n v="27209"/>
    <n v="16738"/>
    <n v="1.5985101709483336"/>
  </r>
  <r>
    <x v="10"/>
    <x v="3"/>
    <x v="3"/>
    <n v="17872"/>
    <n v="41956"/>
    <n v="24084"/>
    <n v="1.3475828111011638"/>
  </r>
  <r>
    <x v="11"/>
    <x v="0"/>
    <x v="0"/>
    <n v="74194"/>
    <n v="47452"/>
    <n v="-26742"/>
    <n v="-0.36043345823112383"/>
  </r>
  <r>
    <x v="11"/>
    <x v="0"/>
    <x v="1"/>
    <n v="22934"/>
    <n v="50255"/>
    <n v="27321"/>
    <n v="1.1912880439522107"/>
  </r>
  <r>
    <x v="11"/>
    <x v="0"/>
    <x v="2"/>
    <n v="14958"/>
    <n v="40848"/>
    <n v="25890"/>
    <n v="1.7308463698355394"/>
  </r>
  <r>
    <x v="11"/>
    <x v="0"/>
    <x v="3"/>
    <n v="19238"/>
    <n v="49937"/>
    <n v="30699"/>
    <n v="1.595747998752469"/>
  </r>
  <r>
    <x v="11"/>
    <x v="1"/>
    <x v="0"/>
    <n v="53879"/>
    <n v="42378"/>
    <n v="-11501"/>
    <n v="-0.21345978952838768"/>
  </r>
  <r>
    <x v="11"/>
    <x v="1"/>
    <x v="1"/>
    <n v="13552"/>
    <n v="42485"/>
    <n v="28933"/>
    <n v="2.134961629279811"/>
  </r>
  <r>
    <x v="11"/>
    <x v="1"/>
    <x v="2"/>
    <n v="10263"/>
    <n v="41817"/>
    <n v="31554"/>
    <n v="3.0745396083016661"/>
  </r>
  <r>
    <x v="11"/>
    <x v="1"/>
    <x v="3"/>
    <n v="11073"/>
    <n v="53924"/>
    <n v="42851"/>
    <n v="3.8698636322586473"/>
  </r>
  <r>
    <x v="11"/>
    <x v="2"/>
    <x v="0"/>
    <n v="82668"/>
    <n v="54273"/>
    <n v="-28395"/>
    <n v="-0.34348236318769054"/>
  </r>
  <r>
    <x v="11"/>
    <x v="2"/>
    <x v="1"/>
    <n v="23844"/>
    <n v="42603"/>
    <n v="18759"/>
    <n v="0.78673880221439352"/>
  </r>
  <r>
    <x v="11"/>
    <x v="2"/>
    <x v="2"/>
    <n v="12004"/>
    <n v="32078"/>
    <n v="20074"/>
    <n v="1.6722759080306564"/>
  </r>
  <r>
    <x v="11"/>
    <x v="2"/>
    <x v="3"/>
    <n v="20656"/>
    <n v="34966"/>
    <n v="14310"/>
    <n v="0.69277691711851275"/>
  </r>
  <r>
    <x v="11"/>
    <x v="3"/>
    <x v="0"/>
    <n v="67905"/>
    <n v="48856"/>
    <n v="-19049"/>
    <n v="-0.28052426183638907"/>
  </r>
  <r>
    <x v="11"/>
    <x v="3"/>
    <x v="1"/>
    <n v="19902"/>
    <n v="42863"/>
    <n v="22961"/>
    <n v="1.1537031454125213"/>
  </r>
  <r>
    <x v="11"/>
    <x v="3"/>
    <x v="2"/>
    <n v="9759"/>
    <n v="43927"/>
    <n v="34168"/>
    <n v="3.5011783994261707"/>
  </r>
  <r>
    <x v="11"/>
    <x v="3"/>
    <x v="3"/>
    <n v="13666"/>
    <n v="35992"/>
    <n v="22326"/>
    <n v="1.63368944826576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8199AA-04D0-4CAE-A3A7-C45DCD07AF3E}"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56" firstHeaderRow="1" firstDataRow="1" firstDataCol="1"/>
  <pivotFields count="8">
    <pivotField numFmtId="14" showAll="0"/>
    <pivotField axis="axisRow" showAll="0">
      <items count="5">
        <item x="3"/>
        <item x="0"/>
        <item x="2"/>
        <item x="1"/>
        <item t="default"/>
      </items>
    </pivotField>
    <pivotField showAll="0"/>
    <pivotField showAll="0"/>
    <pivotField showAll="0"/>
    <pivotField dataField="1" showAll="0"/>
    <pivotField axis="axisRow" showAll="0">
      <items count="5">
        <item x="0"/>
        <item x="3"/>
        <item x="1"/>
        <item x="2"/>
        <item t="default"/>
      </items>
    </pivotField>
    <pivotField axis="axisRow" showAll="0">
      <items count="13">
        <item x="0"/>
        <item x="1"/>
        <item x="2"/>
        <item x="3"/>
        <item x="4"/>
        <item x="5"/>
        <item x="6"/>
        <item x="7"/>
        <item x="8"/>
        <item x="9"/>
        <item x="10"/>
        <item x="11"/>
        <item t="default"/>
      </items>
    </pivotField>
  </pivotFields>
  <rowFields count="3">
    <field x="7"/>
    <field x="1"/>
    <field x="6"/>
  </rowFields>
  <rowItems count="253">
    <i>
      <x/>
    </i>
    <i r="1">
      <x/>
    </i>
    <i r="2">
      <x/>
    </i>
    <i r="2">
      <x v="1"/>
    </i>
    <i r="2">
      <x v="2"/>
    </i>
    <i r="2">
      <x v="3"/>
    </i>
    <i r="1">
      <x v="1"/>
    </i>
    <i r="2">
      <x/>
    </i>
    <i r="2">
      <x v="1"/>
    </i>
    <i r="2">
      <x v="2"/>
    </i>
    <i r="2">
      <x v="3"/>
    </i>
    <i r="1">
      <x v="2"/>
    </i>
    <i r="2">
      <x/>
    </i>
    <i r="2">
      <x v="1"/>
    </i>
    <i r="2">
      <x v="2"/>
    </i>
    <i r="2">
      <x v="3"/>
    </i>
    <i r="1">
      <x v="3"/>
    </i>
    <i r="2">
      <x/>
    </i>
    <i r="2">
      <x v="1"/>
    </i>
    <i r="2">
      <x v="2"/>
    </i>
    <i r="2">
      <x v="3"/>
    </i>
    <i>
      <x v="1"/>
    </i>
    <i r="1">
      <x/>
    </i>
    <i r="2">
      <x/>
    </i>
    <i r="2">
      <x v="1"/>
    </i>
    <i r="2">
      <x v="2"/>
    </i>
    <i r="2">
      <x v="3"/>
    </i>
    <i r="1">
      <x v="1"/>
    </i>
    <i r="2">
      <x/>
    </i>
    <i r="2">
      <x v="1"/>
    </i>
    <i r="2">
      <x v="2"/>
    </i>
    <i r="2">
      <x v="3"/>
    </i>
    <i r="1">
      <x v="2"/>
    </i>
    <i r="2">
      <x/>
    </i>
    <i r="2">
      <x v="1"/>
    </i>
    <i r="2">
      <x v="2"/>
    </i>
    <i r="2">
      <x v="3"/>
    </i>
    <i r="1">
      <x v="3"/>
    </i>
    <i r="2">
      <x/>
    </i>
    <i r="2">
      <x v="1"/>
    </i>
    <i r="2">
      <x v="2"/>
    </i>
    <i r="2">
      <x v="3"/>
    </i>
    <i>
      <x v="2"/>
    </i>
    <i r="1">
      <x/>
    </i>
    <i r="2">
      <x/>
    </i>
    <i r="2">
      <x v="1"/>
    </i>
    <i r="2">
      <x v="2"/>
    </i>
    <i r="2">
      <x v="3"/>
    </i>
    <i r="1">
      <x v="1"/>
    </i>
    <i r="2">
      <x/>
    </i>
    <i r="2">
      <x v="1"/>
    </i>
    <i r="2">
      <x v="2"/>
    </i>
    <i r="2">
      <x v="3"/>
    </i>
    <i r="1">
      <x v="2"/>
    </i>
    <i r="2">
      <x/>
    </i>
    <i r="2">
      <x v="1"/>
    </i>
    <i r="2">
      <x v="2"/>
    </i>
    <i r="2">
      <x v="3"/>
    </i>
    <i r="1">
      <x v="3"/>
    </i>
    <i r="2">
      <x/>
    </i>
    <i r="2">
      <x v="1"/>
    </i>
    <i r="2">
      <x v="2"/>
    </i>
    <i r="2">
      <x v="3"/>
    </i>
    <i>
      <x v="3"/>
    </i>
    <i r="1">
      <x/>
    </i>
    <i r="2">
      <x/>
    </i>
    <i r="2">
      <x v="1"/>
    </i>
    <i r="2">
      <x v="2"/>
    </i>
    <i r="2">
      <x v="3"/>
    </i>
    <i r="1">
      <x v="1"/>
    </i>
    <i r="2">
      <x/>
    </i>
    <i r="2">
      <x v="1"/>
    </i>
    <i r="2">
      <x v="2"/>
    </i>
    <i r="2">
      <x v="3"/>
    </i>
    <i r="1">
      <x v="2"/>
    </i>
    <i r="2">
      <x/>
    </i>
    <i r="2">
      <x v="1"/>
    </i>
    <i r="2">
      <x v="2"/>
    </i>
    <i r="2">
      <x v="3"/>
    </i>
    <i r="1">
      <x v="3"/>
    </i>
    <i r="2">
      <x/>
    </i>
    <i r="2">
      <x v="1"/>
    </i>
    <i r="2">
      <x v="2"/>
    </i>
    <i r="2">
      <x v="3"/>
    </i>
    <i>
      <x v="4"/>
    </i>
    <i r="1">
      <x/>
    </i>
    <i r="2">
      <x/>
    </i>
    <i r="2">
      <x v="1"/>
    </i>
    <i r="2">
      <x v="2"/>
    </i>
    <i r="2">
      <x v="3"/>
    </i>
    <i r="1">
      <x v="1"/>
    </i>
    <i r="2">
      <x/>
    </i>
    <i r="2">
      <x v="1"/>
    </i>
    <i r="2">
      <x v="2"/>
    </i>
    <i r="2">
      <x v="3"/>
    </i>
    <i r="1">
      <x v="2"/>
    </i>
    <i r="2">
      <x/>
    </i>
    <i r="2">
      <x v="1"/>
    </i>
    <i r="2">
      <x v="2"/>
    </i>
    <i r="2">
      <x v="3"/>
    </i>
    <i r="1">
      <x v="3"/>
    </i>
    <i r="2">
      <x/>
    </i>
    <i r="2">
      <x v="1"/>
    </i>
    <i r="2">
      <x v="2"/>
    </i>
    <i r="2">
      <x v="3"/>
    </i>
    <i>
      <x v="5"/>
    </i>
    <i r="1">
      <x/>
    </i>
    <i r="2">
      <x/>
    </i>
    <i r="2">
      <x v="1"/>
    </i>
    <i r="2">
      <x v="2"/>
    </i>
    <i r="2">
      <x v="3"/>
    </i>
    <i r="1">
      <x v="1"/>
    </i>
    <i r="2">
      <x/>
    </i>
    <i r="2">
      <x v="1"/>
    </i>
    <i r="2">
      <x v="2"/>
    </i>
    <i r="2">
      <x v="3"/>
    </i>
    <i r="1">
      <x v="2"/>
    </i>
    <i r="2">
      <x/>
    </i>
    <i r="2">
      <x v="1"/>
    </i>
    <i r="2">
      <x v="2"/>
    </i>
    <i r="2">
      <x v="3"/>
    </i>
    <i r="1">
      <x v="3"/>
    </i>
    <i r="2">
      <x/>
    </i>
    <i r="2">
      <x v="1"/>
    </i>
    <i r="2">
      <x v="2"/>
    </i>
    <i r="2">
      <x v="3"/>
    </i>
    <i>
      <x v="6"/>
    </i>
    <i r="1">
      <x/>
    </i>
    <i r="2">
      <x/>
    </i>
    <i r="2">
      <x v="1"/>
    </i>
    <i r="2">
      <x v="2"/>
    </i>
    <i r="2">
      <x v="3"/>
    </i>
    <i r="1">
      <x v="1"/>
    </i>
    <i r="2">
      <x/>
    </i>
    <i r="2">
      <x v="1"/>
    </i>
    <i r="2">
      <x v="2"/>
    </i>
    <i r="2">
      <x v="3"/>
    </i>
    <i r="1">
      <x v="2"/>
    </i>
    <i r="2">
      <x/>
    </i>
    <i r="2">
      <x v="1"/>
    </i>
    <i r="2">
      <x v="2"/>
    </i>
    <i r="2">
      <x v="3"/>
    </i>
    <i r="1">
      <x v="3"/>
    </i>
    <i r="2">
      <x/>
    </i>
    <i r="2">
      <x v="1"/>
    </i>
    <i r="2">
      <x v="2"/>
    </i>
    <i r="2">
      <x v="3"/>
    </i>
    <i>
      <x v="7"/>
    </i>
    <i r="1">
      <x/>
    </i>
    <i r="2">
      <x/>
    </i>
    <i r="2">
      <x v="1"/>
    </i>
    <i r="2">
      <x v="2"/>
    </i>
    <i r="2">
      <x v="3"/>
    </i>
    <i r="1">
      <x v="1"/>
    </i>
    <i r="2">
      <x/>
    </i>
    <i r="2">
      <x v="1"/>
    </i>
    <i r="2">
      <x v="2"/>
    </i>
    <i r="2">
      <x v="3"/>
    </i>
    <i r="1">
      <x v="2"/>
    </i>
    <i r="2">
      <x/>
    </i>
    <i r="2">
      <x v="1"/>
    </i>
    <i r="2">
      <x v="2"/>
    </i>
    <i r="2">
      <x v="3"/>
    </i>
    <i r="1">
      <x v="3"/>
    </i>
    <i r="2">
      <x/>
    </i>
    <i r="2">
      <x v="1"/>
    </i>
    <i r="2">
      <x v="2"/>
    </i>
    <i r="2">
      <x v="3"/>
    </i>
    <i>
      <x v="8"/>
    </i>
    <i r="1">
      <x/>
    </i>
    <i r="2">
      <x/>
    </i>
    <i r="2">
      <x v="1"/>
    </i>
    <i r="2">
      <x v="2"/>
    </i>
    <i r="2">
      <x v="3"/>
    </i>
    <i r="1">
      <x v="1"/>
    </i>
    <i r="2">
      <x/>
    </i>
    <i r="2">
      <x v="1"/>
    </i>
    <i r="2">
      <x v="2"/>
    </i>
    <i r="2">
      <x v="3"/>
    </i>
    <i r="1">
      <x v="2"/>
    </i>
    <i r="2">
      <x/>
    </i>
    <i r="2">
      <x v="1"/>
    </i>
    <i r="2">
      <x v="2"/>
    </i>
    <i r="2">
      <x v="3"/>
    </i>
    <i r="1">
      <x v="3"/>
    </i>
    <i r="2">
      <x/>
    </i>
    <i r="2">
      <x v="1"/>
    </i>
    <i r="2">
      <x v="2"/>
    </i>
    <i r="2">
      <x v="3"/>
    </i>
    <i>
      <x v="9"/>
    </i>
    <i r="1">
      <x/>
    </i>
    <i r="2">
      <x/>
    </i>
    <i r="2">
      <x v="1"/>
    </i>
    <i r="2">
      <x v="2"/>
    </i>
    <i r="2">
      <x v="3"/>
    </i>
    <i r="1">
      <x v="1"/>
    </i>
    <i r="2">
      <x/>
    </i>
    <i r="2">
      <x v="1"/>
    </i>
    <i r="2">
      <x v="2"/>
    </i>
    <i r="2">
      <x v="3"/>
    </i>
    <i r="1">
      <x v="2"/>
    </i>
    <i r="2">
      <x/>
    </i>
    <i r="2">
      <x v="1"/>
    </i>
    <i r="2">
      <x v="2"/>
    </i>
    <i r="2">
      <x v="3"/>
    </i>
    <i r="1">
      <x v="3"/>
    </i>
    <i r="2">
      <x/>
    </i>
    <i r="2">
      <x v="1"/>
    </i>
    <i r="2">
      <x v="2"/>
    </i>
    <i r="2">
      <x v="3"/>
    </i>
    <i>
      <x v="10"/>
    </i>
    <i r="1">
      <x/>
    </i>
    <i r="2">
      <x/>
    </i>
    <i r="2">
      <x v="1"/>
    </i>
    <i r="2">
      <x v="2"/>
    </i>
    <i r="2">
      <x v="3"/>
    </i>
    <i r="1">
      <x v="1"/>
    </i>
    <i r="2">
      <x/>
    </i>
    <i r="2">
      <x v="1"/>
    </i>
    <i r="2">
      <x v="2"/>
    </i>
    <i r="2">
      <x v="3"/>
    </i>
    <i r="1">
      <x v="2"/>
    </i>
    <i r="2">
      <x/>
    </i>
    <i r="2">
      <x v="1"/>
    </i>
    <i r="2">
      <x v="2"/>
    </i>
    <i r="2">
      <x v="3"/>
    </i>
    <i r="1">
      <x v="3"/>
    </i>
    <i r="2">
      <x/>
    </i>
    <i r="2">
      <x v="1"/>
    </i>
    <i r="2">
      <x v="2"/>
    </i>
    <i r="2">
      <x v="3"/>
    </i>
    <i>
      <x v="11"/>
    </i>
    <i r="1">
      <x/>
    </i>
    <i r="2">
      <x/>
    </i>
    <i r="2">
      <x v="1"/>
    </i>
    <i r="2">
      <x v="2"/>
    </i>
    <i r="2">
      <x v="3"/>
    </i>
    <i r="1">
      <x v="1"/>
    </i>
    <i r="2">
      <x/>
    </i>
    <i r="2">
      <x v="1"/>
    </i>
    <i r="2">
      <x v="2"/>
    </i>
    <i r="2">
      <x v="3"/>
    </i>
    <i r="1">
      <x v="2"/>
    </i>
    <i r="2">
      <x/>
    </i>
    <i r="2">
      <x v="1"/>
    </i>
    <i r="2">
      <x v="2"/>
    </i>
    <i r="2">
      <x v="3"/>
    </i>
    <i r="1">
      <x v="3"/>
    </i>
    <i r="2">
      <x/>
    </i>
    <i r="2">
      <x v="1"/>
    </i>
    <i r="2">
      <x v="2"/>
    </i>
    <i r="2">
      <x v="3"/>
    </i>
    <i t="grand">
      <x/>
    </i>
  </rowItems>
  <colItems count="1">
    <i/>
  </colItems>
  <dataFields count="1">
    <dataField name="Sum of 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4E1E56-0002-44C1-BF1C-9945507EC970}" name="PivotTable2" cacheId="1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location ref="A1:F7" firstHeaderRow="1" firstDataRow="2" firstDataCol="1"/>
  <pivotFields count="7">
    <pivotField compact="0" outline="0" showAll="0"/>
    <pivotField axis="axisRow" compact="0" outline="0" showAll="0">
      <items count="5">
        <item x="3"/>
        <item x="0"/>
        <item x="2"/>
        <item x="1"/>
        <item t="default"/>
      </items>
    </pivotField>
    <pivotField axis="axisCol" compact="0" outline="0" showAll="0">
      <items count="5">
        <item x="0"/>
        <item x="3"/>
        <item x="1"/>
        <item x="2"/>
        <item t="default"/>
      </items>
    </pivotField>
    <pivotField compact="0" numFmtId="167" outline="0" showAll="0"/>
    <pivotField compact="0" numFmtId="167" outline="0" showAll="0"/>
    <pivotField dataField="1" compact="0" numFmtId="167" outline="0" showAll="0"/>
    <pivotField compact="0" numFmtId="165" outline="0" showAll="0"/>
  </pivotFields>
  <rowFields count="1">
    <field x="1"/>
  </rowFields>
  <rowItems count="5">
    <i>
      <x/>
    </i>
    <i>
      <x v="1"/>
    </i>
    <i>
      <x v="2"/>
    </i>
    <i>
      <x v="3"/>
    </i>
    <i t="grand">
      <x/>
    </i>
  </rowItems>
  <colFields count="1">
    <field x="2"/>
  </colFields>
  <colItems count="5">
    <i>
      <x/>
    </i>
    <i>
      <x v="1"/>
    </i>
    <i>
      <x v="2"/>
    </i>
    <i>
      <x v="3"/>
    </i>
    <i t="grand">
      <x/>
    </i>
  </colItems>
  <dataFields count="1">
    <dataField name="Sum of Variance $" fld="5" baseField="1" baseItem="0" numFmtId="44"/>
  </dataFields>
  <chartFormats count="4">
    <chartFormat chart="9" format="32" series="1">
      <pivotArea type="data" outline="0" fieldPosition="0">
        <references count="2">
          <reference field="4294967294" count="1" selected="0">
            <x v="0"/>
          </reference>
          <reference field="2" count="1" selected="0">
            <x v="0"/>
          </reference>
        </references>
      </pivotArea>
    </chartFormat>
    <chartFormat chart="9" format="33" series="1">
      <pivotArea type="data" outline="0" fieldPosition="0">
        <references count="2">
          <reference field="4294967294" count="1" selected="0">
            <x v="0"/>
          </reference>
          <reference field="2" count="1" selected="0">
            <x v="1"/>
          </reference>
        </references>
      </pivotArea>
    </chartFormat>
    <chartFormat chart="9" format="34" series="1">
      <pivotArea type="data" outline="0" fieldPosition="0">
        <references count="2">
          <reference field="4294967294" count="1" selected="0">
            <x v="0"/>
          </reference>
          <reference field="2" count="1" selected="0">
            <x v="2"/>
          </reference>
        </references>
      </pivotArea>
    </chartFormat>
    <chartFormat chart="9" format="35"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026AD5-C120-40D1-BDA5-D63832E946C6}"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7">
    <pivotField axis="axisRow" showAll="0">
      <items count="13">
        <item x="0"/>
        <item x="1"/>
        <item x="2"/>
        <item x="3"/>
        <item x="4"/>
        <item x="5"/>
        <item x="6"/>
        <item x="7"/>
        <item x="8"/>
        <item x="9"/>
        <item x="10"/>
        <item x="11"/>
        <item t="default"/>
      </items>
    </pivotField>
    <pivotField showAll="0"/>
    <pivotField showAll="0"/>
    <pivotField numFmtId="167" showAll="0"/>
    <pivotField dataField="1" numFmtId="167" showAll="0"/>
    <pivotField numFmtId="167" showAll="0"/>
    <pivotField numFmtId="165" showAll="0"/>
  </pivotFields>
  <rowFields count="1">
    <field x="0"/>
  </rowFields>
  <rowItems count="13">
    <i>
      <x/>
    </i>
    <i>
      <x v="1"/>
    </i>
    <i>
      <x v="2"/>
    </i>
    <i>
      <x v="3"/>
    </i>
    <i>
      <x v="4"/>
    </i>
    <i>
      <x v="5"/>
    </i>
    <i>
      <x v="6"/>
    </i>
    <i>
      <x v="7"/>
    </i>
    <i>
      <x v="8"/>
    </i>
    <i>
      <x v="9"/>
    </i>
    <i>
      <x v="10"/>
    </i>
    <i>
      <x v="11"/>
    </i>
    <i t="grand">
      <x/>
    </i>
  </rowItems>
  <colItems count="1">
    <i/>
  </colItems>
  <dataFields count="1">
    <dataField name="Sum of Actual Cost" fld="4" baseField="0" baseItem="0" numFmtId="167"/>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2286C468-6336-40F3-BC9A-FBB01B28440F}" autoFormatId="16" applyNumberFormats="0" applyBorderFormats="0" applyFontFormats="0" applyPatternFormats="0" applyAlignmentFormats="0" applyWidthHeightFormats="0">
  <queryTableRefresh nextId="5">
    <queryTableFields count="4">
      <queryTableField id="1" name="Month" tableColumnId="1"/>
      <queryTableField id="2" name="Department" tableColumnId="2"/>
      <queryTableField id="3" name="Cost Category" tableColumnId="3"/>
      <queryTableField id="4" name="Budgeted Cost"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34FE723B-3D40-491E-9C95-F3453D3B5281}" autoFormatId="16" applyNumberFormats="0" applyBorderFormats="0" applyFontFormats="0" applyPatternFormats="0" applyAlignmentFormats="0" applyWidthHeightFormats="0">
  <queryTableRefresh nextId="9" unboundColumnsRight="2">
    <queryTableFields count="8">
      <queryTableField id="1" name="Date" tableColumnId="1"/>
      <queryTableField id="2" name="Department" tableColumnId="2"/>
      <queryTableField id="3" name="GL Account" tableColumnId="3"/>
      <queryTableField id="4" name="Vendor" tableColumnId="4"/>
      <queryTableField id="5" name="Description" tableColumnId="5"/>
      <queryTableField id="6" name="Amount" tableColumnId="6"/>
      <queryTableField id="7" dataBound="0" tableColumnId="8"/>
      <queryTableField id="8" dataBound="0"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74B55C1A-9CB0-46C7-9AC1-9D828010FB7F}" autoFormatId="16" applyNumberFormats="0" applyBorderFormats="0" applyFontFormats="0" applyPatternFormats="0" applyAlignmentFormats="0" applyWidthHeightFormats="0">
  <queryTableRefresh nextId="4">
    <queryTableFields count="3">
      <queryTableField id="1" name="GL Account" tableColumnId="1"/>
      <queryTableField id="2" name="Account Name" tableColumnId="2"/>
      <queryTableField id="3" name="Cost Category"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3" xr16:uid="{EBABB8D5-1680-4610-A542-EBCD693A293C}" autoFormatId="16" applyNumberFormats="0" applyBorderFormats="0" applyFontFormats="0" applyPatternFormats="0" applyAlignmentFormats="0" applyWidthHeightFormats="0">
  <queryTableRefresh nextId="8" unboundColumnsRight="3">
    <queryTableFields count="7">
      <queryTableField id="1" name="Month" tableColumnId="1"/>
      <queryTableField id="2" name="Department" tableColumnId="2"/>
      <queryTableField id="3" name="Cost Category" tableColumnId="3"/>
      <queryTableField id="4" name="Budgeted Cost" tableColumnId="4"/>
      <queryTableField id="5" dataBound="0" tableColumnId="5"/>
      <queryTableField id="6" dataBound="0" tableColumnId="6"/>
      <queryTableField id="7" dataBound="0"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C6EBA8D-D7FF-413A-A393-0EA4BEAF1E04}" sourceName="Department">
  <pivotTables>
    <pivotTable tabId="6" name="PivotTable2"/>
  </pivotTables>
  <data>
    <tabular pivotCacheId="586310637">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898C7582-806E-4E37-9869-0A1B482009C4}" cache="Slicer_Department" caption="Department"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366C5F-A5B0-44A0-8355-5E5A8F5147BF}" name="tblBudget" displayName="tblBudget" ref="A1:D193" tableType="queryTable" totalsRowShown="0">
  <autoFilter ref="A1:D193" xr:uid="{54366C5F-A5B0-44A0-8355-5E5A8F5147BF}"/>
  <tableColumns count="4">
    <tableColumn id="1" xr3:uid="{3DEE745C-23A7-4540-97DE-80EA54DBF7BB}" uniqueName="1" name="Month" queryTableFieldId="1" dataDxfId="21"/>
    <tableColumn id="2" xr3:uid="{2ECD23E3-F688-4B26-8ABB-80154A97BB58}" uniqueName="2" name="Department" queryTableFieldId="2" dataDxfId="20"/>
    <tableColumn id="3" xr3:uid="{283674F4-3072-4399-8682-EBDA468D7EE3}" uniqueName="3" name="Cost Category" queryTableFieldId="3" dataDxfId="19"/>
    <tableColumn id="4" xr3:uid="{8743A794-C4A7-43DC-AB84-C4628F5C8E84}" uniqueName="4" name="Budgeted Cost" queryTableField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9133E3-4515-44B0-BFC9-1091493C43DC}" name="tblActuals" displayName="tblActuals" ref="A1:H1153" tableType="queryTable" totalsRowShown="0">
  <autoFilter ref="A1:H1153" xr:uid="{CE9133E3-4515-44B0-BFC9-1091493C43DC}"/>
  <tableColumns count="8">
    <tableColumn id="1" xr3:uid="{BF8A886A-671B-4670-B1EB-8F523A6C8AE1}" uniqueName="1" name="Date" queryTableFieldId="1" dataDxfId="18"/>
    <tableColumn id="2" xr3:uid="{F523AEA0-B8FA-4DC2-BCEE-3E02FE8D7888}" uniqueName="2" name="Department" queryTableFieldId="2" dataDxfId="17"/>
    <tableColumn id="3" xr3:uid="{D5F085F8-1F2C-43DE-89BE-BA7124CF4AD3}" uniqueName="3" name="GL Account" queryTableFieldId="3"/>
    <tableColumn id="4" xr3:uid="{A3E88FB6-62E2-4BF8-B59F-CCD457455061}" uniqueName="4" name="Vendor" queryTableFieldId="4" dataDxfId="16"/>
    <tableColumn id="5" xr3:uid="{DC610E1F-5088-4456-80F2-84526C46AF67}" uniqueName="5" name="Description" queryTableFieldId="5" dataDxfId="15"/>
    <tableColumn id="6" xr3:uid="{A0B7B39E-5191-4E74-B68C-AAB149118C31}" uniqueName="6" name="Amount" queryTableFieldId="6"/>
    <tableColumn id="8" xr3:uid="{63717274-A3F1-4368-9297-D96978D8BC64}" uniqueName="8" name="Cost Category" queryTableFieldId="7" dataDxfId="12">
      <calculatedColumnFormula>_xlfn.XLOOKUP(tblActuals[[#This Row],[GL Account]],tblGLMap[GL Account],tblGLMap[Cost Category])</calculatedColumnFormula>
    </tableColumn>
    <tableColumn id="9" xr3:uid="{F43D823F-198E-4D37-A1AB-3789B034E37C}" uniqueName="9" name="Month" queryTableFieldId="8" dataDxfId="11">
      <calculatedColumnFormula>TEXT(tblActuals[[#This Row],[Date]],"mmm")</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CD5EB7E-2728-4509-A651-075B57537908}" name="tblGLMap" displayName="tblGLMap" ref="A1:C9" tableType="queryTable" totalsRowShown="0">
  <autoFilter ref="A1:C9" xr:uid="{2CD5EB7E-2728-4509-A651-075B57537908}"/>
  <tableColumns count="3">
    <tableColumn id="1" xr3:uid="{AF594DF2-CB42-4551-B49E-72E63B3ECC6E}" uniqueName="1" name="GL Account" queryTableFieldId="1"/>
    <tableColumn id="2" xr3:uid="{C34A4595-51B6-4E6A-82CF-66F49F516CE7}" uniqueName="2" name="Account Name" queryTableFieldId="2" dataDxfId="14"/>
    <tableColumn id="3" xr3:uid="{2C8AA321-74B6-4091-9DB9-617FAD07C895}" uniqueName="3" name="Cost Category" queryTableFieldId="3" dataDxfId="1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2DA8687-4A86-45D9-B514-6E5D39C3EC20}" name="tblBudget5" displayName="tblBudget5" ref="A1:G193" tableType="queryTable" totalsRowShown="0">
  <autoFilter ref="A1:G193" xr:uid="{12DA8687-4A86-45D9-B514-6E5D39C3EC20}"/>
  <tableColumns count="7">
    <tableColumn id="1" xr3:uid="{86BDB177-5095-47DB-8583-6E5CBA5333A7}" uniqueName="1" name="Month" queryTableFieldId="1" dataDxfId="10"/>
    <tableColumn id="2" xr3:uid="{3E2668E9-C871-4C38-B2C6-A157F5FC0EAB}" uniqueName="2" name="Department" queryTableFieldId="2" dataDxfId="9"/>
    <tableColumn id="3" xr3:uid="{3CBD004C-0E83-4DB4-A4D7-947980BE758B}" uniqueName="3" name="Cost Category" queryTableFieldId="3" dataDxfId="8"/>
    <tableColumn id="4" xr3:uid="{9E257ADB-E288-456E-A66E-B800D58D1A04}" uniqueName="4" name="Budgeted Cost" queryTableFieldId="4" dataDxfId="7"/>
    <tableColumn id="5" xr3:uid="{5857EE32-6898-444F-B21B-2621596C635C}" uniqueName="5" name="Actual Cost" queryTableFieldId="5" dataDxfId="6">
      <calculatedColumnFormula>SUMIFS(tblActuals[Amount], tblActuals[Month], A2, tblActuals[Department], B2, tblActuals[Cost Category],C2)</calculatedColumnFormula>
    </tableColumn>
    <tableColumn id="6" xr3:uid="{8DAA7DC1-203C-48C3-BE74-39182144178E}" uniqueName="6" name="Variance $" queryTableFieldId="6" dataDxfId="4">
      <calculatedColumnFormula>tblBudget5[[#This Row],[Actual Cost]]-tblBudget5[[#This Row],[Budgeted Cost]]</calculatedColumnFormula>
    </tableColumn>
    <tableColumn id="7" xr3:uid="{3FAC6FDC-5D68-4415-883C-071FB875CF54}" uniqueName="7" name="Variance %" queryTableFieldId="7" dataDxfId="5" dataCellStyle="Percent">
      <calculatedColumnFormula>tblBudget5[[#This Row],[Variance $]]/tblBudget5[[#This Row],[Budgeted Cost]]</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06334-D0C9-46D1-A7A7-8C6937FEB66E}">
  <dimension ref="A1:D193"/>
  <sheetViews>
    <sheetView workbookViewId="0">
      <selection activeCell="E20" sqref="E20"/>
    </sheetView>
  </sheetViews>
  <sheetFormatPr defaultRowHeight="15" x14ac:dyDescent="0.25"/>
  <cols>
    <col min="1" max="1" width="9" bestFit="1" customWidth="1"/>
    <col min="2" max="2" width="21.42578125" bestFit="1" customWidth="1"/>
    <col min="3" max="3" width="21.7109375" bestFit="1" customWidth="1"/>
    <col min="4" max="4" width="16.7109375" bestFit="1" customWidth="1"/>
  </cols>
  <sheetData>
    <row r="1" spans="1:4" x14ac:dyDescent="0.25">
      <c r="A1" t="s">
        <v>0</v>
      </c>
      <c r="B1" t="s">
        <v>1</v>
      </c>
      <c r="C1" t="s">
        <v>2</v>
      </c>
      <c r="D1" t="s">
        <v>3</v>
      </c>
    </row>
    <row r="2" spans="1:4" x14ac:dyDescent="0.25">
      <c r="A2" s="1" t="s">
        <v>4</v>
      </c>
      <c r="B2" s="1" t="s">
        <v>5</v>
      </c>
      <c r="C2" s="1" t="s">
        <v>6</v>
      </c>
      <c r="D2">
        <v>76988</v>
      </c>
    </row>
    <row r="3" spans="1:4" x14ac:dyDescent="0.25">
      <c r="A3" s="1" t="s">
        <v>4</v>
      </c>
      <c r="B3" s="1" t="s">
        <v>5</v>
      </c>
      <c r="C3" s="1" t="s">
        <v>7</v>
      </c>
      <c r="D3">
        <v>18612</v>
      </c>
    </row>
    <row r="4" spans="1:4" x14ac:dyDescent="0.25">
      <c r="A4" s="1" t="s">
        <v>4</v>
      </c>
      <c r="B4" s="1" t="s">
        <v>5</v>
      </c>
      <c r="C4" s="1" t="s">
        <v>8</v>
      </c>
      <c r="D4">
        <v>11004</v>
      </c>
    </row>
    <row r="5" spans="1:4" x14ac:dyDescent="0.25">
      <c r="A5" s="1" t="s">
        <v>4</v>
      </c>
      <c r="B5" s="1" t="s">
        <v>5</v>
      </c>
      <c r="C5" s="1" t="s">
        <v>9</v>
      </c>
      <c r="D5">
        <v>16503</v>
      </c>
    </row>
    <row r="6" spans="1:4" x14ac:dyDescent="0.25">
      <c r="A6" s="1" t="s">
        <v>4</v>
      </c>
      <c r="B6" s="1" t="s">
        <v>10</v>
      </c>
      <c r="C6" s="1" t="s">
        <v>6</v>
      </c>
      <c r="D6">
        <v>54256</v>
      </c>
    </row>
    <row r="7" spans="1:4" x14ac:dyDescent="0.25">
      <c r="A7" s="1" t="s">
        <v>4</v>
      </c>
      <c r="B7" s="1" t="s">
        <v>10</v>
      </c>
      <c r="C7" s="1" t="s">
        <v>7</v>
      </c>
      <c r="D7">
        <v>14128</v>
      </c>
    </row>
    <row r="8" spans="1:4" x14ac:dyDescent="0.25">
      <c r="A8" s="1" t="s">
        <v>4</v>
      </c>
      <c r="B8" s="1" t="s">
        <v>10</v>
      </c>
      <c r="C8" s="1" t="s">
        <v>8</v>
      </c>
      <c r="D8">
        <v>8343</v>
      </c>
    </row>
    <row r="9" spans="1:4" x14ac:dyDescent="0.25">
      <c r="A9" s="1" t="s">
        <v>4</v>
      </c>
      <c r="B9" s="1" t="s">
        <v>10</v>
      </c>
      <c r="C9" s="1" t="s">
        <v>9</v>
      </c>
      <c r="D9">
        <v>10589</v>
      </c>
    </row>
    <row r="10" spans="1:4" x14ac:dyDescent="0.25">
      <c r="A10" s="1" t="s">
        <v>4</v>
      </c>
      <c r="B10" s="1" t="s">
        <v>11</v>
      </c>
      <c r="C10" s="1" t="s">
        <v>6</v>
      </c>
      <c r="D10">
        <v>83793</v>
      </c>
    </row>
    <row r="11" spans="1:4" x14ac:dyDescent="0.25">
      <c r="A11" s="1" t="s">
        <v>4</v>
      </c>
      <c r="B11" s="1" t="s">
        <v>11</v>
      </c>
      <c r="C11" s="1" t="s">
        <v>7</v>
      </c>
      <c r="D11">
        <v>23967</v>
      </c>
    </row>
    <row r="12" spans="1:4" x14ac:dyDescent="0.25">
      <c r="A12" s="1" t="s">
        <v>4</v>
      </c>
      <c r="B12" s="1" t="s">
        <v>11</v>
      </c>
      <c r="C12" s="1" t="s">
        <v>8</v>
      </c>
      <c r="D12">
        <v>12712</v>
      </c>
    </row>
    <row r="13" spans="1:4" x14ac:dyDescent="0.25">
      <c r="A13" s="1" t="s">
        <v>4</v>
      </c>
      <c r="B13" s="1" t="s">
        <v>11</v>
      </c>
      <c r="C13" s="1" t="s">
        <v>9</v>
      </c>
      <c r="D13">
        <v>20587</v>
      </c>
    </row>
    <row r="14" spans="1:4" x14ac:dyDescent="0.25">
      <c r="A14" s="1" t="s">
        <v>4</v>
      </c>
      <c r="B14" s="1" t="s">
        <v>12</v>
      </c>
      <c r="C14" s="1" t="s">
        <v>6</v>
      </c>
      <c r="D14">
        <v>68706</v>
      </c>
    </row>
    <row r="15" spans="1:4" x14ac:dyDescent="0.25">
      <c r="A15" s="1" t="s">
        <v>4</v>
      </c>
      <c r="B15" s="1" t="s">
        <v>12</v>
      </c>
      <c r="C15" s="1" t="s">
        <v>7</v>
      </c>
      <c r="D15">
        <v>16160</v>
      </c>
    </row>
    <row r="16" spans="1:4" x14ac:dyDescent="0.25">
      <c r="A16" s="1" t="s">
        <v>4</v>
      </c>
      <c r="B16" s="1" t="s">
        <v>12</v>
      </c>
      <c r="C16" s="1" t="s">
        <v>8</v>
      </c>
      <c r="D16">
        <v>9844</v>
      </c>
    </row>
    <row r="17" spans="1:4" x14ac:dyDescent="0.25">
      <c r="A17" s="1" t="s">
        <v>4</v>
      </c>
      <c r="B17" s="1" t="s">
        <v>12</v>
      </c>
      <c r="C17" s="1" t="s">
        <v>9</v>
      </c>
      <c r="D17">
        <v>13517</v>
      </c>
    </row>
    <row r="18" spans="1:4" x14ac:dyDescent="0.25">
      <c r="A18" s="1" t="s">
        <v>13</v>
      </c>
      <c r="B18" s="1" t="s">
        <v>5</v>
      </c>
      <c r="C18" s="1" t="s">
        <v>6</v>
      </c>
      <c r="D18">
        <v>73541</v>
      </c>
    </row>
    <row r="19" spans="1:4" x14ac:dyDescent="0.25">
      <c r="A19" s="1" t="s">
        <v>13</v>
      </c>
      <c r="B19" s="1" t="s">
        <v>5</v>
      </c>
      <c r="C19" s="1" t="s">
        <v>7</v>
      </c>
      <c r="D19">
        <v>19605</v>
      </c>
    </row>
    <row r="20" spans="1:4" x14ac:dyDescent="0.25">
      <c r="A20" s="1" t="s">
        <v>13</v>
      </c>
      <c r="B20" s="1" t="s">
        <v>5</v>
      </c>
      <c r="C20" s="1" t="s">
        <v>8</v>
      </c>
      <c r="D20">
        <v>14939</v>
      </c>
    </row>
    <row r="21" spans="1:4" x14ac:dyDescent="0.25">
      <c r="A21" s="1" t="s">
        <v>13</v>
      </c>
      <c r="B21" s="1" t="s">
        <v>5</v>
      </c>
      <c r="C21" s="1" t="s">
        <v>9</v>
      </c>
      <c r="D21">
        <v>19181</v>
      </c>
    </row>
    <row r="22" spans="1:4" x14ac:dyDescent="0.25">
      <c r="A22" s="1" t="s">
        <v>13</v>
      </c>
      <c r="B22" s="1" t="s">
        <v>10</v>
      </c>
      <c r="C22" s="1" t="s">
        <v>6</v>
      </c>
      <c r="D22">
        <v>52467</v>
      </c>
    </row>
    <row r="23" spans="1:4" x14ac:dyDescent="0.25">
      <c r="A23" s="1" t="s">
        <v>13</v>
      </c>
      <c r="B23" s="1" t="s">
        <v>10</v>
      </c>
      <c r="C23" s="1" t="s">
        <v>7</v>
      </c>
      <c r="D23">
        <v>16897</v>
      </c>
    </row>
    <row r="24" spans="1:4" x14ac:dyDescent="0.25">
      <c r="A24" s="1" t="s">
        <v>13</v>
      </c>
      <c r="B24" s="1" t="s">
        <v>10</v>
      </c>
      <c r="C24" s="1" t="s">
        <v>8</v>
      </c>
      <c r="D24">
        <v>8828</v>
      </c>
    </row>
    <row r="25" spans="1:4" x14ac:dyDescent="0.25">
      <c r="A25" s="1" t="s">
        <v>13</v>
      </c>
      <c r="B25" s="1" t="s">
        <v>10</v>
      </c>
      <c r="C25" s="1" t="s">
        <v>9</v>
      </c>
      <c r="D25">
        <v>15615</v>
      </c>
    </row>
    <row r="26" spans="1:4" x14ac:dyDescent="0.25">
      <c r="A26" s="1" t="s">
        <v>13</v>
      </c>
      <c r="B26" s="1" t="s">
        <v>11</v>
      </c>
      <c r="C26" s="1" t="s">
        <v>6</v>
      </c>
      <c r="D26">
        <v>83573</v>
      </c>
    </row>
    <row r="27" spans="1:4" x14ac:dyDescent="0.25">
      <c r="A27" s="1" t="s">
        <v>13</v>
      </c>
      <c r="B27" s="1" t="s">
        <v>11</v>
      </c>
      <c r="C27" s="1" t="s">
        <v>7</v>
      </c>
      <c r="D27">
        <v>25245</v>
      </c>
    </row>
    <row r="28" spans="1:4" x14ac:dyDescent="0.25">
      <c r="A28" s="1" t="s">
        <v>13</v>
      </c>
      <c r="B28" s="1" t="s">
        <v>11</v>
      </c>
      <c r="C28" s="1" t="s">
        <v>8</v>
      </c>
      <c r="D28">
        <v>16464</v>
      </c>
    </row>
    <row r="29" spans="1:4" x14ac:dyDescent="0.25">
      <c r="A29" s="1" t="s">
        <v>13</v>
      </c>
      <c r="B29" s="1" t="s">
        <v>11</v>
      </c>
      <c r="C29" s="1" t="s">
        <v>9</v>
      </c>
      <c r="D29">
        <v>19186</v>
      </c>
    </row>
    <row r="30" spans="1:4" x14ac:dyDescent="0.25">
      <c r="A30" s="1" t="s">
        <v>13</v>
      </c>
      <c r="B30" s="1" t="s">
        <v>12</v>
      </c>
      <c r="C30" s="1" t="s">
        <v>6</v>
      </c>
      <c r="D30">
        <v>67055</v>
      </c>
    </row>
    <row r="31" spans="1:4" x14ac:dyDescent="0.25">
      <c r="A31" s="1" t="s">
        <v>13</v>
      </c>
      <c r="B31" s="1" t="s">
        <v>12</v>
      </c>
      <c r="C31" s="1" t="s">
        <v>7</v>
      </c>
      <c r="D31">
        <v>19579</v>
      </c>
    </row>
    <row r="32" spans="1:4" x14ac:dyDescent="0.25">
      <c r="A32" s="1" t="s">
        <v>13</v>
      </c>
      <c r="B32" s="1" t="s">
        <v>12</v>
      </c>
      <c r="C32" s="1" t="s">
        <v>8</v>
      </c>
      <c r="D32">
        <v>14427</v>
      </c>
    </row>
    <row r="33" spans="1:4" x14ac:dyDescent="0.25">
      <c r="A33" s="1" t="s">
        <v>13</v>
      </c>
      <c r="B33" s="1" t="s">
        <v>12</v>
      </c>
      <c r="C33" s="1" t="s">
        <v>9</v>
      </c>
      <c r="D33">
        <v>15028</v>
      </c>
    </row>
    <row r="34" spans="1:4" x14ac:dyDescent="0.25">
      <c r="A34" s="1" t="s">
        <v>14</v>
      </c>
      <c r="B34" s="1" t="s">
        <v>5</v>
      </c>
      <c r="C34" s="1" t="s">
        <v>6</v>
      </c>
      <c r="D34">
        <v>71803</v>
      </c>
    </row>
    <row r="35" spans="1:4" x14ac:dyDescent="0.25">
      <c r="A35" s="1" t="s">
        <v>14</v>
      </c>
      <c r="B35" s="1" t="s">
        <v>5</v>
      </c>
      <c r="C35" s="1" t="s">
        <v>7</v>
      </c>
      <c r="D35">
        <v>19007</v>
      </c>
    </row>
    <row r="36" spans="1:4" x14ac:dyDescent="0.25">
      <c r="A36" s="1" t="s">
        <v>14</v>
      </c>
      <c r="B36" s="1" t="s">
        <v>5</v>
      </c>
      <c r="C36" s="1" t="s">
        <v>8</v>
      </c>
      <c r="D36">
        <v>16519</v>
      </c>
    </row>
    <row r="37" spans="1:4" x14ac:dyDescent="0.25">
      <c r="A37" s="1" t="s">
        <v>14</v>
      </c>
      <c r="B37" s="1" t="s">
        <v>5</v>
      </c>
      <c r="C37" s="1" t="s">
        <v>9</v>
      </c>
      <c r="D37">
        <v>17712</v>
      </c>
    </row>
    <row r="38" spans="1:4" x14ac:dyDescent="0.25">
      <c r="A38" s="1" t="s">
        <v>14</v>
      </c>
      <c r="B38" s="1" t="s">
        <v>10</v>
      </c>
      <c r="C38" s="1" t="s">
        <v>6</v>
      </c>
      <c r="D38">
        <v>55037</v>
      </c>
    </row>
    <row r="39" spans="1:4" x14ac:dyDescent="0.25">
      <c r="A39" s="1" t="s">
        <v>14</v>
      </c>
      <c r="B39" s="1" t="s">
        <v>10</v>
      </c>
      <c r="C39" s="1" t="s">
        <v>7</v>
      </c>
      <c r="D39">
        <v>14576</v>
      </c>
    </row>
    <row r="40" spans="1:4" x14ac:dyDescent="0.25">
      <c r="A40" s="1" t="s">
        <v>14</v>
      </c>
      <c r="B40" s="1" t="s">
        <v>10</v>
      </c>
      <c r="C40" s="1" t="s">
        <v>8</v>
      </c>
      <c r="D40">
        <v>8473</v>
      </c>
    </row>
    <row r="41" spans="1:4" x14ac:dyDescent="0.25">
      <c r="A41" s="1" t="s">
        <v>14</v>
      </c>
      <c r="B41" s="1" t="s">
        <v>10</v>
      </c>
      <c r="C41" s="1" t="s">
        <v>9</v>
      </c>
      <c r="D41">
        <v>11513</v>
      </c>
    </row>
    <row r="42" spans="1:4" x14ac:dyDescent="0.25">
      <c r="A42" s="1" t="s">
        <v>14</v>
      </c>
      <c r="B42" s="1" t="s">
        <v>11</v>
      </c>
      <c r="C42" s="1" t="s">
        <v>6</v>
      </c>
      <c r="D42">
        <v>81007</v>
      </c>
    </row>
    <row r="43" spans="1:4" x14ac:dyDescent="0.25">
      <c r="A43" s="1" t="s">
        <v>14</v>
      </c>
      <c r="B43" s="1" t="s">
        <v>11</v>
      </c>
      <c r="C43" s="1" t="s">
        <v>7</v>
      </c>
      <c r="D43">
        <v>20337</v>
      </c>
    </row>
    <row r="44" spans="1:4" x14ac:dyDescent="0.25">
      <c r="A44" s="1" t="s">
        <v>14</v>
      </c>
      <c r="B44" s="1" t="s">
        <v>11</v>
      </c>
      <c r="C44" s="1" t="s">
        <v>8</v>
      </c>
      <c r="D44">
        <v>12759</v>
      </c>
    </row>
    <row r="45" spans="1:4" x14ac:dyDescent="0.25">
      <c r="A45" s="1" t="s">
        <v>14</v>
      </c>
      <c r="B45" s="1" t="s">
        <v>11</v>
      </c>
      <c r="C45" s="1" t="s">
        <v>9</v>
      </c>
      <c r="D45">
        <v>18862</v>
      </c>
    </row>
    <row r="46" spans="1:4" x14ac:dyDescent="0.25">
      <c r="A46" s="1" t="s">
        <v>14</v>
      </c>
      <c r="B46" s="1" t="s">
        <v>12</v>
      </c>
      <c r="C46" s="1" t="s">
        <v>6</v>
      </c>
      <c r="D46">
        <v>66042</v>
      </c>
    </row>
    <row r="47" spans="1:4" x14ac:dyDescent="0.25">
      <c r="A47" s="1" t="s">
        <v>14</v>
      </c>
      <c r="B47" s="1" t="s">
        <v>12</v>
      </c>
      <c r="C47" s="1" t="s">
        <v>7</v>
      </c>
      <c r="D47">
        <v>18840</v>
      </c>
    </row>
    <row r="48" spans="1:4" x14ac:dyDescent="0.25">
      <c r="A48" s="1" t="s">
        <v>14</v>
      </c>
      <c r="B48" s="1" t="s">
        <v>12</v>
      </c>
      <c r="C48" s="1" t="s">
        <v>8</v>
      </c>
      <c r="D48">
        <v>12417</v>
      </c>
    </row>
    <row r="49" spans="1:4" x14ac:dyDescent="0.25">
      <c r="A49" s="1" t="s">
        <v>14</v>
      </c>
      <c r="B49" s="1" t="s">
        <v>12</v>
      </c>
      <c r="C49" s="1" t="s">
        <v>9</v>
      </c>
      <c r="D49">
        <v>17695</v>
      </c>
    </row>
    <row r="50" spans="1:4" x14ac:dyDescent="0.25">
      <c r="A50" s="1" t="s">
        <v>15</v>
      </c>
      <c r="B50" s="1" t="s">
        <v>5</v>
      </c>
      <c r="C50" s="1" t="s">
        <v>6</v>
      </c>
      <c r="D50">
        <v>73916</v>
      </c>
    </row>
    <row r="51" spans="1:4" x14ac:dyDescent="0.25">
      <c r="A51" s="1" t="s">
        <v>15</v>
      </c>
      <c r="B51" s="1" t="s">
        <v>5</v>
      </c>
      <c r="C51" s="1" t="s">
        <v>7</v>
      </c>
      <c r="D51">
        <v>18055</v>
      </c>
    </row>
    <row r="52" spans="1:4" x14ac:dyDescent="0.25">
      <c r="A52" s="1" t="s">
        <v>15</v>
      </c>
      <c r="B52" s="1" t="s">
        <v>5</v>
      </c>
      <c r="C52" s="1" t="s">
        <v>8</v>
      </c>
      <c r="D52">
        <v>16777</v>
      </c>
    </row>
    <row r="53" spans="1:4" x14ac:dyDescent="0.25">
      <c r="A53" s="1" t="s">
        <v>15</v>
      </c>
      <c r="B53" s="1" t="s">
        <v>5</v>
      </c>
      <c r="C53" s="1" t="s">
        <v>9</v>
      </c>
      <c r="D53">
        <v>18013</v>
      </c>
    </row>
    <row r="54" spans="1:4" x14ac:dyDescent="0.25">
      <c r="A54" s="1" t="s">
        <v>15</v>
      </c>
      <c r="B54" s="1" t="s">
        <v>10</v>
      </c>
      <c r="C54" s="1" t="s">
        <v>6</v>
      </c>
      <c r="D54">
        <v>56642</v>
      </c>
    </row>
    <row r="55" spans="1:4" x14ac:dyDescent="0.25">
      <c r="A55" s="1" t="s">
        <v>15</v>
      </c>
      <c r="B55" s="1" t="s">
        <v>10</v>
      </c>
      <c r="C55" s="1" t="s">
        <v>7</v>
      </c>
      <c r="D55">
        <v>13322</v>
      </c>
    </row>
    <row r="56" spans="1:4" x14ac:dyDescent="0.25">
      <c r="A56" s="1" t="s">
        <v>15</v>
      </c>
      <c r="B56" s="1" t="s">
        <v>10</v>
      </c>
      <c r="C56" s="1" t="s">
        <v>8</v>
      </c>
      <c r="D56">
        <v>10300</v>
      </c>
    </row>
    <row r="57" spans="1:4" x14ac:dyDescent="0.25">
      <c r="A57" s="1" t="s">
        <v>15</v>
      </c>
      <c r="B57" s="1" t="s">
        <v>10</v>
      </c>
      <c r="C57" s="1" t="s">
        <v>9</v>
      </c>
      <c r="D57">
        <v>10395</v>
      </c>
    </row>
    <row r="58" spans="1:4" x14ac:dyDescent="0.25">
      <c r="A58" s="1" t="s">
        <v>15</v>
      </c>
      <c r="B58" s="1" t="s">
        <v>11</v>
      </c>
      <c r="C58" s="1" t="s">
        <v>6</v>
      </c>
      <c r="D58">
        <v>82772</v>
      </c>
    </row>
    <row r="59" spans="1:4" x14ac:dyDescent="0.25">
      <c r="A59" s="1" t="s">
        <v>15</v>
      </c>
      <c r="B59" s="1" t="s">
        <v>11</v>
      </c>
      <c r="C59" s="1" t="s">
        <v>7</v>
      </c>
      <c r="D59">
        <v>21901</v>
      </c>
    </row>
    <row r="60" spans="1:4" x14ac:dyDescent="0.25">
      <c r="A60" s="1" t="s">
        <v>15</v>
      </c>
      <c r="B60" s="1" t="s">
        <v>11</v>
      </c>
      <c r="C60" s="1" t="s">
        <v>8</v>
      </c>
      <c r="D60">
        <v>17149</v>
      </c>
    </row>
    <row r="61" spans="1:4" x14ac:dyDescent="0.25">
      <c r="A61" s="1" t="s">
        <v>15</v>
      </c>
      <c r="B61" s="1" t="s">
        <v>11</v>
      </c>
      <c r="C61" s="1" t="s">
        <v>9</v>
      </c>
      <c r="D61">
        <v>20816</v>
      </c>
    </row>
    <row r="62" spans="1:4" x14ac:dyDescent="0.25">
      <c r="A62" s="1" t="s">
        <v>15</v>
      </c>
      <c r="B62" s="1" t="s">
        <v>12</v>
      </c>
      <c r="C62" s="1" t="s">
        <v>6</v>
      </c>
      <c r="D62">
        <v>68212</v>
      </c>
    </row>
    <row r="63" spans="1:4" x14ac:dyDescent="0.25">
      <c r="A63" s="1" t="s">
        <v>15</v>
      </c>
      <c r="B63" s="1" t="s">
        <v>12</v>
      </c>
      <c r="C63" s="1" t="s">
        <v>7</v>
      </c>
      <c r="D63">
        <v>20629</v>
      </c>
    </row>
    <row r="64" spans="1:4" x14ac:dyDescent="0.25">
      <c r="A64" s="1" t="s">
        <v>15</v>
      </c>
      <c r="B64" s="1" t="s">
        <v>12</v>
      </c>
      <c r="C64" s="1" t="s">
        <v>8</v>
      </c>
      <c r="D64">
        <v>11175</v>
      </c>
    </row>
    <row r="65" spans="1:4" x14ac:dyDescent="0.25">
      <c r="A65" s="1" t="s">
        <v>15</v>
      </c>
      <c r="B65" s="1" t="s">
        <v>12</v>
      </c>
      <c r="C65" s="1" t="s">
        <v>9</v>
      </c>
      <c r="D65">
        <v>18521</v>
      </c>
    </row>
    <row r="66" spans="1:4" x14ac:dyDescent="0.25">
      <c r="A66" s="1" t="s">
        <v>16</v>
      </c>
      <c r="B66" s="1" t="s">
        <v>5</v>
      </c>
      <c r="C66" s="1" t="s">
        <v>6</v>
      </c>
      <c r="D66">
        <v>72319</v>
      </c>
    </row>
    <row r="67" spans="1:4" x14ac:dyDescent="0.25">
      <c r="A67" s="1" t="s">
        <v>16</v>
      </c>
      <c r="B67" s="1" t="s">
        <v>5</v>
      </c>
      <c r="C67" s="1" t="s">
        <v>7</v>
      </c>
      <c r="D67">
        <v>18075</v>
      </c>
    </row>
    <row r="68" spans="1:4" x14ac:dyDescent="0.25">
      <c r="A68" s="1" t="s">
        <v>16</v>
      </c>
      <c r="B68" s="1" t="s">
        <v>5</v>
      </c>
      <c r="C68" s="1" t="s">
        <v>8</v>
      </c>
      <c r="D68">
        <v>16217</v>
      </c>
    </row>
    <row r="69" spans="1:4" x14ac:dyDescent="0.25">
      <c r="A69" s="1" t="s">
        <v>16</v>
      </c>
      <c r="B69" s="1" t="s">
        <v>5</v>
      </c>
      <c r="C69" s="1" t="s">
        <v>9</v>
      </c>
      <c r="D69">
        <v>16116</v>
      </c>
    </row>
    <row r="70" spans="1:4" x14ac:dyDescent="0.25">
      <c r="A70" s="1" t="s">
        <v>16</v>
      </c>
      <c r="B70" s="1" t="s">
        <v>10</v>
      </c>
      <c r="C70" s="1" t="s">
        <v>6</v>
      </c>
      <c r="D70">
        <v>54620</v>
      </c>
    </row>
    <row r="71" spans="1:4" x14ac:dyDescent="0.25">
      <c r="A71" s="1" t="s">
        <v>16</v>
      </c>
      <c r="B71" s="1" t="s">
        <v>10</v>
      </c>
      <c r="C71" s="1" t="s">
        <v>7</v>
      </c>
      <c r="D71">
        <v>12953</v>
      </c>
    </row>
    <row r="72" spans="1:4" x14ac:dyDescent="0.25">
      <c r="A72" s="1" t="s">
        <v>16</v>
      </c>
      <c r="B72" s="1" t="s">
        <v>10</v>
      </c>
      <c r="C72" s="1" t="s">
        <v>8</v>
      </c>
      <c r="D72">
        <v>9107</v>
      </c>
    </row>
    <row r="73" spans="1:4" x14ac:dyDescent="0.25">
      <c r="A73" s="1" t="s">
        <v>16</v>
      </c>
      <c r="B73" s="1" t="s">
        <v>10</v>
      </c>
      <c r="C73" s="1" t="s">
        <v>9</v>
      </c>
      <c r="D73">
        <v>10577</v>
      </c>
    </row>
    <row r="74" spans="1:4" x14ac:dyDescent="0.25">
      <c r="A74" s="1" t="s">
        <v>16</v>
      </c>
      <c r="B74" s="1" t="s">
        <v>11</v>
      </c>
      <c r="C74" s="1" t="s">
        <v>6</v>
      </c>
      <c r="D74">
        <v>81363</v>
      </c>
    </row>
    <row r="75" spans="1:4" x14ac:dyDescent="0.25">
      <c r="A75" s="1" t="s">
        <v>16</v>
      </c>
      <c r="B75" s="1" t="s">
        <v>11</v>
      </c>
      <c r="C75" s="1" t="s">
        <v>7</v>
      </c>
      <c r="D75">
        <v>21777</v>
      </c>
    </row>
    <row r="76" spans="1:4" x14ac:dyDescent="0.25">
      <c r="A76" s="1" t="s">
        <v>16</v>
      </c>
      <c r="B76" s="1" t="s">
        <v>11</v>
      </c>
      <c r="C76" s="1" t="s">
        <v>8</v>
      </c>
      <c r="D76">
        <v>15714</v>
      </c>
    </row>
    <row r="77" spans="1:4" x14ac:dyDescent="0.25">
      <c r="A77" s="1" t="s">
        <v>16</v>
      </c>
      <c r="B77" s="1" t="s">
        <v>11</v>
      </c>
      <c r="C77" s="1" t="s">
        <v>9</v>
      </c>
      <c r="D77">
        <v>20957</v>
      </c>
    </row>
    <row r="78" spans="1:4" x14ac:dyDescent="0.25">
      <c r="A78" s="1" t="s">
        <v>16</v>
      </c>
      <c r="B78" s="1" t="s">
        <v>12</v>
      </c>
      <c r="C78" s="1" t="s">
        <v>6</v>
      </c>
      <c r="D78">
        <v>68238</v>
      </c>
    </row>
    <row r="79" spans="1:4" x14ac:dyDescent="0.25">
      <c r="A79" s="1" t="s">
        <v>16</v>
      </c>
      <c r="B79" s="1" t="s">
        <v>12</v>
      </c>
      <c r="C79" s="1" t="s">
        <v>7</v>
      </c>
      <c r="D79">
        <v>17232</v>
      </c>
    </row>
    <row r="80" spans="1:4" x14ac:dyDescent="0.25">
      <c r="A80" s="1" t="s">
        <v>16</v>
      </c>
      <c r="B80" s="1" t="s">
        <v>12</v>
      </c>
      <c r="C80" s="1" t="s">
        <v>8</v>
      </c>
      <c r="D80">
        <v>12632</v>
      </c>
    </row>
    <row r="81" spans="1:4" x14ac:dyDescent="0.25">
      <c r="A81" s="1" t="s">
        <v>16</v>
      </c>
      <c r="B81" s="1" t="s">
        <v>12</v>
      </c>
      <c r="C81" s="1" t="s">
        <v>9</v>
      </c>
      <c r="D81">
        <v>15660</v>
      </c>
    </row>
    <row r="82" spans="1:4" x14ac:dyDescent="0.25">
      <c r="A82" s="1" t="s">
        <v>17</v>
      </c>
      <c r="B82" s="1" t="s">
        <v>5</v>
      </c>
      <c r="C82" s="1" t="s">
        <v>6</v>
      </c>
      <c r="D82">
        <v>73466</v>
      </c>
    </row>
    <row r="83" spans="1:4" x14ac:dyDescent="0.25">
      <c r="A83" s="1" t="s">
        <v>17</v>
      </c>
      <c r="B83" s="1" t="s">
        <v>5</v>
      </c>
      <c r="C83" s="1" t="s">
        <v>7</v>
      </c>
      <c r="D83">
        <v>23190</v>
      </c>
    </row>
    <row r="84" spans="1:4" x14ac:dyDescent="0.25">
      <c r="A84" s="1" t="s">
        <v>17</v>
      </c>
      <c r="B84" s="1" t="s">
        <v>5</v>
      </c>
      <c r="C84" s="1" t="s">
        <v>8</v>
      </c>
      <c r="D84">
        <v>12987</v>
      </c>
    </row>
    <row r="85" spans="1:4" x14ac:dyDescent="0.25">
      <c r="A85" s="1" t="s">
        <v>17</v>
      </c>
      <c r="B85" s="1" t="s">
        <v>5</v>
      </c>
      <c r="C85" s="1" t="s">
        <v>9</v>
      </c>
      <c r="D85">
        <v>19999</v>
      </c>
    </row>
    <row r="86" spans="1:4" x14ac:dyDescent="0.25">
      <c r="A86" s="1" t="s">
        <v>17</v>
      </c>
      <c r="B86" s="1" t="s">
        <v>10</v>
      </c>
      <c r="C86" s="1" t="s">
        <v>6</v>
      </c>
      <c r="D86">
        <v>57849</v>
      </c>
    </row>
    <row r="87" spans="1:4" x14ac:dyDescent="0.25">
      <c r="A87" s="1" t="s">
        <v>17</v>
      </c>
      <c r="B87" s="1" t="s">
        <v>10</v>
      </c>
      <c r="C87" s="1" t="s">
        <v>7</v>
      </c>
      <c r="D87">
        <v>17608</v>
      </c>
    </row>
    <row r="88" spans="1:4" x14ac:dyDescent="0.25">
      <c r="A88" s="1" t="s">
        <v>17</v>
      </c>
      <c r="B88" s="1" t="s">
        <v>10</v>
      </c>
      <c r="C88" s="1" t="s">
        <v>8</v>
      </c>
      <c r="D88">
        <v>7784</v>
      </c>
    </row>
    <row r="89" spans="1:4" x14ac:dyDescent="0.25">
      <c r="A89" s="1" t="s">
        <v>17</v>
      </c>
      <c r="B89" s="1" t="s">
        <v>10</v>
      </c>
      <c r="C89" s="1" t="s">
        <v>9</v>
      </c>
      <c r="D89">
        <v>14740</v>
      </c>
    </row>
    <row r="90" spans="1:4" x14ac:dyDescent="0.25">
      <c r="A90" s="1" t="s">
        <v>17</v>
      </c>
      <c r="B90" s="1" t="s">
        <v>11</v>
      </c>
      <c r="C90" s="1" t="s">
        <v>6</v>
      </c>
      <c r="D90">
        <v>83451</v>
      </c>
    </row>
    <row r="91" spans="1:4" x14ac:dyDescent="0.25">
      <c r="A91" s="1" t="s">
        <v>17</v>
      </c>
      <c r="B91" s="1" t="s">
        <v>11</v>
      </c>
      <c r="C91" s="1" t="s">
        <v>7</v>
      </c>
      <c r="D91">
        <v>20901</v>
      </c>
    </row>
    <row r="92" spans="1:4" x14ac:dyDescent="0.25">
      <c r="A92" s="1" t="s">
        <v>17</v>
      </c>
      <c r="B92" s="1" t="s">
        <v>11</v>
      </c>
      <c r="C92" s="1" t="s">
        <v>8</v>
      </c>
      <c r="D92">
        <v>16375</v>
      </c>
    </row>
    <row r="93" spans="1:4" x14ac:dyDescent="0.25">
      <c r="A93" s="1" t="s">
        <v>17</v>
      </c>
      <c r="B93" s="1" t="s">
        <v>11</v>
      </c>
      <c r="C93" s="1" t="s">
        <v>9</v>
      </c>
      <c r="D93">
        <v>21723</v>
      </c>
    </row>
    <row r="94" spans="1:4" x14ac:dyDescent="0.25">
      <c r="A94" s="1" t="s">
        <v>17</v>
      </c>
      <c r="B94" s="1" t="s">
        <v>12</v>
      </c>
      <c r="C94" s="1" t="s">
        <v>6</v>
      </c>
      <c r="D94">
        <v>67255</v>
      </c>
    </row>
    <row r="95" spans="1:4" x14ac:dyDescent="0.25">
      <c r="A95" s="1" t="s">
        <v>17</v>
      </c>
      <c r="B95" s="1" t="s">
        <v>12</v>
      </c>
      <c r="C95" s="1" t="s">
        <v>7</v>
      </c>
      <c r="D95">
        <v>17238</v>
      </c>
    </row>
    <row r="96" spans="1:4" x14ac:dyDescent="0.25">
      <c r="A96" s="1" t="s">
        <v>17</v>
      </c>
      <c r="B96" s="1" t="s">
        <v>12</v>
      </c>
      <c r="C96" s="1" t="s">
        <v>8</v>
      </c>
      <c r="D96">
        <v>13386</v>
      </c>
    </row>
    <row r="97" spans="1:4" x14ac:dyDescent="0.25">
      <c r="A97" s="1" t="s">
        <v>17</v>
      </c>
      <c r="B97" s="1" t="s">
        <v>12</v>
      </c>
      <c r="C97" s="1" t="s">
        <v>9</v>
      </c>
      <c r="D97">
        <v>15858</v>
      </c>
    </row>
    <row r="98" spans="1:4" x14ac:dyDescent="0.25">
      <c r="A98" s="1" t="s">
        <v>18</v>
      </c>
      <c r="B98" s="1" t="s">
        <v>5</v>
      </c>
      <c r="C98" s="1" t="s">
        <v>6</v>
      </c>
      <c r="D98">
        <v>73961</v>
      </c>
    </row>
    <row r="99" spans="1:4" x14ac:dyDescent="0.25">
      <c r="A99" s="1" t="s">
        <v>18</v>
      </c>
      <c r="B99" s="1" t="s">
        <v>5</v>
      </c>
      <c r="C99" s="1" t="s">
        <v>7</v>
      </c>
      <c r="D99">
        <v>22942</v>
      </c>
    </row>
    <row r="100" spans="1:4" x14ac:dyDescent="0.25">
      <c r="A100" s="1" t="s">
        <v>18</v>
      </c>
      <c r="B100" s="1" t="s">
        <v>5</v>
      </c>
      <c r="C100" s="1" t="s">
        <v>8</v>
      </c>
      <c r="D100">
        <v>16437</v>
      </c>
    </row>
    <row r="101" spans="1:4" x14ac:dyDescent="0.25">
      <c r="A101" s="1" t="s">
        <v>18</v>
      </c>
      <c r="B101" s="1" t="s">
        <v>5</v>
      </c>
      <c r="C101" s="1" t="s">
        <v>9</v>
      </c>
      <c r="D101">
        <v>18812</v>
      </c>
    </row>
    <row r="102" spans="1:4" x14ac:dyDescent="0.25">
      <c r="A102" s="1" t="s">
        <v>18</v>
      </c>
      <c r="B102" s="1" t="s">
        <v>10</v>
      </c>
      <c r="C102" s="1" t="s">
        <v>6</v>
      </c>
      <c r="D102">
        <v>54049</v>
      </c>
    </row>
    <row r="103" spans="1:4" x14ac:dyDescent="0.25">
      <c r="A103" s="1" t="s">
        <v>18</v>
      </c>
      <c r="B103" s="1" t="s">
        <v>10</v>
      </c>
      <c r="C103" s="1" t="s">
        <v>7</v>
      </c>
      <c r="D103">
        <v>17908</v>
      </c>
    </row>
    <row r="104" spans="1:4" x14ac:dyDescent="0.25">
      <c r="A104" s="1" t="s">
        <v>18</v>
      </c>
      <c r="B104" s="1" t="s">
        <v>10</v>
      </c>
      <c r="C104" s="1" t="s">
        <v>8</v>
      </c>
      <c r="D104">
        <v>9856</v>
      </c>
    </row>
    <row r="105" spans="1:4" x14ac:dyDescent="0.25">
      <c r="A105" s="1" t="s">
        <v>18</v>
      </c>
      <c r="B105" s="1" t="s">
        <v>10</v>
      </c>
      <c r="C105" s="1" t="s">
        <v>9</v>
      </c>
      <c r="D105">
        <v>10208</v>
      </c>
    </row>
    <row r="106" spans="1:4" x14ac:dyDescent="0.25">
      <c r="A106" s="1" t="s">
        <v>18</v>
      </c>
      <c r="B106" s="1" t="s">
        <v>11</v>
      </c>
      <c r="C106" s="1" t="s">
        <v>6</v>
      </c>
      <c r="D106">
        <v>80126</v>
      </c>
    </row>
    <row r="107" spans="1:4" x14ac:dyDescent="0.25">
      <c r="A107" s="1" t="s">
        <v>18</v>
      </c>
      <c r="B107" s="1" t="s">
        <v>11</v>
      </c>
      <c r="C107" s="1" t="s">
        <v>7</v>
      </c>
      <c r="D107">
        <v>19762</v>
      </c>
    </row>
    <row r="108" spans="1:4" x14ac:dyDescent="0.25">
      <c r="A108" s="1" t="s">
        <v>18</v>
      </c>
      <c r="B108" s="1" t="s">
        <v>11</v>
      </c>
      <c r="C108" s="1" t="s">
        <v>8</v>
      </c>
      <c r="D108">
        <v>14584</v>
      </c>
    </row>
    <row r="109" spans="1:4" x14ac:dyDescent="0.25">
      <c r="A109" s="1" t="s">
        <v>18</v>
      </c>
      <c r="B109" s="1" t="s">
        <v>11</v>
      </c>
      <c r="C109" s="1" t="s">
        <v>9</v>
      </c>
      <c r="D109">
        <v>19036</v>
      </c>
    </row>
    <row r="110" spans="1:4" x14ac:dyDescent="0.25">
      <c r="A110" s="1" t="s">
        <v>18</v>
      </c>
      <c r="B110" s="1" t="s">
        <v>12</v>
      </c>
      <c r="C110" s="1" t="s">
        <v>6</v>
      </c>
      <c r="D110">
        <v>67443</v>
      </c>
    </row>
    <row r="111" spans="1:4" x14ac:dyDescent="0.25">
      <c r="A111" s="1" t="s">
        <v>18</v>
      </c>
      <c r="B111" s="1" t="s">
        <v>12</v>
      </c>
      <c r="C111" s="1" t="s">
        <v>7</v>
      </c>
      <c r="D111">
        <v>16442</v>
      </c>
    </row>
    <row r="112" spans="1:4" x14ac:dyDescent="0.25">
      <c r="A112" s="1" t="s">
        <v>18</v>
      </c>
      <c r="B112" s="1" t="s">
        <v>12</v>
      </c>
      <c r="C112" s="1" t="s">
        <v>8</v>
      </c>
      <c r="D112">
        <v>11328</v>
      </c>
    </row>
    <row r="113" spans="1:4" x14ac:dyDescent="0.25">
      <c r="A113" s="1" t="s">
        <v>18</v>
      </c>
      <c r="B113" s="1" t="s">
        <v>12</v>
      </c>
      <c r="C113" s="1" t="s">
        <v>9</v>
      </c>
      <c r="D113">
        <v>17396</v>
      </c>
    </row>
    <row r="114" spans="1:4" x14ac:dyDescent="0.25">
      <c r="A114" s="1" t="s">
        <v>19</v>
      </c>
      <c r="B114" s="1" t="s">
        <v>5</v>
      </c>
      <c r="C114" s="1" t="s">
        <v>6</v>
      </c>
      <c r="D114">
        <v>77631</v>
      </c>
    </row>
    <row r="115" spans="1:4" x14ac:dyDescent="0.25">
      <c r="A115" s="1" t="s">
        <v>19</v>
      </c>
      <c r="B115" s="1" t="s">
        <v>5</v>
      </c>
      <c r="C115" s="1" t="s">
        <v>7</v>
      </c>
      <c r="D115">
        <v>20277</v>
      </c>
    </row>
    <row r="116" spans="1:4" x14ac:dyDescent="0.25">
      <c r="A116" s="1" t="s">
        <v>19</v>
      </c>
      <c r="B116" s="1" t="s">
        <v>5</v>
      </c>
      <c r="C116" s="1" t="s">
        <v>8</v>
      </c>
      <c r="D116">
        <v>12541</v>
      </c>
    </row>
    <row r="117" spans="1:4" x14ac:dyDescent="0.25">
      <c r="A117" s="1" t="s">
        <v>19</v>
      </c>
      <c r="B117" s="1" t="s">
        <v>5</v>
      </c>
      <c r="C117" s="1" t="s">
        <v>9</v>
      </c>
      <c r="D117">
        <v>19619</v>
      </c>
    </row>
    <row r="118" spans="1:4" x14ac:dyDescent="0.25">
      <c r="A118" s="1" t="s">
        <v>19</v>
      </c>
      <c r="B118" s="1" t="s">
        <v>10</v>
      </c>
      <c r="C118" s="1" t="s">
        <v>6</v>
      </c>
      <c r="D118">
        <v>56339</v>
      </c>
    </row>
    <row r="119" spans="1:4" x14ac:dyDescent="0.25">
      <c r="A119" s="1" t="s">
        <v>19</v>
      </c>
      <c r="B119" s="1" t="s">
        <v>10</v>
      </c>
      <c r="C119" s="1" t="s">
        <v>7</v>
      </c>
      <c r="D119">
        <v>15541</v>
      </c>
    </row>
    <row r="120" spans="1:4" x14ac:dyDescent="0.25">
      <c r="A120" s="1" t="s">
        <v>19</v>
      </c>
      <c r="B120" s="1" t="s">
        <v>10</v>
      </c>
      <c r="C120" s="1" t="s">
        <v>8</v>
      </c>
      <c r="D120">
        <v>12466</v>
      </c>
    </row>
    <row r="121" spans="1:4" x14ac:dyDescent="0.25">
      <c r="A121" s="1" t="s">
        <v>19</v>
      </c>
      <c r="B121" s="1" t="s">
        <v>10</v>
      </c>
      <c r="C121" s="1" t="s">
        <v>9</v>
      </c>
      <c r="D121">
        <v>13508</v>
      </c>
    </row>
    <row r="122" spans="1:4" x14ac:dyDescent="0.25">
      <c r="A122" s="1" t="s">
        <v>19</v>
      </c>
      <c r="B122" s="1" t="s">
        <v>11</v>
      </c>
      <c r="C122" s="1" t="s">
        <v>6</v>
      </c>
      <c r="D122">
        <v>79420</v>
      </c>
    </row>
    <row r="123" spans="1:4" x14ac:dyDescent="0.25">
      <c r="A123" s="1" t="s">
        <v>19</v>
      </c>
      <c r="B123" s="1" t="s">
        <v>11</v>
      </c>
      <c r="C123" s="1" t="s">
        <v>7</v>
      </c>
      <c r="D123">
        <v>21669</v>
      </c>
    </row>
    <row r="124" spans="1:4" x14ac:dyDescent="0.25">
      <c r="A124" s="1" t="s">
        <v>19</v>
      </c>
      <c r="B124" s="1" t="s">
        <v>11</v>
      </c>
      <c r="C124" s="1" t="s">
        <v>8</v>
      </c>
      <c r="D124">
        <v>13143</v>
      </c>
    </row>
    <row r="125" spans="1:4" x14ac:dyDescent="0.25">
      <c r="A125" s="1" t="s">
        <v>19</v>
      </c>
      <c r="B125" s="1" t="s">
        <v>11</v>
      </c>
      <c r="C125" s="1" t="s">
        <v>9</v>
      </c>
      <c r="D125">
        <v>17770</v>
      </c>
    </row>
    <row r="126" spans="1:4" x14ac:dyDescent="0.25">
      <c r="A126" s="1" t="s">
        <v>19</v>
      </c>
      <c r="B126" s="1" t="s">
        <v>12</v>
      </c>
      <c r="C126" s="1" t="s">
        <v>6</v>
      </c>
      <c r="D126">
        <v>69848</v>
      </c>
    </row>
    <row r="127" spans="1:4" x14ac:dyDescent="0.25">
      <c r="A127" s="1" t="s">
        <v>19</v>
      </c>
      <c r="B127" s="1" t="s">
        <v>12</v>
      </c>
      <c r="C127" s="1" t="s">
        <v>7</v>
      </c>
      <c r="D127">
        <v>20315</v>
      </c>
    </row>
    <row r="128" spans="1:4" x14ac:dyDescent="0.25">
      <c r="A128" s="1" t="s">
        <v>19</v>
      </c>
      <c r="B128" s="1" t="s">
        <v>12</v>
      </c>
      <c r="C128" s="1" t="s">
        <v>8</v>
      </c>
      <c r="D128">
        <v>11752</v>
      </c>
    </row>
    <row r="129" spans="1:4" x14ac:dyDescent="0.25">
      <c r="A129" s="1" t="s">
        <v>19</v>
      </c>
      <c r="B129" s="1" t="s">
        <v>12</v>
      </c>
      <c r="C129" s="1" t="s">
        <v>9</v>
      </c>
      <c r="D129">
        <v>17538</v>
      </c>
    </row>
    <row r="130" spans="1:4" x14ac:dyDescent="0.25">
      <c r="A130" s="1" t="s">
        <v>20</v>
      </c>
      <c r="B130" s="1" t="s">
        <v>5</v>
      </c>
      <c r="C130" s="1" t="s">
        <v>6</v>
      </c>
      <c r="D130">
        <v>75259</v>
      </c>
    </row>
    <row r="131" spans="1:4" x14ac:dyDescent="0.25">
      <c r="A131" s="1" t="s">
        <v>20</v>
      </c>
      <c r="B131" s="1" t="s">
        <v>5</v>
      </c>
      <c r="C131" s="1" t="s">
        <v>7</v>
      </c>
      <c r="D131">
        <v>22480</v>
      </c>
    </row>
    <row r="132" spans="1:4" x14ac:dyDescent="0.25">
      <c r="A132" s="1" t="s">
        <v>20</v>
      </c>
      <c r="B132" s="1" t="s">
        <v>5</v>
      </c>
      <c r="C132" s="1" t="s">
        <v>8</v>
      </c>
      <c r="D132">
        <v>14071</v>
      </c>
    </row>
    <row r="133" spans="1:4" x14ac:dyDescent="0.25">
      <c r="A133" s="1" t="s">
        <v>20</v>
      </c>
      <c r="B133" s="1" t="s">
        <v>5</v>
      </c>
      <c r="C133" s="1" t="s">
        <v>9</v>
      </c>
      <c r="D133">
        <v>17215</v>
      </c>
    </row>
    <row r="134" spans="1:4" x14ac:dyDescent="0.25">
      <c r="A134" s="1" t="s">
        <v>20</v>
      </c>
      <c r="B134" s="1" t="s">
        <v>10</v>
      </c>
      <c r="C134" s="1" t="s">
        <v>6</v>
      </c>
      <c r="D134">
        <v>54046</v>
      </c>
    </row>
    <row r="135" spans="1:4" x14ac:dyDescent="0.25">
      <c r="A135" s="1" t="s">
        <v>20</v>
      </c>
      <c r="B135" s="1" t="s">
        <v>10</v>
      </c>
      <c r="C135" s="1" t="s">
        <v>7</v>
      </c>
      <c r="D135">
        <v>13433</v>
      </c>
    </row>
    <row r="136" spans="1:4" x14ac:dyDescent="0.25">
      <c r="A136" s="1" t="s">
        <v>20</v>
      </c>
      <c r="B136" s="1" t="s">
        <v>10</v>
      </c>
      <c r="C136" s="1" t="s">
        <v>8</v>
      </c>
      <c r="D136">
        <v>11374</v>
      </c>
    </row>
    <row r="137" spans="1:4" x14ac:dyDescent="0.25">
      <c r="A137" s="1" t="s">
        <v>20</v>
      </c>
      <c r="B137" s="1" t="s">
        <v>10</v>
      </c>
      <c r="C137" s="1" t="s">
        <v>9</v>
      </c>
      <c r="D137">
        <v>13792</v>
      </c>
    </row>
    <row r="138" spans="1:4" x14ac:dyDescent="0.25">
      <c r="A138" s="1" t="s">
        <v>20</v>
      </c>
      <c r="B138" s="1" t="s">
        <v>11</v>
      </c>
      <c r="C138" s="1" t="s">
        <v>6</v>
      </c>
      <c r="D138">
        <v>78994</v>
      </c>
    </row>
    <row r="139" spans="1:4" x14ac:dyDescent="0.25">
      <c r="A139" s="1" t="s">
        <v>20</v>
      </c>
      <c r="B139" s="1" t="s">
        <v>11</v>
      </c>
      <c r="C139" s="1" t="s">
        <v>7</v>
      </c>
      <c r="D139">
        <v>19885</v>
      </c>
    </row>
    <row r="140" spans="1:4" x14ac:dyDescent="0.25">
      <c r="A140" s="1" t="s">
        <v>20</v>
      </c>
      <c r="B140" s="1" t="s">
        <v>11</v>
      </c>
      <c r="C140" s="1" t="s">
        <v>8</v>
      </c>
      <c r="D140">
        <v>12898</v>
      </c>
    </row>
    <row r="141" spans="1:4" x14ac:dyDescent="0.25">
      <c r="A141" s="1" t="s">
        <v>20</v>
      </c>
      <c r="B141" s="1" t="s">
        <v>11</v>
      </c>
      <c r="C141" s="1" t="s">
        <v>9</v>
      </c>
      <c r="D141">
        <v>17002</v>
      </c>
    </row>
    <row r="142" spans="1:4" x14ac:dyDescent="0.25">
      <c r="A142" s="1" t="s">
        <v>20</v>
      </c>
      <c r="B142" s="1" t="s">
        <v>12</v>
      </c>
      <c r="C142" s="1" t="s">
        <v>6</v>
      </c>
      <c r="D142">
        <v>70390</v>
      </c>
    </row>
    <row r="143" spans="1:4" x14ac:dyDescent="0.25">
      <c r="A143" s="1" t="s">
        <v>20</v>
      </c>
      <c r="B143" s="1" t="s">
        <v>12</v>
      </c>
      <c r="C143" s="1" t="s">
        <v>7</v>
      </c>
      <c r="D143">
        <v>17210</v>
      </c>
    </row>
    <row r="144" spans="1:4" x14ac:dyDescent="0.25">
      <c r="A144" s="1" t="s">
        <v>20</v>
      </c>
      <c r="B144" s="1" t="s">
        <v>12</v>
      </c>
      <c r="C144" s="1" t="s">
        <v>8</v>
      </c>
      <c r="D144">
        <v>15174</v>
      </c>
    </row>
    <row r="145" spans="1:4" x14ac:dyDescent="0.25">
      <c r="A145" s="1" t="s">
        <v>20</v>
      </c>
      <c r="B145" s="1" t="s">
        <v>12</v>
      </c>
      <c r="C145" s="1" t="s">
        <v>9</v>
      </c>
      <c r="D145">
        <v>16208</v>
      </c>
    </row>
    <row r="146" spans="1:4" x14ac:dyDescent="0.25">
      <c r="A146" s="1" t="s">
        <v>21</v>
      </c>
      <c r="B146" s="1" t="s">
        <v>5</v>
      </c>
      <c r="C146" s="1" t="s">
        <v>6</v>
      </c>
      <c r="D146">
        <v>76635</v>
      </c>
    </row>
    <row r="147" spans="1:4" x14ac:dyDescent="0.25">
      <c r="A147" s="1" t="s">
        <v>21</v>
      </c>
      <c r="B147" s="1" t="s">
        <v>5</v>
      </c>
      <c r="C147" s="1" t="s">
        <v>7</v>
      </c>
      <c r="D147">
        <v>18220</v>
      </c>
    </row>
    <row r="148" spans="1:4" x14ac:dyDescent="0.25">
      <c r="A148" s="1" t="s">
        <v>21</v>
      </c>
      <c r="B148" s="1" t="s">
        <v>5</v>
      </c>
      <c r="C148" s="1" t="s">
        <v>8</v>
      </c>
      <c r="D148">
        <v>13952</v>
      </c>
    </row>
    <row r="149" spans="1:4" x14ac:dyDescent="0.25">
      <c r="A149" s="1" t="s">
        <v>21</v>
      </c>
      <c r="B149" s="1" t="s">
        <v>5</v>
      </c>
      <c r="C149" s="1" t="s">
        <v>9</v>
      </c>
      <c r="D149">
        <v>17376</v>
      </c>
    </row>
    <row r="150" spans="1:4" x14ac:dyDescent="0.25">
      <c r="A150" s="1" t="s">
        <v>21</v>
      </c>
      <c r="B150" s="1" t="s">
        <v>10</v>
      </c>
      <c r="C150" s="1" t="s">
        <v>6</v>
      </c>
      <c r="D150">
        <v>57131</v>
      </c>
    </row>
    <row r="151" spans="1:4" x14ac:dyDescent="0.25">
      <c r="A151" s="1" t="s">
        <v>21</v>
      </c>
      <c r="B151" s="1" t="s">
        <v>10</v>
      </c>
      <c r="C151" s="1" t="s">
        <v>7</v>
      </c>
      <c r="D151">
        <v>16134</v>
      </c>
    </row>
    <row r="152" spans="1:4" x14ac:dyDescent="0.25">
      <c r="A152" s="1" t="s">
        <v>21</v>
      </c>
      <c r="B152" s="1" t="s">
        <v>10</v>
      </c>
      <c r="C152" s="1" t="s">
        <v>8</v>
      </c>
      <c r="D152">
        <v>11534</v>
      </c>
    </row>
    <row r="153" spans="1:4" x14ac:dyDescent="0.25">
      <c r="A153" s="1" t="s">
        <v>21</v>
      </c>
      <c r="B153" s="1" t="s">
        <v>10</v>
      </c>
      <c r="C153" s="1" t="s">
        <v>9</v>
      </c>
      <c r="D153">
        <v>11809</v>
      </c>
    </row>
    <row r="154" spans="1:4" x14ac:dyDescent="0.25">
      <c r="A154" s="1" t="s">
        <v>21</v>
      </c>
      <c r="B154" s="1" t="s">
        <v>11</v>
      </c>
      <c r="C154" s="1" t="s">
        <v>6</v>
      </c>
      <c r="D154">
        <v>82782</v>
      </c>
    </row>
    <row r="155" spans="1:4" x14ac:dyDescent="0.25">
      <c r="A155" s="1" t="s">
        <v>21</v>
      </c>
      <c r="B155" s="1" t="s">
        <v>11</v>
      </c>
      <c r="C155" s="1" t="s">
        <v>7</v>
      </c>
      <c r="D155">
        <v>19594</v>
      </c>
    </row>
    <row r="156" spans="1:4" x14ac:dyDescent="0.25">
      <c r="A156" s="1" t="s">
        <v>21</v>
      </c>
      <c r="B156" s="1" t="s">
        <v>11</v>
      </c>
      <c r="C156" s="1" t="s">
        <v>8</v>
      </c>
      <c r="D156">
        <v>17572</v>
      </c>
    </row>
    <row r="157" spans="1:4" x14ac:dyDescent="0.25">
      <c r="A157" s="1" t="s">
        <v>21</v>
      </c>
      <c r="B157" s="1" t="s">
        <v>11</v>
      </c>
      <c r="C157" s="1" t="s">
        <v>9</v>
      </c>
      <c r="D157">
        <v>21654</v>
      </c>
    </row>
    <row r="158" spans="1:4" x14ac:dyDescent="0.25">
      <c r="A158" s="1" t="s">
        <v>21</v>
      </c>
      <c r="B158" s="1" t="s">
        <v>12</v>
      </c>
      <c r="C158" s="1" t="s">
        <v>6</v>
      </c>
      <c r="D158">
        <v>66188</v>
      </c>
    </row>
    <row r="159" spans="1:4" x14ac:dyDescent="0.25">
      <c r="A159" s="1" t="s">
        <v>21</v>
      </c>
      <c r="B159" s="1" t="s">
        <v>12</v>
      </c>
      <c r="C159" s="1" t="s">
        <v>7</v>
      </c>
      <c r="D159">
        <v>21484</v>
      </c>
    </row>
    <row r="160" spans="1:4" x14ac:dyDescent="0.25">
      <c r="A160" s="1" t="s">
        <v>21</v>
      </c>
      <c r="B160" s="1" t="s">
        <v>12</v>
      </c>
      <c r="C160" s="1" t="s">
        <v>8</v>
      </c>
      <c r="D160">
        <v>13998</v>
      </c>
    </row>
    <row r="161" spans="1:4" x14ac:dyDescent="0.25">
      <c r="A161" s="1" t="s">
        <v>21</v>
      </c>
      <c r="B161" s="1" t="s">
        <v>12</v>
      </c>
      <c r="C161" s="1" t="s">
        <v>9</v>
      </c>
      <c r="D161">
        <v>14935</v>
      </c>
    </row>
    <row r="162" spans="1:4" x14ac:dyDescent="0.25">
      <c r="A162" s="1" t="s">
        <v>22</v>
      </c>
      <c r="B162" s="1" t="s">
        <v>5</v>
      </c>
      <c r="C162" s="1" t="s">
        <v>6</v>
      </c>
      <c r="D162">
        <v>77000</v>
      </c>
    </row>
    <row r="163" spans="1:4" x14ac:dyDescent="0.25">
      <c r="A163" s="1" t="s">
        <v>22</v>
      </c>
      <c r="B163" s="1" t="s">
        <v>5</v>
      </c>
      <c r="C163" s="1" t="s">
        <v>7</v>
      </c>
      <c r="D163">
        <v>20486</v>
      </c>
    </row>
    <row r="164" spans="1:4" x14ac:dyDescent="0.25">
      <c r="A164" s="1" t="s">
        <v>22</v>
      </c>
      <c r="B164" s="1" t="s">
        <v>5</v>
      </c>
      <c r="C164" s="1" t="s">
        <v>8</v>
      </c>
      <c r="D164">
        <v>11713</v>
      </c>
    </row>
    <row r="165" spans="1:4" x14ac:dyDescent="0.25">
      <c r="A165" s="1" t="s">
        <v>22</v>
      </c>
      <c r="B165" s="1" t="s">
        <v>5</v>
      </c>
      <c r="C165" s="1" t="s">
        <v>9</v>
      </c>
      <c r="D165">
        <v>16654</v>
      </c>
    </row>
    <row r="166" spans="1:4" x14ac:dyDescent="0.25">
      <c r="A166" s="1" t="s">
        <v>22</v>
      </c>
      <c r="B166" s="1" t="s">
        <v>10</v>
      </c>
      <c r="C166" s="1" t="s">
        <v>6</v>
      </c>
      <c r="D166">
        <v>55811</v>
      </c>
    </row>
    <row r="167" spans="1:4" x14ac:dyDescent="0.25">
      <c r="A167" s="1" t="s">
        <v>22</v>
      </c>
      <c r="B167" s="1" t="s">
        <v>10</v>
      </c>
      <c r="C167" s="1" t="s">
        <v>7</v>
      </c>
      <c r="D167">
        <v>13595</v>
      </c>
    </row>
    <row r="168" spans="1:4" x14ac:dyDescent="0.25">
      <c r="A168" s="1" t="s">
        <v>22</v>
      </c>
      <c r="B168" s="1" t="s">
        <v>10</v>
      </c>
      <c r="C168" s="1" t="s">
        <v>8</v>
      </c>
      <c r="D168">
        <v>10916</v>
      </c>
    </row>
    <row r="169" spans="1:4" x14ac:dyDescent="0.25">
      <c r="A169" s="1" t="s">
        <v>22</v>
      </c>
      <c r="B169" s="1" t="s">
        <v>10</v>
      </c>
      <c r="C169" s="1" t="s">
        <v>9</v>
      </c>
      <c r="D169">
        <v>9776</v>
      </c>
    </row>
    <row r="170" spans="1:4" x14ac:dyDescent="0.25">
      <c r="A170" s="1" t="s">
        <v>22</v>
      </c>
      <c r="B170" s="1" t="s">
        <v>11</v>
      </c>
      <c r="C170" s="1" t="s">
        <v>6</v>
      </c>
      <c r="D170">
        <v>84165</v>
      </c>
    </row>
    <row r="171" spans="1:4" x14ac:dyDescent="0.25">
      <c r="A171" s="1" t="s">
        <v>22</v>
      </c>
      <c r="B171" s="1" t="s">
        <v>11</v>
      </c>
      <c r="C171" s="1" t="s">
        <v>7</v>
      </c>
      <c r="D171">
        <v>25395</v>
      </c>
    </row>
    <row r="172" spans="1:4" x14ac:dyDescent="0.25">
      <c r="A172" s="1" t="s">
        <v>22</v>
      </c>
      <c r="B172" s="1" t="s">
        <v>11</v>
      </c>
      <c r="C172" s="1" t="s">
        <v>8</v>
      </c>
      <c r="D172">
        <v>14157</v>
      </c>
    </row>
    <row r="173" spans="1:4" x14ac:dyDescent="0.25">
      <c r="A173" s="1" t="s">
        <v>22</v>
      </c>
      <c r="B173" s="1" t="s">
        <v>11</v>
      </c>
      <c r="C173" s="1" t="s">
        <v>9</v>
      </c>
      <c r="D173">
        <v>19850</v>
      </c>
    </row>
    <row r="174" spans="1:4" x14ac:dyDescent="0.25">
      <c r="A174" s="1" t="s">
        <v>22</v>
      </c>
      <c r="B174" s="1" t="s">
        <v>12</v>
      </c>
      <c r="C174" s="1" t="s">
        <v>6</v>
      </c>
      <c r="D174">
        <v>66713</v>
      </c>
    </row>
    <row r="175" spans="1:4" x14ac:dyDescent="0.25">
      <c r="A175" s="1" t="s">
        <v>22</v>
      </c>
      <c r="B175" s="1" t="s">
        <v>12</v>
      </c>
      <c r="C175" s="1" t="s">
        <v>7</v>
      </c>
      <c r="D175">
        <v>20058</v>
      </c>
    </row>
    <row r="176" spans="1:4" x14ac:dyDescent="0.25">
      <c r="A176" s="1" t="s">
        <v>22</v>
      </c>
      <c r="B176" s="1" t="s">
        <v>12</v>
      </c>
      <c r="C176" s="1" t="s">
        <v>8</v>
      </c>
      <c r="D176">
        <v>10471</v>
      </c>
    </row>
    <row r="177" spans="1:4" x14ac:dyDescent="0.25">
      <c r="A177" s="1" t="s">
        <v>22</v>
      </c>
      <c r="B177" s="1" t="s">
        <v>12</v>
      </c>
      <c r="C177" s="1" t="s">
        <v>9</v>
      </c>
      <c r="D177">
        <v>17872</v>
      </c>
    </row>
    <row r="178" spans="1:4" x14ac:dyDescent="0.25">
      <c r="A178" s="1" t="s">
        <v>23</v>
      </c>
      <c r="B178" s="1" t="s">
        <v>5</v>
      </c>
      <c r="C178" s="1" t="s">
        <v>6</v>
      </c>
      <c r="D178">
        <v>74194</v>
      </c>
    </row>
    <row r="179" spans="1:4" x14ac:dyDescent="0.25">
      <c r="A179" s="1" t="s">
        <v>23</v>
      </c>
      <c r="B179" s="1" t="s">
        <v>5</v>
      </c>
      <c r="C179" s="1" t="s">
        <v>7</v>
      </c>
      <c r="D179">
        <v>22934</v>
      </c>
    </row>
    <row r="180" spans="1:4" x14ac:dyDescent="0.25">
      <c r="A180" s="1" t="s">
        <v>23</v>
      </c>
      <c r="B180" s="1" t="s">
        <v>5</v>
      </c>
      <c r="C180" s="1" t="s">
        <v>8</v>
      </c>
      <c r="D180">
        <v>14958</v>
      </c>
    </row>
    <row r="181" spans="1:4" x14ac:dyDescent="0.25">
      <c r="A181" s="1" t="s">
        <v>23</v>
      </c>
      <c r="B181" s="1" t="s">
        <v>5</v>
      </c>
      <c r="C181" s="1" t="s">
        <v>9</v>
      </c>
      <c r="D181">
        <v>19238</v>
      </c>
    </row>
    <row r="182" spans="1:4" x14ac:dyDescent="0.25">
      <c r="A182" s="1" t="s">
        <v>23</v>
      </c>
      <c r="B182" s="1" t="s">
        <v>10</v>
      </c>
      <c r="C182" s="1" t="s">
        <v>6</v>
      </c>
      <c r="D182">
        <v>53879</v>
      </c>
    </row>
    <row r="183" spans="1:4" x14ac:dyDescent="0.25">
      <c r="A183" s="1" t="s">
        <v>23</v>
      </c>
      <c r="B183" s="1" t="s">
        <v>10</v>
      </c>
      <c r="C183" s="1" t="s">
        <v>7</v>
      </c>
      <c r="D183">
        <v>13552</v>
      </c>
    </row>
    <row r="184" spans="1:4" x14ac:dyDescent="0.25">
      <c r="A184" s="1" t="s">
        <v>23</v>
      </c>
      <c r="B184" s="1" t="s">
        <v>10</v>
      </c>
      <c r="C184" s="1" t="s">
        <v>8</v>
      </c>
      <c r="D184">
        <v>10263</v>
      </c>
    </row>
    <row r="185" spans="1:4" x14ac:dyDescent="0.25">
      <c r="A185" s="1" t="s">
        <v>23</v>
      </c>
      <c r="B185" s="1" t="s">
        <v>10</v>
      </c>
      <c r="C185" s="1" t="s">
        <v>9</v>
      </c>
      <c r="D185">
        <v>11073</v>
      </c>
    </row>
    <row r="186" spans="1:4" x14ac:dyDescent="0.25">
      <c r="A186" s="1" t="s">
        <v>23</v>
      </c>
      <c r="B186" s="1" t="s">
        <v>11</v>
      </c>
      <c r="C186" s="1" t="s">
        <v>6</v>
      </c>
      <c r="D186">
        <v>82668</v>
      </c>
    </row>
    <row r="187" spans="1:4" x14ac:dyDescent="0.25">
      <c r="A187" s="1" t="s">
        <v>23</v>
      </c>
      <c r="B187" s="1" t="s">
        <v>11</v>
      </c>
      <c r="C187" s="1" t="s">
        <v>7</v>
      </c>
      <c r="D187">
        <v>23844</v>
      </c>
    </row>
    <row r="188" spans="1:4" x14ac:dyDescent="0.25">
      <c r="A188" s="1" t="s">
        <v>23</v>
      </c>
      <c r="B188" s="1" t="s">
        <v>11</v>
      </c>
      <c r="C188" s="1" t="s">
        <v>8</v>
      </c>
      <c r="D188">
        <v>12004</v>
      </c>
    </row>
    <row r="189" spans="1:4" x14ac:dyDescent="0.25">
      <c r="A189" s="1" t="s">
        <v>23</v>
      </c>
      <c r="B189" s="1" t="s">
        <v>11</v>
      </c>
      <c r="C189" s="1" t="s">
        <v>9</v>
      </c>
      <c r="D189">
        <v>20656</v>
      </c>
    </row>
    <row r="190" spans="1:4" x14ac:dyDescent="0.25">
      <c r="A190" s="1" t="s">
        <v>23</v>
      </c>
      <c r="B190" s="1" t="s">
        <v>12</v>
      </c>
      <c r="C190" s="1" t="s">
        <v>6</v>
      </c>
      <c r="D190">
        <v>67905</v>
      </c>
    </row>
    <row r="191" spans="1:4" x14ac:dyDescent="0.25">
      <c r="A191" s="1" t="s">
        <v>23</v>
      </c>
      <c r="B191" s="1" t="s">
        <v>12</v>
      </c>
      <c r="C191" s="1" t="s">
        <v>7</v>
      </c>
      <c r="D191">
        <v>19902</v>
      </c>
    </row>
    <row r="192" spans="1:4" x14ac:dyDescent="0.25">
      <c r="A192" s="1" t="s">
        <v>23</v>
      </c>
      <c r="B192" s="1" t="s">
        <v>12</v>
      </c>
      <c r="C192" s="1" t="s">
        <v>8</v>
      </c>
      <c r="D192">
        <v>9759</v>
      </c>
    </row>
    <row r="193" spans="1:4" x14ac:dyDescent="0.25">
      <c r="A193" s="1" t="s">
        <v>23</v>
      </c>
      <c r="B193" s="1" t="s">
        <v>12</v>
      </c>
      <c r="C193" s="1" t="s">
        <v>9</v>
      </c>
      <c r="D193">
        <v>13666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6CE9B-2A03-45E1-A2AD-F40781479F19}">
  <dimension ref="A1:H1153"/>
  <sheetViews>
    <sheetView workbookViewId="0">
      <selection activeCell="G21" sqref="G21"/>
    </sheetView>
  </sheetViews>
  <sheetFormatPr defaultRowHeight="15" x14ac:dyDescent="0.25"/>
  <cols>
    <col min="1" max="1" width="9.42578125" bestFit="1" customWidth="1"/>
    <col min="2" max="2" width="21.42578125" bestFit="1" customWidth="1"/>
    <col min="3" max="3" width="13.42578125" bestFit="1" customWidth="1"/>
    <col min="4" max="4" width="15.5703125" bestFit="1" customWidth="1"/>
    <col min="5" max="5" width="22.140625" bestFit="1" customWidth="1"/>
    <col min="6" max="6" width="10.28515625" bestFit="1" customWidth="1"/>
    <col min="7" max="7" width="21.7109375" bestFit="1" customWidth="1"/>
  </cols>
  <sheetData>
    <row r="1" spans="1:8" x14ac:dyDescent="0.25">
      <c r="A1" t="s">
        <v>24</v>
      </c>
      <c r="B1" t="s">
        <v>1</v>
      </c>
      <c r="C1" t="s">
        <v>25</v>
      </c>
      <c r="D1" t="s">
        <v>26</v>
      </c>
      <c r="E1" t="s">
        <v>27</v>
      </c>
      <c r="F1" t="s">
        <v>28</v>
      </c>
      <c r="G1" t="s">
        <v>2</v>
      </c>
      <c r="H1" t="s">
        <v>0</v>
      </c>
    </row>
    <row r="2" spans="1:8" x14ac:dyDescent="0.25">
      <c r="A2" s="2">
        <v>45662</v>
      </c>
      <c r="B2" s="1" t="s">
        <v>5</v>
      </c>
      <c r="C2">
        <v>6010</v>
      </c>
      <c r="D2" s="1" t="s">
        <v>29</v>
      </c>
      <c r="E2" s="1" t="s">
        <v>30</v>
      </c>
      <c r="F2">
        <v>7447</v>
      </c>
      <c r="G2" s="1" t="str">
        <f>_xlfn.XLOOKUP(tblActuals[[#This Row],[GL Account]],tblGLMap[GL Account],tblGLMap[Cost Category])</f>
        <v>Labor</v>
      </c>
      <c r="H2" s="1" t="str">
        <f>TEXT(tblActuals[[#This Row],[Date]],"mmm")</f>
        <v>Jan</v>
      </c>
    </row>
    <row r="3" spans="1:8" x14ac:dyDescent="0.25">
      <c r="A3" s="2">
        <v>45663</v>
      </c>
      <c r="B3" s="1" t="s">
        <v>5</v>
      </c>
      <c r="C3">
        <v>6010</v>
      </c>
      <c r="D3" s="1" t="s">
        <v>31</v>
      </c>
      <c r="E3" s="1" t="s">
        <v>30</v>
      </c>
      <c r="F3">
        <v>5423</v>
      </c>
      <c r="G3" s="1" t="str">
        <f>_xlfn.XLOOKUP(tblActuals[[#This Row],[GL Account]],tblGLMap[GL Account],tblGLMap[Cost Category])</f>
        <v>Labor</v>
      </c>
      <c r="H3" s="1" t="str">
        <f>TEXT(tblActuals[[#This Row],[Date]],"mmm")</f>
        <v>Jan</v>
      </c>
    </row>
    <row r="4" spans="1:8" x14ac:dyDescent="0.25">
      <c r="A4" s="2">
        <v>45664</v>
      </c>
      <c r="B4" s="1" t="s">
        <v>5</v>
      </c>
      <c r="C4">
        <v>6010</v>
      </c>
      <c r="D4" s="1" t="s">
        <v>32</v>
      </c>
      <c r="E4" s="1" t="s">
        <v>30</v>
      </c>
      <c r="F4">
        <v>5446</v>
      </c>
      <c r="G4" s="1" t="str">
        <f>_xlfn.XLOOKUP(tblActuals[[#This Row],[GL Account]],tblGLMap[GL Account],tblGLMap[Cost Category])</f>
        <v>Labor</v>
      </c>
      <c r="H4" s="1" t="str">
        <f>TEXT(tblActuals[[#This Row],[Date]],"mmm")</f>
        <v>Jan</v>
      </c>
    </row>
    <row r="5" spans="1:8" x14ac:dyDescent="0.25">
      <c r="A5" s="2">
        <v>45662</v>
      </c>
      <c r="B5" s="1" t="s">
        <v>5</v>
      </c>
      <c r="C5">
        <v>6020</v>
      </c>
      <c r="D5" s="1" t="s">
        <v>31</v>
      </c>
      <c r="E5" s="1" t="s">
        <v>33</v>
      </c>
      <c r="F5">
        <v>2790</v>
      </c>
      <c r="G5" s="1" t="str">
        <f>_xlfn.XLOOKUP(tblActuals[[#This Row],[GL Account]],tblGLMap[GL Account],tblGLMap[Cost Category])</f>
        <v>Labor</v>
      </c>
      <c r="H5" s="1" t="str">
        <f>TEXT(tblActuals[[#This Row],[Date]],"mmm")</f>
        <v>Jan</v>
      </c>
    </row>
    <row r="6" spans="1:8" x14ac:dyDescent="0.25">
      <c r="A6" s="2">
        <v>45663</v>
      </c>
      <c r="B6" s="1" t="s">
        <v>5</v>
      </c>
      <c r="C6">
        <v>6020</v>
      </c>
      <c r="D6" s="1" t="s">
        <v>31</v>
      </c>
      <c r="E6" s="1" t="s">
        <v>33</v>
      </c>
      <c r="F6">
        <v>9462</v>
      </c>
      <c r="G6" s="1" t="str">
        <f>_xlfn.XLOOKUP(tblActuals[[#This Row],[GL Account]],tblGLMap[GL Account],tblGLMap[Cost Category])</f>
        <v>Labor</v>
      </c>
      <c r="H6" s="1" t="str">
        <f>TEXT(tblActuals[[#This Row],[Date]],"mmm")</f>
        <v>Jan</v>
      </c>
    </row>
    <row r="7" spans="1:8" x14ac:dyDescent="0.25">
      <c r="A7" s="2">
        <v>45664</v>
      </c>
      <c r="B7" s="1" t="s">
        <v>5</v>
      </c>
      <c r="C7">
        <v>6020</v>
      </c>
      <c r="D7" s="1" t="s">
        <v>34</v>
      </c>
      <c r="E7" s="1" t="s">
        <v>33</v>
      </c>
      <c r="F7">
        <v>10227</v>
      </c>
      <c r="G7" s="1" t="str">
        <f>_xlfn.XLOOKUP(tblActuals[[#This Row],[GL Account]],tblGLMap[GL Account],tblGLMap[Cost Category])</f>
        <v>Labor</v>
      </c>
      <c r="H7" s="1" t="str">
        <f>TEXT(tblActuals[[#This Row],[Date]],"mmm")</f>
        <v>Jan</v>
      </c>
    </row>
    <row r="8" spans="1:8" x14ac:dyDescent="0.25">
      <c r="A8" s="2">
        <v>45662</v>
      </c>
      <c r="B8" s="1" t="s">
        <v>5</v>
      </c>
      <c r="C8">
        <v>6110</v>
      </c>
      <c r="D8" s="1" t="s">
        <v>35</v>
      </c>
      <c r="E8" s="1" t="s">
        <v>36</v>
      </c>
      <c r="F8">
        <v>3603</v>
      </c>
      <c r="G8" s="1" t="str">
        <f>_xlfn.XLOOKUP(tblActuals[[#This Row],[GL Account]],tblGLMap[GL Account],tblGLMap[Cost Category])</f>
        <v>Supplies &amp; Inventory</v>
      </c>
      <c r="H8" s="1" t="str">
        <f>TEXT(tblActuals[[#This Row],[Date]],"mmm")</f>
        <v>Jan</v>
      </c>
    </row>
    <row r="9" spans="1:8" x14ac:dyDescent="0.25">
      <c r="A9" s="2">
        <v>45663</v>
      </c>
      <c r="B9" s="1" t="s">
        <v>5</v>
      </c>
      <c r="C9">
        <v>6110</v>
      </c>
      <c r="D9" s="1" t="s">
        <v>32</v>
      </c>
      <c r="E9" s="1" t="s">
        <v>36</v>
      </c>
      <c r="F9">
        <v>9287</v>
      </c>
      <c r="G9" s="1" t="str">
        <f>_xlfn.XLOOKUP(tblActuals[[#This Row],[GL Account]],tblGLMap[GL Account],tblGLMap[Cost Category])</f>
        <v>Supplies &amp; Inventory</v>
      </c>
      <c r="H9" s="1" t="str">
        <f>TEXT(tblActuals[[#This Row],[Date]],"mmm")</f>
        <v>Jan</v>
      </c>
    </row>
    <row r="10" spans="1:8" x14ac:dyDescent="0.25">
      <c r="A10" s="2">
        <v>45664</v>
      </c>
      <c r="B10" s="1" t="s">
        <v>5</v>
      </c>
      <c r="C10">
        <v>6110</v>
      </c>
      <c r="D10" s="1" t="s">
        <v>29</v>
      </c>
      <c r="E10" s="1" t="s">
        <v>36</v>
      </c>
      <c r="F10">
        <v>4205</v>
      </c>
      <c r="G10" s="1" t="str">
        <f>_xlfn.XLOOKUP(tblActuals[[#This Row],[GL Account]],tblGLMap[GL Account],tblGLMap[Cost Category])</f>
        <v>Supplies &amp; Inventory</v>
      </c>
      <c r="H10" s="1" t="str">
        <f>TEXT(tblActuals[[#This Row],[Date]],"mmm")</f>
        <v>Jan</v>
      </c>
    </row>
    <row r="11" spans="1:8" x14ac:dyDescent="0.25">
      <c r="A11" s="2">
        <v>45662</v>
      </c>
      <c r="B11" s="1" t="s">
        <v>5</v>
      </c>
      <c r="C11">
        <v>6120</v>
      </c>
      <c r="D11" s="1" t="s">
        <v>32</v>
      </c>
      <c r="E11" s="1" t="s">
        <v>37</v>
      </c>
      <c r="F11">
        <v>10145</v>
      </c>
      <c r="G11" s="1" t="str">
        <f>_xlfn.XLOOKUP(tblActuals[[#This Row],[GL Account]],tblGLMap[GL Account],tblGLMap[Cost Category])</f>
        <v>Supplies &amp; Inventory</v>
      </c>
      <c r="H11" s="1" t="str">
        <f>TEXT(tblActuals[[#This Row],[Date]],"mmm")</f>
        <v>Jan</v>
      </c>
    </row>
    <row r="12" spans="1:8" x14ac:dyDescent="0.25">
      <c r="A12" s="2">
        <v>45663</v>
      </c>
      <c r="B12" s="1" t="s">
        <v>5</v>
      </c>
      <c r="C12">
        <v>6120</v>
      </c>
      <c r="D12" s="1" t="s">
        <v>34</v>
      </c>
      <c r="E12" s="1" t="s">
        <v>37</v>
      </c>
      <c r="F12">
        <v>8432</v>
      </c>
      <c r="G12" s="1" t="str">
        <f>_xlfn.XLOOKUP(tblActuals[[#This Row],[GL Account]],tblGLMap[GL Account],tblGLMap[Cost Category])</f>
        <v>Supplies &amp; Inventory</v>
      </c>
      <c r="H12" s="1" t="str">
        <f>TEXT(tblActuals[[#This Row],[Date]],"mmm")</f>
        <v>Jan</v>
      </c>
    </row>
    <row r="13" spans="1:8" x14ac:dyDescent="0.25">
      <c r="A13" s="2">
        <v>45664</v>
      </c>
      <c r="B13" s="1" t="s">
        <v>5</v>
      </c>
      <c r="C13">
        <v>6120</v>
      </c>
      <c r="D13" s="1" t="s">
        <v>35</v>
      </c>
      <c r="E13" s="1" t="s">
        <v>37</v>
      </c>
      <c r="F13">
        <v>10335</v>
      </c>
      <c r="G13" s="1" t="str">
        <f>_xlfn.XLOOKUP(tblActuals[[#This Row],[GL Account]],tblGLMap[GL Account],tblGLMap[Cost Category])</f>
        <v>Supplies &amp; Inventory</v>
      </c>
      <c r="H13" s="1" t="str">
        <f>TEXT(tblActuals[[#This Row],[Date]],"mmm")</f>
        <v>Jan</v>
      </c>
    </row>
    <row r="14" spans="1:8" x14ac:dyDescent="0.25">
      <c r="A14" s="2">
        <v>45662</v>
      </c>
      <c r="B14" s="1" t="s">
        <v>5</v>
      </c>
      <c r="C14">
        <v>6210</v>
      </c>
      <c r="D14" s="1" t="s">
        <v>35</v>
      </c>
      <c r="E14" s="1" t="s">
        <v>38</v>
      </c>
      <c r="F14">
        <v>4795</v>
      </c>
      <c r="G14" s="1" t="str">
        <f>_xlfn.XLOOKUP(tblActuals[[#This Row],[GL Account]],tblGLMap[GL Account],tblGLMap[Cost Category])</f>
        <v>Utilities</v>
      </c>
      <c r="H14" s="1" t="str">
        <f>TEXT(tblActuals[[#This Row],[Date]],"mmm")</f>
        <v>Jan</v>
      </c>
    </row>
    <row r="15" spans="1:8" x14ac:dyDescent="0.25">
      <c r="A15" s="2">
        <v>45663</v>
      </c>
      <c r="B15" s="1" t="s">
        <v>5</v>
      </c>
      <c r="C15">
        <v>6210</v>
      </c>
      <c r="D15" s="1" t="s">
        <v>39</v>
      </c>
      <c r="E15" s="1" t="s">
        <v>38</v>
      </c>
      <c r="F15">
        <v>6607</v>
      </c>
      <c r="G15" s="1" t="str">
        <f>_xlfn.XLOOKUP(tblActuals[[#This Row],[GL Account]],tblGLMap[GL Account],tblGLMap[Cost Category])</f>
        <v>Utilities</v>
      </c>
      <c r="H15" s="1" t="str">
        <f>TEXT(tblActuals[[#This Row],[Date]],"mmm")</f>
        <v>Jan</v>
      </c>
    </row>
    <row r="16" spans="1:8" x14ac:dyDescent="0.25">
      <c r="A16" s="2">
        <v>45664</v>
      </c>
      <c r="B16" s="1" t="s">
        <v>5</v>
      </c>
      <c r="C16">
        <v>6210</v>
      </c>
      <c r="D16" s="1" t="s">
        <v>39</v>
      </c>
      <c r="E16" s="1" t="s">
        <v>38</v>
      </c>
      <c r="F16">
        <v>7618</v>
      </c>
      <c r="G16" s="1" t="str">
        <f>_xlfn.XLOOKUP(tblActuals[[#This Row],[GL Account]],tblGLMap[GL Account],tblGLMap[Cost Category])</f>
        <v>Utilities</v>
      </c>
      <c r="H16" s="1" t="str">
        <f>TEXT(tblActuals[[#This Row],[Date]],"mmm")</f>
        <v>Jan</v>
      </c>
    </row>
    <row r="17" spans="1:8" x14ac:dyDescent="0.25">
      <c r="A17" s="2">
        <v>45662</v>
      </c>
      <c r="B17" s="1" t="s">
        <v>5</v>
      </c>
      <c r="C17">
        <v>6220</v>
      </c>
      <c r="D17" s="1" t="s">
        <v>39</v>
      </c>
      <c r="E17" s="1" t="s">
        <v>40</v>
      </c>
      <c r="F17">
        <v>9979</v>
      </c>
      <c r="G17" s="1" t="str">
        <f>_xlfn.XLOOKUP(tblActuals[[#This Row],[GL Account]],tblGLMap[GL Account],tblGLMap[Cost Category])</f>
        <v>Utilities</v>
      </c>
      <c r="H17" s="1" t="str">
        <f>TEXT(tblActuals[[#This Row],[Date]],"mmm")</f>
        <v>Jan</v>
      </c>
    </row>
    <row r="18" spans="1:8" x14ac:dyDescent="0.25">
      <c r="A18" s="2">
        <v>45663</v>
      </c>
      <c r="B18" s="1" t="s">
        <v>5</v>
      </c>
      <c r="C18">
        <v>6220</v>
      </c>
      <c r="D18" s="1" t="s">
        <v>34</v>
      </c>
      <c r="E18" s="1" t="s">
        <v>40</v>
      </c>
      <c r="F18">
        <v>3482</v>
      </c>
      <c r="G18" s="1" t="str">
        <f>_xlfn.XLOOKUP(tblActuals[[#This Row],[GL Account]],tblGLMap[GL Account],tblGLMap[Cost Category])</f>
        <v>Utilities</v>
      </c>
      <c r="H18" s="1" t="str">
        <f>TEXT(tblActuals[[#This Row],[Date]],"mmm")</f>
        <v>Jan</v>
      </c>
    </row>
    <row r="19" spans="1:8" x14ac:dyDescent="0.25">
      <c r="A19" s="2">
        <v>45664</v>
      </c>
      <c r="B19" s="1" t="s">
        <v>5</v>
      </c>
      <c r="C19">
        <v>6220</v>
      </c>
      <c r="D19" s="1" t="s">
        <v>31</v>
      </c>
      <c r="E19" s="1" t="s">
        <v>40</v>
      </c>
      <c r="F19">
        <v>5181</v>
      </c>
      <c r="G19" s="1" t="str">
        <f>_xlfn.XLOOKUP(tblActuals[[#This Row],[GL Account]],tblGLMap[GL Account],tblGLMap[Cost Category])</f>
        <v>Utilities</v>
      </c>
      <c r="H19" s="1" t="str">
        <f>TEXT(tblActuals[[#This Row],[Date]],"mmm")</f>
        <v>Jan</v>
      </c>
    </row>
    <row r="20" spans="1:8" x14ac:dyDescent="0.25">
      <c r="A20" s="2">
        <v>45662</v>
      </c>
      <c r="B20" s="1" t="s">
        <v>5</v>
      </c>
      <c r="C20">
        <v>6310</v>
      </c>
      <c r="D20" s="1" t="s">
        <v>31</v>
      </c>
      <c r="E20" s="1" t="s">
        <v>41</v>
      </c>
      <c r="F20">
        <v>7039</v>
      </c>
      <c r="G20" s="1" t="str">
        <f>_xlfn.XLOOKUP(tblActuals[[#This Row],[GL Account]],tblGLMap[GL Account],tblGLMap[Cost Category])</f>
        <v>Maintenance &amp; Repairs</v>
      </c>
      <c r="H20" s="1" t="str">
        <f>TEXT(tblActuals[[#This Row],[Date]],"mmm")</f>
        <v>Jan</v>
      </c>
    </row>
    <row r="21" spans="1:8" x14ac:dyDescent="0.25">
      <c r="A21" s="2">
        <v>45663</v>
      </c>
      <c r="B21" s="1" t="s">
        <v>5</v>
      </c>
      <c r="C21">
        <v>6310</v>
      </c>
      <c r="D21" s="1" t="s">
        <v>32</v>
      </c>
      <c r="E21" s="1" t="s">
        <v>41</v>
      </c>
      <c r="F21">
        <v>11138</v>
      </c>
      <c r="G21" s="1" t="str">
        <f>_xlfn.XLOOKUP(tblActuals[[#This Row],[GL Account]],tblGLMap[GL Account],tblGLMap[Cost Category])</f>
        <v>Maintenance &amp; Repairs</v>
      </c>
      <c r="H21" s="1" t="str">
        <f>TEXT(tblActuals[[#This Row],[Date]],"mmm")</f>
        <v>Jan</v>
      </c>
    </row>
    <row r="22" spans="1:8" x14ac:dyDescent="0.25">
      <c r="A22" s="2">
        <v>45664</v>
      </c>
      <c r="B22" s="1" t="s">
        <v>5</v>
      </c>
      <c r="C22">
        <v>6310</v>
      </c>
      <c r="D22" s="1" t="s">
        <v>32</v>
      </c>
      <c r="E22" s="1" t="s">
        <v>41</v>
      </c>
      <c r="F22">
        <v>5270</v>
      </c>
      <c r="G22" s="1" t="str">
        <f>_xlfn.XLOOKUP(tblActuals[[#This Row],[GL Account]],tblGLMap[GL Account],tblGLMap[Cost Category])</f>
        <v>Maintenance &amp; Repairs</v>
      </c>
      <c r="H22" s="1" t="str">
        <f>TEXT(tblActuals[[#This Row],[Date]],"mmm")</f>
        <v>Jan</v>
      </c>
    </row>
    <row r="23" spans="1:8" x14ac:dyDescent="0.25">
      <c r="A23" s="2">
        <v>45662</v>
      </c>
      <c r="B23" s="1" t="s">
        <v>5</v>
      </c>
      <c r="C23">
        <v>6320</v>
      </c>
      <c r="D23" s="1" t="s">
        <v>31</v>
      </c>
      <c r="E23" s="1" t="s">
        <v>42</v>
      </c>
      <c r="F23">
        <v>5108</v>
      </c>
      <c r="G23" s="1" t="str">
        <f>_xlfn.XLOOKUP(tblActuals[[#This Row],[GL Account]],tblGLMap[GL Account],tblGLMap[Cost Category])</f>
        <v>Maintenance &amp; Repairs</v>
      </c>
      <c r="H23" s="1" t="str">
        <f>TEXT(tblActuals[[#This Row],[Date]],"mmm")</f>
        <v>Jan</v>
      </c>
    </row>
    <row r="24" spans="1:8" x14ac:dyDescent="0.25">
      <c r="A24" s="2">
        <v>45663</v>
      </c>
      <c r="B24" s="1" t="s">
        <v>5</v>
      </c>
      <c r="C24">
        <v>6320</v>
      </c>
      <c r="D24" s="1" t="s">
        <v>35</v>
      </c>
      <c r="E24" s="1" t="s">
        <v>42</v>
      </c>
      <c r="F24">
        <v>2663</v>
      </c>
      <c r="G24" s="1" t="str">
        <f>_xlfn.XLOOKUP(tblActuals[[#This Row],[GL Account]],tblGLMap[GL Account],tblGLMap[Cost Category])</f>
        <v>Maintenance &amp; Repairs</v>
      </c>
      <c r="H24" s="1" t="str">
        <f>TEXT(tblActuals[[#This Row],[Date]],"mmm")</f>
        <v>Jan</v>
      </c>
    </row>
    <row r="25" spans="1:8" x14ac:dyDescent="0.25">
      <c r="A25" s="2">
        <v>45664</v>
      </c>
      <c r="B25" s="1" t="s">
        <v>5</v>
      </c>
      <c r="C25">
        <v>6320</v>
      </c>
      <c r="D25" s="1" t="s">
        <v>31</v>
      </c>
      <c r="E25" s="1" t="s">
        <v>42</v>
      </c>
      <c r="F25">
        <v>11839</v>
      </c>
      <c r="G25" s="1" t="str">
        <f>_xlfn.XLOOKUP(tblActuals[[#This Row],[GL Account]],tblGLMap[GL Account],tblGLMap[Cost Category])</f>
        <v>Maintenance &amp; Repairs</v>
      </c>
      <c r="H25" s="1" t="str">
        <f>TEXT(tblActuals[[#This Row],[Date]],"mmm")</f>
        <v>Jan</v>
      </c>
    </row>
    <row r="26" spans="1:8" x14ac:dyDescent="0.25">
      <c r="A26" s="2">
        <v>45662</v>
      </c>
      <c r="B26" s="1" t="s">
        <v>10</v>
      </c>
      <c r="C26">
        <v>6010</v>
      </c>
      <c r="D26" s="1" t="s">
        <v>31</v>
      </c>
      <c r="E26" s="1" t="s">
        <v>30</v>
      </c>
      <c r="F26">
        <v>5250</v>
      </c>
      <c r="G26" s="1" t="str">
        <f>_xlfn.XLOOKUP(tblActuals[[#This Row],[GL Account]],tblGLMap[GL Account],tblGLMap[Cost Category])</f>
        <v>Labor</v>
      </c>
      <c r="H26" s="1" t="str">
        <f>TEXT(tblActuals[[#This Row],[Date]],"mmm")</f>
        <v>Jan</v>
      </c>
    </row>
    <row r="27" spans="1:8" x14ac:dyDescent="0.25">
      <c r="A27" s="2">
        <v>45663</v>
      </c>
      <c r="B27" s="1" t="s">
        <v>10</v>
      </c>
      <c r="C27">
        <v>6010</v>
      </c>
      <c r="D27" s="1" t="s">
        <v>29</v>
      </c>
      <c r="E27" s="1" t="s">
        <v>30</v>
      </c>
      <c r="F27">
        <v>2014</v>
      </c>
      <c r="G27" s="1" t="str">
        <f>_xlfn.XLOOKUP(tblActuals[[#This Row],[GL Account]],tblGLMap[GL Account],tblGLMap[Cost Category])</f>
        <v>Labor</v>
      </c>
      <c r="H27" s="1" t="str">
        <f>TEXT(tblActuals[[#This Row],[Date]],"mmm")</f>
        <v>Jan</v>
      </c>
    </row>
    <row r="28" spans="1:8" x14ac:dyDescent="0.25">
      <c r="A28" s="2">
        <v>45664</v>
      </c>
      <c r="B28" s="1" t="s">
        <v>10</v>
      </c>
      <c r="C28">
        <v>6010</v>
      </c>
      <c r="D28" s="1" t="s">
        <v>32</v>
      </c>
      <c r="E28" s="1" t="s">
        <v>30</v>
      </c>
      <c r="F28">
        <v>2660</v>
      </c>
      <c r="G28" s="1" t="str">
        <f>_xlfn.XLOOKUP(tblActuals[[#This Row],[GL Account]],tblGLMap[GL Account],tblGLMap[Cost Category])</f>
        <v>Labor</v>
      </c>
      <c r="H28" s="1" t="str">
        <f>TEXT(tblActuals[[#This Row],[Date]],"mmm")</f>
        <v>Jan</v>
      </c>
    </row>
    <row r="29" spans="1:8" x14ac:dyDescent="0.25">
      <c r="A29" s="2">
        <v>45662</v>
      </c>
      <c r="B29" s="1" t="s">
        <v>10</v>
      </c>
      <c r="C29">
        <v>6020</v>
      </c>
      <c r="D29" s="1" t="s">
        <v>29</v>
      </c>
      <c r="E29" s="1" t="s">
        <v>33</v>
      </c>
      <c r="F29">
        <v>5399</v>
      </c>
      <c r="G29" s="1" t="str">
        <f>_xlfn.XLOOKUP(tblActuals[[#This Row],[GL Account]],tblGLMap[GL Account],tblGLMap[Cost Category])</f>
        <v>Labor</v>
      </c>
      <c r="H29" s="1" t="str">
        <f>TEXT(tblActuals[[#This Row],[Date]],"mmm")</f>
        <v>Jan</v>
      </c>
    </row>
    <row r="30" spans="1:8" x14ac:dyDescent="0.25">
      <c r="A30" s="2">
        <v>45663</v>
      </c>
      <c r="B30" s="1" t="s">
        <v>10</v>
      </c>
      <c r="C30">
        <v>6020</v>
      </c>
      <c r="D30" s="1" t="s">
        <v>34</v>
      </c>
      <c r="E30" s="1" t="s">
        <v>33</v>
      </c>
      <c r="F30">
        <v>9453</v>
      </c>
      <c r="G30" s="1" t="str">
        <f>_xlfn.XLOOKUP(tblActuals[[#This Row],[GL Account]],tblGLMap[GL Account],tblGLMap[Cost Category])</f>
        <v>Labor</v>
      </c>
      <c r="H30" s="1" t="str">
        <f>TEXT(tblActuals[[#This Row],[Date]],"mmm")</f>
        <v>Jan</v>
      </c>
    </row>
    <row r="31" spans="1:8" x14ac:dyDescent="0.25">
      <c r="A31" s="2">
        <v>45664</v>
      </c>
      <c r="B31" s="1" t="s">
        <v>10</v>
      </c>
      <c r="C31">
        <v>6020</v>
      </c>
      <c r="D31" s="1" t="s">
        <v>34</v>
      </c>
      <c r="E31" s="1" t="s">
        <v>33</v>
      </c>
      <c r="F31">
        <v>10334</v>
      </c>
      <c r="G31" s="1" t="str">
        <f>_xlfn.XLOOKUP(tblActuals[[#This Row],[GL Account]],tblGLMap[GL Account],tblGLMap[Cost Category])</f>
        <v>Labor</v>
      </c>
      <c r="H31" s="1" t="str">
        <f>TEXT(tblActuals[[#This Row],[Date]],"mmm")</f>
        <v>Jan</v>
      </c>
    </row>
    <row r="32" spans="1:8" x14ac:dyDescent="0.25">
      <c r="A32" s="2">
        <v>45662</v>
      </c>
      <c r="B32" s="1" t="s">
        <v>10</v>
      </c>
      <c r="C32">
        <v>6110</v>
      </c>
      <c r="D32" s="1" t="s">
        <v>32</v>
      </c>
      <c r="E32" s="1" t="s">
        <v>36</v>
      </c>
      <c r="F32">
        <v>10855</v>
      </c>
      <c r="G32" s="1" t="str">
        <f>_xlfn.XLOOKUP(tblActuals[[#This Row],[GL Account]],tblGLMap[GL Account],tblGLMap[Cost Category])</f>
        <v>Supplies &amp; Inventory</v>
      </c>
      <c r="H32" s="1" t="str">
        <f>TEXT(tblActuals[[#This Row],[Date]],"mmm")</f>
        <v>Jan</v>
      </c>
    </row>
    <row r="33" spans="1:8" x14ac:dyDescent="0.25">
      <c r="A33" s="2">
        <v>45663</v>
      </c>
      <c r="B33" s="1" t="s">
        <v>10</v>
      </c>
      <c r="C33">
        <v>6110</v>
      </c>
      <c r="D33" s="1" t="s">
        <v>34</v>
      </c>
      <c r="E33" s="1" t="s">
        <v>36</v>
      </c>
      <c r="F33">
        <v>9244</v>
      </c>
      <c r="G33" s="1" t="str">
        <f>_xlfn.XLOOKUP(tblActuals[[#This Row],[GL Account]],tblGLMap[GL Account],tblGLMap[Cost Category])</f>
        <v>Supplies &amp; Inventory</v>
      </c>
      <c r="H33" s="1" t="str">
        <f>TEXT(tblActuals[[#This Row],[Date]],"mmm")</f>
        <v>Jan</v>
      </c>
    </row>
    <row r="34" spans="1:8" x14ac:dyDescent="0.25">
      <c r="A34" s="2">
        <v>45664</v>
      </c>
      <c r="B34" s="1" t="s">
        <v>10</v>
      </c>
      <c r="C34">
        <v>6110</v>
      </c>
      <c r="D34" s="1" t="s">
        <v>39</v>
      </c>
      <c r="E34" s="1" t="s">
        <v>36</v>
      </c>
      <c r="F34">
        <v>9249</v>
      </c>
      <c r="G34" s="1" t="str">
        <f>_xlfn.XLOOKUP(tblActuals[[#This Row],[GL Account]],tblGLMap[GL Account],tblGLMap[Cost Category])</f>
        <v>Supplies &amp; Inventory</v>
      </c>
      <c r="H34" s="1" t="str">
        <f>TEXT(tblActuals[[#This Row],[Date]],"mmm")</f>
        <v>Jan</v>
      </c>
    </row>
    <row r="35" spans="1:8" x14ac:dyDescent="0.25">
      <c r="A35" s="2">
        <v>45662</v>
      </c>
      <c r="B35" s="1" t="s">
        <v>10</v>
      </c>
      <c r="C35">
        <v>6120</v>
      </c>
      <c r="D35" s="1" t="s">
        <v>31</v>
      </c>
      <c r="E35" s="1" t="s">
        <v>37</v>
      </c>
      <c r="F35">
        <v>4619</v>
      </c>
      <c r="G35" s="1" t="str">
        <f>_xlfn.XLOOKUP(tblActuals[[#This Row],[GL Account]],tblGLMap[GL Account],tblGLMap[Cost Category])</f>
        <v>Supplies &amp; Inventory</v>
      </c>
      <c r="H35" s="1" t="str">
        <f>TEXT(tblActuals[[#This Row],[Date]],"mmm")</f>
        <v>Jan</v>
      </c>
    </row>
    <row r="36" spans="1:8" x14ac:dyDescent="0.25">
      <c r="A36" s="2">
        <v>45663</v>
      </c>
      <c r="B36" s="1" t="s">
        <v>10</v>
      </c>
      <c r="C36">
        <v>6120</v>
      </c>
      <c r="D36" s="1" t="s">
        <v>35</v>
      </c>
      <c r="E36" s="1" t="s">
        <v>37</v>
      </c>
      <c r="F36">
        <v>3088</v>
      </c>
      <c r="G36" s="1" t="str">
        <f>_xlfn.XLOOKUP(tblActuals[[#This Row],[GL Account]],tblGLMap[GL Account],tblGLMap[Cost Category])</f>
        <v>Supplies &amp; Inventory</v>
      </c>
      <c r="H36" s="1" t="str">
        <f>TEXT(tblActuals[[#This Row],[Date]],"mmm")</f>
        <v>Jan</v>
      </c>
    </row>
    <row r="37" spans="1:8" x14ac:dyDescent="0.25">
      <c r="A37" s="2">
        <v>45664</v>
      </c>
      <c r="B37" s="1" t="s">
        <v>10</v>
      </c>
      <c r="C37">
        <v>6120</v>
      </c>
      <c r="D37" s="1" t="s">
        <v>29</v>
      </c>
      <c r="E37" s="1" t="s">
        <v>37</v>
      </c>
      <c r="F37">
        <v>8562</v>
      </c>
      <c r="G37" s="1" t="str">
        <f>_xlfn.XLOOKUP(tblActuals[[#This Row],[GL Account]],tblGLMap[GL Account],tblGLMap[Cost Category])</f>
        <v>Supplies &amp; Inventory</v>
      </c>
      <c r="H37" s="1" t="str">
        <f>TEXT(tblActuals[[#This Row],[Date]],"mmm")</f>
        <v>Jan</v>
      </c>
    </row>
    <row r="38" spans="1:8" x14ac:dyDescent="0.25">
      <c r="A38" s="2">
        <v>45662</v>
      </c>
      <c r="B38" s="1" t="s">
        <v>10</v>
      </c>
      <c r="C38">
        <v>6210</v>
      </c>
      <c r="D38" s="1" t="s">
        <v>39</v>
      </c>
      <c r="E38" s="1" t="s">
        <v>38</v>
      </c>
      <c r="F38">
        <v>8439</v>
      </c>
      <c r="G38" s="1" t="str">
        <f>_xlfn.XLOOKUP(tblActuals[[#This Row],[GL Account]],tblGLMap[GL Account],tblGLMap[Cost Category])</f>
        <v>Utilities</v>
      </c>
      <c r="H38" s="1" t="str">
        <f>TEXT(tblActuals[[#This Row],[Date]],"mmm")</f>
        <v>Jan</v>
      </c>
    </row>
    <row r="39" spans="1:8" x14ac:dyDescent="0.25">
      <c r="A39" s="2">
        <v>45663</v>
      </c>
      <c r="B39" s="1" t="s">
        <v>10</v>
      </c>
      <c r="C39">
        <v>6210</v>
      </c>
      <c r="D39" s="1" t="s">
        <v>35</v>
      </c>
      <c r="E39" s="1" t="s">
        <v>38</v>
      </c>
      <c r="F39">
        <v>9151</v>
      </c>
      <c r="G39" s="1" t="str">
        <f>_xlfn.XLOOKUP(tblActuals[[#This Row],[GL Account]],tblGLMap[GL Account],tblGLMap[Cost Category])</f>
        <v>Utilities</v>
      </c>
      <c r="H39" s="1" t="str">
        <f>TEXT(tblActuals[[#This Row],[Date]],"mmm")</f>
        <v>Jan</v>
      </c>
    </row>
    <row r="40" spans="1:8" x14ac:dyDescent="0.25">
      <c r="A40" s="2">
        <v>45664</v>
      </c>
      <c r="B40" s="1" t="s">
        <v>10</v>
      </c>
      <c r="C40">
        <v>6210</v>
      </c>
      <c r="D40" s="1" t="s">
        <v>35</v>
      </c>
      <c r="E40" s="1" t="s">
        <v>38</v>
      </c>
      <c r="F40">
        <v>2387</v>
      </c>
      <c r="G40" s="1" t="str">
        <f>_xlfn.XLOOKUP(tblActuals[[#This Row],[GL Account]],tblGLMap[GL Account],tblGLMap[Cost Category])</f>
        <v>Utilities</v>
      </c>
      <c r="H40" s="1" t="str">
        <f>TEXT(tblActuals[[#This Row],[Date]],"mmm")</f>
        <v>Jan</v>
      </c>
    </row>
    <row r="41" spans="1:8" x14ac:dyDescent="0.25">
      <c r="A41" s="2">
        <v>45662</v>
      </c>
      <c r="B41" s="1" t="s">
        <v>10</v>
      </c>
      <c r="C41">
        <v>6220</v>
      </c>
      <c r="D41" s="1" t="s">
        <v>31</v>
      </c>
      <c r="E41" s="1" t="s">
        <v>40</v>
      </c>
      <c r="F41">
        <v>3112</v>
      </c>
      <c r="G41" s="1" t="str">
        <f>_xlfn.XLOOKUP(tblActuals[[#This Row],[GL Account]],tblGLMap[GL Account],tblGLMap[Cost Category])</f>
        <v>Utilities</v>
      </c>
      <c r="H41" s="1" t="str">
        <f>TEXT(tblActuals[[#This Row],[Date]],"mmm")</f>
        <v>Jan</v>
      </c>
    </row>
    <row r="42" spans="1:8" x14ac:dyDescent="0.25">
      <c r="A42" s="2">
        <v>45663</v>
      </c>
      <c r="B42" s="1" t="s">
        <v>10</v>
      </c>
      <c r="C42">
        <v>6220</v>
      </c>
      <c r="D42" s="1" t="s">
        <v>35</v>
      </c>
      <c r="E42" s="1" t="s">
        <v>40</v>
      </c>
      <c r="F42">
        <v>8096</v>
      </c>
      <c r="G42" s="1" t="str">
        <f>_xlfn.XLOOKUP(tblActuals[[#This Row],[GL Account]],tblGLMap[GL Account],tblGLMap[Cost Category])</f>
        <v>Utilities</v>
      </c>
      <c r="H42" s="1" t="str">
        <f>TEXT(tblActuals[[#This Row],[Date]],"mmm")</f>
        <v>Jan</v>
      </c>
    </row>
    <row r="43" spans="1:8" x14ac:dyDescent="0.25">
      <c r="A43" s="2">
        <v>45664</v>
      </c>
      <c r="B43" s="1" t="s">
        <v>10</v>
      </c>
      <c r="C43">
        <v>6220</v>
      </c>
      <c r="D43" s="1" t="s">
        <v>31</v>
      </c>
      <c r="E43" s="1" t="s">
        <v>40</v>
      </c>
      <c r="F43">
        <v>7059</v>
      </c>
      <c r="G43" s="1" t="str">
        <f>_xlfn.XLOOKUP(tblActuals[[#This Row],[GL Account]],tblGLMap[GL Account],tblGLMap[Cost Category])</f>
        <v>Utilities</v>
      </c>
      <c r="H43" s="1" t="str">
        <f>TEXT(tblActuals[[#This Row],[Date]],"mmm")</f>
        <v>Jan</v>
      </c>
    </row>
    <row r="44" spans="1:8" x14ac:dyDescent="0.25">
      <c r="A44" s="2">
        <v>45662</v>
      </c>
      <c r="B44" s="1" t="s">
        <v>10</v>
      </c>
      <c r="C44">
        <v>6310</v>
      </c>
      <c r="D44" s="1" t="s">
        <v>34</v>
      </c>
      <c r="E44" s="1" t="s">
        <v>41</v>
      </c>
      <c r="F44">
        <v>5573</v>
      </c>
      <c r="G44" s="1" t="str">
        <f>_xlfn.XLOOKUP(tblActuals[[#This Row],[GL Account]],tblGLMap[GL Account],tblGLMap[Cost Category])</f>
        <v>Maintenance &amp; Repairs</v>
      </c>
      <c r="H44" s="1" t="str">
        <f>TEXT(tblActuals[[#This Row],[Date]],"mmm")</f>
        <v>Jan</v>
      </c>
    </row>
    <row r="45" spans="1:8" x14ac:dyDescent="0.25">
      <c r="A45" s="2">
        <v>45663</v>
      </c>
      <c r="B45" s="1" t="s">
        <v>10</v>
      </c>
      <c r="C45">
        <v>6310</v>
      </c>
      <c r="D45" s="1" t="s">
        <v>32</v>
      </c>
      <c r="E45" s="1" t="s">
        <v>41</v>
      </c>
      <c r="F45">
        <v>4616</v>
      </c>
      <c r="G45" s="1" t="str">
        <f>_xlfn.XLOOKUP(tblActuals[[#This Row],[GL Account]],tblGLMap[GL Account],tblGLMap[Cost Category])</f>
        <v>Maintenance &amp; Repairs</v>
      </c>
      <c r="H45" s="1" t="str">
        <f>TEXT(tblActuals[[#This Row],[Date]],"mmm")</f>
        <v>Jan</v>
      </c>
    </row>
    <row r="46" spans="1:8" x14ac:dyDescent="0.25">
      <c r="A46" s="2">
        <v>45664</v>
      </c>
      <c r="B46" s="1" t="s">
        <v>10</v>
      </c>
      <c r="C46">
        <v>6310</v>
      </c>
      <c r="D46" s="1" t="s">
        <v>34</v>
      </c>
      <c r="E46" s="1" t="s">
        <v>41</v>
      </c>
      <c r="F46">
        <v>8850</v>
      </c>
      <c r="G46" s="1" t="str">
        <f>_xlfn.XLOOKUP(tblActuals[[#This Row],[GL Account]],tblGLMap[GL Account],tblGLMap[Cost Category])</f>
        <v>Maintenance &amp; Repairs</v>
      </c>
      <c r="H46" s="1" t="str">
        <f>TEXT(tblActuals[[#This Row],[Date]],"mmm")</f>
        <v>Jan</v>
      </c>
    </row>
    <row r="47" spans="1:8" x14ac:dyDescent="0.25">
      <c r="A47" s="2">
        <v>45662</v>
      </c>
      <c r="B47" s="1" t="s">
        <v>10</v>
      </c>
      <c r="C47">
        <v>6320</v>
      </c>
      <c r="D47" s="1" t="s">
        <v>34</v>
      </c>
      <c r="E47" s="1" t="s">
        <v>42</v>
      </c>
      <c r="F47">
        <v>8412</v>
      </c>
      <c r="G47" s="1" t="str">
        <f>_xlfn.XLOOKUP(tblActuals[[#This Row],[GL Account]],tblGLMap[GL Account],tblGLMap[Cost Category])</f>
        <v>Maintenance &amp; Repairs</v>
      </c>
      <c r="H47" s="1" t="str">
        <f>TEXT(tblActuals[[#This Row],[Date]],"mmm")</f>
        <v>Jan</v>
      </c>
    </row>
    <row r="48" spans="1:8" x14ac:dyDescent="0.25">
      <c r="A48" s="2">
        <v>45663</v>
      </c>
      <c r="B48" s="1" t="s">
        <v>10</v>
      </c>
      <c r="C48">
        <v>6320</v>
      </c>
      <c r="D48" s="1" t="s">
        <v>39</v>
      </c>
      <c r="E48" s="1" t="s">
        <v>42</v>
      </c>
      <c r="F48">
        <v>6063</v>
      </c>
      <c r="G48" s="1" t="str">
        <f>_xlfn.XLOOKUP(tblActuals[[#This Row],[GL Account]],tblGLMap[GL Account],tblGLMap[Cost Category])</f>
        <v>Maintenance &amp; Repairs</v>
      </c>
      <c r="H48" s="1" t="str">
        <f>TEXT(tblActuals[[#This Row],[Date]],"mmm")</f>
        <v>Jan</v>
      </c>
    </row>
    <row r="49" spans="1:8" x14ac:dyDescent="0.25">
      <c r="A49" s="2">
        <v>45664</v>
      </c>
      <c r="B49" s="1" t="s">
        <v>10</v>
      </c>
      <c r="C49">
        <v>6320</v>
      </c>
      <c r="D49" s="1" t="s">
        <v>31</v>
      </c>
      <c r="E49" s="1" t="s">
        <v>42</v>
      </c>
      <c r="F49">
        <v>5592</v>
      </c>
      <c r="G49" s="1" t="str">
        <f>_xlfn.XLOOKUP(tblActuals[[#This Row],[GL Account]],tblGLMap[GL Account],tblGLMap[Cost Category])</f>
        <v>Maintenance &amp; Repairs</v>
      </c>
      <c r="H49" s="1" t="str">
        <f>TEXT(tblActuals[[#This Row],[Date]],"mmm")</f>
        <v>Jan</v>
      </c>
    </row>
    <row r="50" spans="1:8" x14ac:dyDescent="0.25">
      <c r="A50" s="2">
        <v>45662</v>
      </c>
      <c r="B50" s="1" t="s">
        <v>11</v>
      </c>
      <c r="C50">
        <v>6010</v>
      </c>
      <c r="D50" s="1" t="s">
        <v>32</v>
      </c>
      <c r="E50" s="1" t="s">
        <v>30</v>
      </c>
      <c r="F50">
        <v>8760</v>
      </c>
      <c r="G50" s="1" t="str">
        <f>_xlfn.XLOOKUP(tblActuals[[#This Row],[GL Account]],tblGLMap[GL Account],tblGLMap[Cost Category])</f>
        <v>Labor</v>
      </c>
      <c r="H50" s="1" t="str">
        <f>TEXT(tblActuals[[#This Row],[Date]],"mmm")</f>
        <v>Jan</v>
      </c>
    </row>
    <row r="51" spans="1:8" x14ac:dyDescent="0.25">
      <c r="A51" s="2">
        <v>45663</v>
      </c>
      <c r="B51" s="1" t="s">
        <v>11</v>
      </c>
      <c r="C51">
        <v>6010</v>
      </c>
      <c r="D51" s="1" t="s">
        <v>31</v>
      </c>
      <c r="E51" s="1" t="s">
        <v>30</v>
      </c>
      <c r="F51">
        <v>3104</v>
      </c>
      <c r="G51" s="1" t="str">
        <f>_xlfn.XLOOKUP(tblActuals[[#This Row],[GL Account]],tblGLMap[GL Account],tblGLMap[Cost Category])</f>
        <v>Labor</v>
      </c>
      <c r="H51" s="1" t="str">
        <f>TEXT(tblActuals[[#This Row],[Date]],"mmm")</f>
        <v>Jan</v>
      </c>
    </row>
    <row r="52" spans="1:8" x14ac:dyDescent="0.25">
      <c r="A52" s="2">
        <v>45664</v>
      </c>
      <c r="B52" s="1" t="s">
        <v>11</v>
      </c>
      <c r="C52">
        <v>6010</v>
      </c>
      <c r="D52" s="1" t="s">
        <v>31</v>
      </c>
      <c r="E52" s="1" t="s">
        <v>30</v>
      </c>
      <c r="F52">
        <v>10356</v>
      </c>
      <c r="G52" s="1" t="str">
        <f>_xlfn.XLOOKUP(tblActuals[[#This Row],[GL Account]],tblGLMap[GL Account],tblGLMap[Cost Category])</f>
        <v>Labor</v>
      </c>
      <c r="H52" s="1" t="str">
        <f>TEXT(tblActuals[[#This Row],[Date]],"mmm")</f>
        <v>Jan</v>
      </c>
    </row>
    <row r="53" spans="1:8" x14ac:dyDescent="0.25">
      <c r="A53" s="2">
        <v>45662</v>
      </c>
      <c r="B53" s="1" t="s">
        <v>11</v>
      </c>
      <c r="C53">
        <v>6020</v>
      </c>
      <c r="D53" s="1" t="s">
        <v>34</v>
      </c>
      <c r="E53" s="1" t="s">
        <v>33</v>
      </c>
      <c r="F53">
        <v>3028</v>
      </c>
      <c r="G53" s="1" t="str">
        <f>_xlfn.XLOOKUP(tblActuals[[#This Row],[GL Account]],tblGLMap[GL Account],tblGLMap[Cost Category])</f>
        <v>Labor</v>
      </c>
      <c r="H53" s="1" t="str">
        <f>TEXT(tblActuals[[#This Row],[Date]],"mmm")</f>
        <v>Jan</v>
      </c>
    </row>
    <row r="54" spans="1:8" x14ac:dyDescent="0.25">
      <c r="A54" s="2">
        <v>45663</v>
      </c>
      <c r="B54" s="1" t="s">
        <v>11</v>
      </c>
      <c r="C54">
        <v>6020</v>
      </c>
      <c r="D54" s="1" t="s">
        <v>39</v>
      </c>
      <c r="E54" s="1" t="s">
        <v>33</v>
      </c>
      <c r="F54">
        <v>4224</v>
      </c>
      <c r="G54" s="1" t="str">
        <f>_xlfn.XLOOKUP(tblActuals[[#This Row],[GL Account]],tblGLMap[GL Account],tblGLMap[Cost Category])</f>
        <v>Labor</v>
      </c>
      <c r="H54" s="1" t="str">
        <f>TEXT(tblActuals[[#This Row],[Date]],"mmm")</f>
        <v>Jan</v>
      </c>
    </row>
    <row r="55" spans="1:8" x14ac:dyDescent="0.25">
      <c r="A55" s="2">
        <v>45664</v>
      </c>
      <c r="B55" s="1" t="s">
        <v>11</v>
      </c>
      <c r="C55">
        <v>6020</v>
      </c>
      <c r="D55" s="1" t="s">
        <v>39</v>
      </c>
      <c r="E55" s="1" t="s">
        <v>33</v>
      </c>
      <c r="F55">
        <v>9456</v>
      </c>
      <c r="G55" s="1" t="str">
        <f>_xlfn.XLOOKUP(tblActuals[[#This Row],[GL Account]],tblGLMap[GL Account],tblGLMap[Cost Category])</f>
        <v>Labor</v>
      </c>
      <c r="H55" s="1" t="str">
        <f>TEXT(tblActuals[[#This Row],[Date]],"mmm")</f>
        <v>Jan</v>
      </c>
    </row>
    <row r="56" spans="1:8" x14ac:dyDescent="0.25">
      <c r="A56" s="2">
        <v>45662</v>
      </c>
      <c r="B56" s="1" t="s">
        <v>11</v>
      </c>
      <c r="C56">
        <v>6110</v>
      </c>
      <c r="D56" s="1" t="s">
        <v>39</v>
      </c>
      <c r="E56" s="1" t="s">
        <v>36</v>
      </c>
      <c r="F56">
        <v>5002</v>
      </c>
      <c r="G56" s="1" t="str">
        <f>_xlfn.XLOOKUP(tblActuals[[#This Row],[GL Account]],tblGLMap[GL Account],tblGLMap[Cost Category])</f>
        <v>Supplies &amp; Inventory</v>
      </c>
      <c r="H56" s="1" t="str">
        <f>TEXT(tblActuals[[#This Row],[Date]],"mmm")</f>
        <v>Jan</v>
      </c>
    </row>
    <row r="57" spans="1:8" x14ac:dyDescent="0.25">
      <c r="A57" s="2">
        <v>45663</v>
      </c>
      <c r="B57" s="1" t="s">
        <v>11</v>
      </c>
      <c r="C57">
        <v>6110</v>
      </c>
      <c r="D57" s="1" t="s">
        <v>34</v>
      </c>
      <c r="E57" s="1" t="s">
        <v>36</v>
      </c>
      <c r="F57">
        <v>2460</v>
      </c>
      <c r="G57" s="1" t="str">
        <f>_xlfn.XLOOKUP(tblActuals[[#This Row],[GL Account]],tblGLMap[GL Account],tblGLMap[Cost Category])</f>
        <v>Supplies &amp; Inventory</v>
      </c>
      <c r="H57" s="1" t="str">
        <f>TEXT(tblActuals[[#This Row],[Date]],"mmm")</f>
        <v>Jan</v>
      </c>
    </row>
    <row r="58" spans="1:8" x14ac:dyDescent="0.25">
      <c r="A58" s="2">
        <v>45664</v>
      </c>
      <c r="B58" s="1" t="s">
        <v>11</v>
      </c>
      <c r="C58">
        <v>6110</v>
      </c>
      <c r="D58" s="1" t="s">
        <v>31</v>
      </c>
      <c r="E58" s="1" t="s">
        <v>36</v>
      </c>
      <c r="F58">
        <v>7709</v>
      </c>
      <c r="G58" s="1" t="str">
        <f>_xlfn.XLOOKUP(tblActuals[[#This Row],[GL Account]],tblGLMap[GL Account],tblGLMap[Cost Category])</f>
        <v>Supplies &amp; Inventory</v>
      </c>
      <c r="H58" s="1" t="str">
        <f>TEXT(tblActuals[[#This Row],[Date]],"mmm")</f>
        <v>Jan</v>
      </c>
    </row>
    <row r="59" spans="1:8" x14ac:dyDescent="0.25">
      <c r="A59" s="2">
        <v>45662</v>
      </c>
      <c r="B59" s="1" t="s">
        <v>11</v>
      </c>
      <c r="C59">
        <v>6120</v>
      </c>
      <c r="D59" s="1" t="s">
        <v>29</v>
      </c>
      <c r="E59" s="1" t="s">
        <v>37</v>
      </c>
      <c r="F59">
        <v>7896</v>
      </c>
      <c r="G59" s="1" t="str">
        <f>_xlfn.XLOOKUP(tblActuals[[#This Row],[GL Account]],tblGLMap[GL Account],tblGLMap[Cost Category])</f>
        <v>Supplies &amp; Inventory</v>
      </c>
      <c r="H59" s="1" t="str">
        <f>TEXT(tblActuals[[#This Row],[Date]],"mmm")</f>
        <v>Jan</v>
      </c>
    </row>
    <row r="60" spans="1:8" x14ac:dyDescent="0.25">
      <c r="A60" s="2">
        <v>45663</v>
      </c>
      <c r="B60" s="1" t="s">
        <v>11</v>
      </c>
      <c r="C60">
        <v>6120</v>
      </c>
      <c r="D60" s="1" t="s">
        <v>29</v>
      </c>
      <c r="E60" s="1" t="s">
        <v>37</v>
      </c>
      <c r="F60">
        <v>8954</v>
      </c>
      <c r="G60" s="1" t="str">
        <f>_xlfn.XLOOKUP(tblActuals[[#This Row],[GL Account]],tblGLMap[GL Account],tblGLMap[Cost Category])</f>
        <v>Supplies &amp; Inventory</v>
      </c>
      <c r="H60" s="1" t="str">
        <f>TEXT(tblActuals[[#This Row],[Date]],"mmm")</f>
        <v>Jan</v>
      </c>
    </row>
    <row r="61" spans="1:8" x14ac:dyDescent="0.25">
      <c r="A61" s="2">
        <v>45664</v>
      </c>
      <c r="B61" s="1" t="s">
        <v>11</v>
      </c>
      <c r="C61">
        <v>6120</v>
      </c>
      <c r="D61" s="1" t="s">
        <v>35</v>
      </c>
      <c r="E61" s="1" t="s">
        <v>37</v>
      </c>
      <c r="F61">
        <v>8430</v>
      </c>
      <c r="G61" s="1" t="str">
        <f>_xlfn.XLOOKUP(tblActuals[[#This Row],[GL Account]],tblGLMap[GL Account],tblGLMap[Cost Category])</f>
        <v>Supplies &amp; Inventory</v>
      </c>
      <c r="H61" s="1" t="str">
        <f>TEXT(tblActuals[[#This Row],[Date]],"mmm")</f>
        <v>Jan</v>
      </c>
    </row>
    <row r="62" spans="1:8" x14ac:dyDescent="0.25">
      <c r="A62" s="2">
        <v>45662</v>
      </c>
      <c r="B62" s="1" t="s">
        <v>11</v>
      </c>
      <c r="C62">
        <v>6210</v>
      </c>
      <c r="D62" s="1" t="s">
        <v>35</v>
      </c>
      <c r="E62" s="1" t="s">
        <v>38</v>
      </c>
      <c r="F62">
        <v>10605</v>
      </c>
      <c r="G62" s="1" t="str">
        <f>_xlfn.XLOOKUP(tblActuals[[#This Row],[GL Account]],tblGLMap[GL Account],tblGLMap[Cost Category])</f>
        <v>Utilities</v>
      </c>
      <c r="H62" s="1" t="str">
        <f>TEXT(tblActuals[[#This Row],[Date]],"mmm")</f>
        <v>Jan</v>
      </c>
    </row>
    <row r="63" spans="1:8" x14ac:dyDescent="0.25">
      <c r="A63" s="2">
        <v>45663</v>
      </c>
      <c r="B63" s="1" t="s">
        <v>11</v>
      </c>
      <c r="C63">
        <v>6210</v>
      </c>
      <c r="D63" s="1" t="s">
        <v>34</v>
      </c>
      <c r="E63" s="1" t="s">
        <v>38</v>
      </c>
      <c r="F63">
        <v>9473</v>
      </c>
      <c r="G63" s="1" t="str">
        <f>_xlfn.XLOOKUP(tblActuals[[#This Row],[GL Account]],tblGLMap[GL Account],tblGLMap[Cost Category])</f>
        <v>Utilities</v>
      </c>
      <c r="H63" s="1" t="str">
        <f>TEXT(tblActuals[[#This Row],[Date]],"mmm")</f>
        <v>Jan</v>
      </c>
    </row>
    <row r="64" spans="1:8" x14ac:dyDescent="0.25">
      <c r="A64" s="2">
        <v>45664</v>
      </c>
      <c r="B64" s="1" t="s">
        <v>11</v>
      </c>
      <c r="C64">
        <v>6210</v>
      </c>
      <c r="D64" s="1" t="s">
        <v>29</v>
      </c>
      <c r="E64" s="1" t="s">
        <v>38</v>
      </c>
      <c r="F64">
        <v>4611</v>
      </c>
      <c r="G64" s="1" t="str">
        <f>_xlfn.XLOOKUP(tblActuals[[#This Row],[GL Account]],tblGLMap[GL Account],tblGLMap[Cost Category])</f>
        <v>Utilities</v>
      </c>
      <c r="H64" s="1" t="str">
        <f>TEXT(tblActuals[[#This Row],[Date]],"mmm")</f>
        <v>Jan</v>
      </c>
    </row>
    <row r="65" spans="1:8" x14ac:dyDescent="0.25">
      <c r="A65" s="2">
        <v>45662</v>
      </c>
      <c r="B65" s="1" t="s">
        <v>11</v>
      </c>
      <c r="C65">
        <v>6220</v>
      </c>
      <c r="D65" s="1" t="s">
        <v>31</v>
      </c>
      <c r="E65" s="1" t="s">
        <v>40</v>
      </c>
      <c r="F65">
        <v>5066</v>
      </c>
      <c r="G65" s="1" t="str">
        <f>_xlfn.XLOOKUP(tblActuals[[#This Row],[GL Account]],tblGLMap[GL Account],tblGLMap[Cost Category])</f>
        <v>Utilities</v>
      </c>
      <c r="H65" s="1" t="str">
        <f>TEXT(tblActuals[[#This Row],[Date]],"mmm")</f>
        <v>Jan</v>
      </c>
    </row>
    <row r="66" spans="1:8" x14ac:dyDescent="0.25">
      <c r="A66" s="2">
        <v>45663</v>
      </c>
      <c r="B66" s="1" t="s">
        <v>11</v>
      </c>
      <c r="C66">
        <v>6220</v>
      </c>
      <c r="D66" s="1" t="s">
        <v>35</v>
      </c>
      <c r="E66" s="1" t="s">
        <v>40</v>
      </c>
      <c r="F66">
        <v>10989</v>
      </c>
      <c r="G66" s="1" t="str">
        <f>_xlfn.XLOOKUP(tblActuals[[#This Row],[GL Account]],tblGLMap[GL Account],tblGLMap[Cost Category])</f>
        <v>Utilities</v>
      </c>
      <c r="H66" s="1" t="str">
        <f>TEXT(tblActuals[[#This Row],[Date]],"mmm")</f>
        <v>Jan</v>
      </c>
    </row>
    <row r="67" spans="1:8" x14ac:dyDescent="0.25">
      <c r="A67" s="2">
        <v>45664</v>
      </c>
      <c r="B67" s="1" t="s">
        <v>11</v>
      </c>
      <c r="C67">
        <v>6220</v>
      </c>
      <c r="D67" s="1" t="s">
        <v>31</v>
      </c>
      <c r="E67" s="1" t="s">
        <v>40</v>
      </c>
      <c r="F67">
        <v>10383</v>
      </c>
      <c r="G67" s="1" t="str">
        <f>_xlfn.XLOOKUP(tblActuals[[#This Row],[GL Account]],tblGLMap[GL Account],tblGLMap[Cost Category])</f>
        <v>Utilities</v>
      </c>
      <c r="H67" s="1" t="str">
        <f>TEXT(tblActuals[[#This Row],[Date]],"mmm")</f>
        <v>Jan</v>
      </c>
    </row>
    <row r="68" spans="1:8" x14ac:dyDescent="0.25">
      <c r="A68" s="2">
        <v>45662</v>
      </c>
      <c r="B68" s="1" t="s">
        <v>11</v>
      </c>
      <c r="C68">
        <v>6310</v>
      </c>
      <c r="D68" s="1" t="s">
        <v>31</v>
      </c>
      <c r="E68" s="1" t="s">
        <v>41</v>
      </c>
      <c r="F68">
        <v>6638</v>
      </c>
      <c r="G68" s="1" t="str">
        <f>_xlfn.XLOOKUP(tblActuals[[#This Row],[GL Account]],tblGLMap[GL Account],tblGLMap[Cost Category])</f>
        <v>Maintenance &amp; Repairs</v>
      </c>
      <c r="H68" s="1" t="str">
        <f>TEXT(tblActuals[[#This Row],[Date]],"mmm")</f>
        <v>Jan</v>
      </c>
    </row>
    <row r="69" spans="1:8" x14ac:dyDescent="0.25">
      <c r="A69" s="2">
        <v>45663</v>
      </c>
      <c r="B69" s="1" t="s">
        <v>11</v>
      </c>
      <c r="C69">
        <v>6310</v>
      </c>
      <c r="D69" s="1" t="s">
        <v>32</v>
      </c>
      <c r="E69" s="1" t="s">
        <v>41</v>
      </c>
      <c r="F69">
        <v>2321</v>
      </c>
      <c r="G69" s="1" t="str">
        <f>_xlfn.XLOOKUP(tblActuals[[#This Row],[GL Account]],tblGLMap[GL Account],tblGLMap[Cost Category])</f>
        <v>Maintenance &amp; Repairs</v>
      </c>
      <c r="H69" s="1" t="str">
        <f>TEXT(tblActuals[[#This Row],[Date]],"mmm")</f>
        <v>Jan</v>
      </c>
    </row>
    <row r="70" spans="1:8" x14ac:dyDescent="0.25">
      <c r="A70" s="2">
        <v>45664</v>
      </c>
      <c r="B70" s="1" t="s">
        <v>11</v>
      </c>
      <c r="C70">
        <v>6310</v>
      </c>
      <c r="D70" s="1" t="s">
        <v>32</v>
      </c>
      <c r="E70" s="1" t="s">
        <v>41</v>
      </c>
      <c r="F70">
        <v>9311</v>
      </c>
      <c r="G70" s="1" t="str">
        <f>_xlfn.XLOOKUP(tblActuals[[#This Row],[GL Account]],tblGLMap[GL Account],tblGLMap[Cost Category])</f>
        <v>Maintenance &amp; Repairs</v>
      </c>
      <c r="H70" s="1" t="str">
        <f>TEXT(tblActuals[[#This Row],[Date]],"mmm")</f>
        <v>Jan</v>
      </c>
    </row>
    <row r="71" spans="1:8" x14ac:dyDescent="0.25">
      <c r="A71" s="2">
        <v>45662</v>
      </c>
      <c r="B71" s="1" t="s">
        <v>11</v>
      </c>
      <c r="C71">
        <v>6320</v>
      </c>
      <c r="D71" s="1" t="s">
        <v>34</v>
      </c>
      <c r="E71" s="1" t="s">
        <v>42</v>
      </c>
      <c r="F71">
        <v>10201</v>
      </c>
      <c r="G71" s="1" t="str">
        <f>_xlfn.XLOOKUP(tblActuals[[#This Row],[GL Account]],tblGLMap[GL Account],tblGLMap[Cost Category])</f>
        <v>Maintenance &amp; Repairs</v>
      </c>
      <c r="H71" s="1" t="str">
        <f>TEXT(tblActuals[[#This Row],[Date]],"mmm")</f>
        <v>Jan</v>
      </c>
    </row>
    <row r="72" spans="1:8" x14ac:dyDescent="0.25">
      <c r="A72" s="2">
        <v>45663</v>
      </c>
      <c r="B72" s="1" t="s">
        <v>11</v>
      </c>
      <c r="C72">
        <v>6320</v>
      </c>
      <c r="D72" s="1" t="s">
        <v>32</v>
      </c>
      <c r="E72" s="1" t="s">
        <v>42</v>
      </c>
      <c r="F72">
        <v>2431</v>
      </c>
      <c r="G72" s="1" t="str">
        <f>_xlfn.XLOOKUP(tblActuals[[#This Row],[GL Account]],tblGLMap[GL Account],tblGLMap[Cost Category])</f>
        <v>Maintenance &amp; Repairs</v>
      </c>
      <c r="H72" s="1" t="str">
        <f>TEXT(tblActuals[[#This Row],[Date]],"mmm")</f>
        <v>Jan</v>
      </c>
    </row>
    <row r="73" spans="1:8" x14ac:dyDescent="0.25">
      <c r="A73" s="2">
        <v>45664</v>
      </c>
      <c r="B73" s="1" t="s">
        <v>11</v>
      </c>
      <c r="C73">
        <v>6320</v>
      </c>
      <c r="D73" s="1" t="s">
        <v>34</v>
      </c>
      <c r="E73" s="1" t="s">
        <v>42</v>
      </c>
      <c r="F73">
        <v>2812</v>
      </c>
      <c r="G73" s="1" t="str">
        <f>_xlfn.XLOOKUP(tblActuals[[#This Row],[GL Account]],tblGLMap[GL Account],tblGLMap[Cost Category])</f>
        <v>Maintenance &amp; Repairs</v>
      </c>
      <c r="H73" s="1" t="str">
        <f>TEXT(tblActuals[[#This Row],[Date]],"mmm")</f>
        <v>Jan</v>
      </c>
    </row>
    <row r="74" spans="1:8" x14ac:dyDescent="0.25">
      <c r="A74" s="2">
        <v>45662</v>
      </c>
      <c r="B74" s="1" t="s">
        <v>12</v>
      </c>
      <c r="C74">
        <v>6010</v>
      </c>
      <c r="D74" s="1" t="s">
        <v>32</v>
      </c>
      <c r="E74" s="1" t="s">
        <v>30</v>
      </c>
      <c r="F74">
        <v>2622</v>
      </c>
      <c r="G74" s="1" t="str">
        <f>_xlfn.XLOOKUP(tblActuals[[#This Row],[GL Account]],tblGLMap[GL Account],tblGLMap[Cost Category])</f>
        <v>Labor</v>
      </c>
      <c r="H74" s="1" t="str">
        <f>TEXT(tblActuals[[#This Row],[Date]],"mmm")</f>
        <v>Jan</v>
      </c>
    </row>
    <row r="75" spans="1:8" x14ac:dyDescent="0.25">
      <c r="A75" s="2">
        <v>45663</v>
      </c>
      <c r="B75" s="1" t="s">
        <v>12</v>
      </c>
      <c r="C75">
        <v>6010</v>
      </c>
      <c r="D75" s="1" t="s">
        <v>35</v>
      </c>
      <c r="E75" s="1" t="s">
        <v>30</v>
      </c>
      <c r="F75">
        <v>2613</v>
      </c>
      <c r="G75" s="1" t="str">
        <f>_xlfn.XLOOKUP(tblActuals[[#This Row],[GL Account]],tblGLMap[GL Account],tblGLMap[Cost Category])</f>
        <v>Labor</v>
      </c>
      <c r="H75" s="1" t="str">
        <f>TEXT(tblActuals[[#This Row],[Date]],"mmm")</f>
        <v>Jan</v>
      </c>
    </row>
    <row r="76" spans="1:8" x14ac:dyDescent="0.25">
      <c r="A76" s="2">
        <v>45664</v>
      </c>
      <c r="B76" s="1" t="s">
        <v>12</v>
      </c>
      <c r="C76">
        <v>6010</v>
      </c>
      <c r="D76" s="1" t="s">
        <v>39</v>
      </c>
      <c r="E76" s="1" t="s">
        <v>30</v>
      </c>
      <c r="F76">
        <v>5353</v>
      </c>
      <c r="G76" s="1" t="str">
        <f>_xlfn.XLOOKUP(tblActuals[[#This Row],[GL Account]],tblGLMap[GL Account],tblGLMap[Cost Category])</f>
        <v>Labor</v>
      </c>
      <c r="H76" s="1" t="str">
        <f>TEXT(tblActuals[[#This Row],[Date]],"mmm")</f>
        <v>Jan</v>
      </c>
    </row>
    <row r="77" spans="1:8" x14ac:dyDescent="0.25">
      <c r="A77" s="2">
        <v>45662</v>
      </c>
      <c r="B77" s="1" t="s">
        <v>12</v>
      </c>
      <c r="C77">
        <v>6020</v>
      </c>
      <c r="D77" s="1" t="s">
        <v>32</v>
      </c>
      <c r="E77" s="1" t="s">
        <v>33</v>
      </c>
      <c r="F77">
        <v>3464</v>
      </c>
      <c r="G77" s="1" t="str">
        <f>_xlfn.XLOOKUP(tblActuals[[#This Row],[GL Account]],tblGLMap[GL Account],tblGLMap[Cost Category])</f>
        <v>Labor</v>
      </c>
      <c r="H77" s="1" t="str">
        <f>TEXT(tblActuals[[#This Row],[Date]],"mmm")</f>
        <v>Jan</v>
      </c>
    </row>
    <row r="78" spans="1:8" x14ac:dyDescent="0.25">
      <c r="A78" s="2">
        <v>45663</v>
      </c>
      <c r="B78" s="1" t="s">
        <v>12</v>
      </c>
      <c r="C78">
        <v>6020</v>
      </c>
      <c r="D78" s="1" t="s">
        <v>32</v>
      </c>
      <c r="E78" s="1" t="s">
        <v>33</v>
      </c>
      <c r="F78">
        <v>5533</v>
      </c>
      <c r="G78" s="1" t="str">
        <f>_xlfn.XLOOKUP(tblActuals[[#This Row],[GL Account]],tblGLMap[GL Account],tblGLMap[Cost Category])</f>
        <v>Labor</v>
      </c>
      <c r="H78" s="1" t="str">
        <f>TEXT(tblActuals[[#This Row],[Date]],"mmm")</f>
        <v>Jan</v>
      </c>
    </row>
    <row r="79" spans="1:8" x14ac:dyDescent="0.25">
      <c r="A79" s="2">
        <v>45664</v>
      </c>
      <c r="B79" s="1" t="s">
        <v>12</v>
      </c>
      <c r="C79">
        <v>6020</v>
      </c>
      <c r="D79" s="1" t="s">
        <v>31</v>
      </c>
      <c r="E79" s="1" t="s">
        <v>33</v>
      </c>
      <c r="F79">
        <v>11240</v>
      </c>
      <c r="G79" s="1" t="str">
        <f>_xlfn.XLOOKUP(tblActuals[[#This Row],[GL Account]],tblGLMap[GL Account],tblGLMap[Cost Category])</f>
        <v>Labor</v>
      </c>
      <c r="H79" s="1" t="str">
        <f>TEXT(tblActuals[[#This Row],[Date]],"mmm")</f>
        <v>Jan</v>
      </c>
    </row>
    <row r="80" spans="1:8" x14ac:dyDescent="0.25">
      <c r="A80" s="2">
        <v>45662</v>
      </c>
      <c r="B80" s="1" t="s">
        <v>12</v>
      </c>
      <c r="C80">
        <v>6110</v>
      </c>
      <c r="D80" s="1" t="s">
        <v>31</v>
      </c>
      <c r="E80" s="1" t="s">
        <v>36</v>
      </c>
      <c r="F80">
        <v>11647</v>
      </c>
      <c r="G80" s="1" t="str">
        <f>_xlfn.XLOOKUP(tblActuals[[#This Row],[GL Account]],tblGLMap[GL Account],tblGLMap[Cost Category])</f>
        <v>Supplies &amp; Inventory</v>
      </c>
      <c r="H80" s="1" t="str">
        <f>TEXT(tblActuals[[#This Row],[Date]],"mmm")</f>
        <v>Jan</v>
      </c>
    </row>
    <row r="81" spans="1:8" x14ac:dyDescent="0.25">
      <c r="A81" s="2">
        <v>45663</v>
      </c>
      <c r="B81" s="1" t="s">
        <v>12</v>
      </c>
      <c r="C81">
        <v>6110</v>
      </c>
      <c r="D81" s="1" t="s">
        <v>35</v>
      </c>
      <c r="E81" s="1" t="s">
        <v>36</v>
      </c>
      <c r="F81">
        <v>8368</v>
      </c>
      <c r="G81" s="1" t="str">
        <f>_xlfn.XLOOKUP(tblActuals[[#This Row],[GL Account]],tblGLMap[GL Account],tblGLMap[Cost Category])</f>
        <v>Supplies &amp; Inventory</v>
      </c>
      <c r="H81" s="1" t="str">
        <f>TEXT(tblActuals[[#This Row],[Date]],"mmm")</f>
        <v>Jan</v>
      </c>
    </row>
    <row r="82" spans="1:8" x14ac:dyDescent="0.25">
      <c r="A82" s="2">
        <v>45664</v>
      </c>
      <c r="B82" s="1" t="s">
        <v>12</v>
      </c>
      <c r="C82">
        <v>6110</v>
      </c>
      <c r="D82" s="1" t="s">
        <v>32</v>
      </c>
      <c r="E82" s="1" t="s">
        <v>36</v>
      </c>
      <c r="F82">
        <v>11062</v>
      </c>
      <c r="G82" s="1" t="str">
        <f>_xlfn.XLOOKUP(tblActuals[[#This Row],[GL Account]],tblGLMap[GL Account],tblGLMap[Cost Category])</f>
        <v>Supplies &amp; Inventory</v>
      </c>
      <c r="H82" s="1" t="str">
        <f>TEXT(tblActuals[[#This Row],[Date]],"mmm")</f>
        <v>Jan</v>
      </c>
    </row>
    <row r="83" spans="1:8" x14ac:dyDescent="0.25">
      <c r="A83" s="2">
        <v>45662</v>
      </c>
      <c r="B83" s="1" t="s">
        <v>12</v>
      </c>
      <c r="C83">
        <v>6120</v>
      </c>
      <c r="D83" s="1" t="s">
        <v>29</v>
      </c>
      <c r="E83" s="1" t="s">
        <v>37</v>
      </c>
      <c r="F83">
        <v>10065</v>
      </c>
      <c r="G83" s="1" t="str">
        <f>_xlfn.XLOOKUP(tblActuals[[#This Row],[GL Account]],tblGLMap[GL Account],tblGLMap[Cost Category])</f>
        <v>Supplies &amp; Inventory</v>
      </c>
      <c r="H83" s="1" t="str">
        <f>TEXT(tblActuals[[#This Row],[Date]],"mmm")</f>
        <v>Jan</v>
      </c>
    </row>
    <row r="84" spans="1:8" x14ac:dyDescent="0.25">
      <c r="A84" s="2">
        <v>45663</v>
      </c>
      <c r="B84" s="1" t="s">
        <v>12</v>
      </c>
      <c r="C84">
        <v>6120</v>
      </c>
      <c r="D84" s="1" t="s">
        <v>34</v>
      </c>
      <c r="E84" s="1" t="s">
        <v>37</v>
      </c>
      <c r="F84">
        <v>5772</v>
      </c>
      <c r="G84" s="1" t="str">
        <f>_xlfn.XLOOKUP(tblActuals[[#This Row],[GL Account]],tblGLMap[GL Account],tblGLMap[Cost Category])</f>
        <v>Supplies &amp; Inventory</v>
      </c>
      <c r="H84" s="1" t="str">
        <f>TEXT(tblActuals[[#This Row],[Date]],"mmm")</f>
        <v>Jan</v>
      </c>
    </row>
    <row r="85" spans="1:8" x14ac:dyDescent="0.25">
      <c r="A85" s="2">
        <v>45664</v>
      </c>
      <c r="B85" s="1" t="s">
        <v>12</v>
      </c>
      <c r="C85">
        <v>6120</v>
      </c>
      <c r="D85" s="1" t="s">
        <v>34</v>
      </c>
      <c r="E85" s="1" t="s">
        <v>37</v>
      </c>
      <c r="F85">
        <v>6647</v>
      </c>
      <c r="G85" s="1" t="str">
        <f>_xlfn.XLOOKUP(tblActuals[[#This Row],[GL Account]],tblGLMap[GL Account],tblGLMap[Cost Category])</f>
        <v>Supplies &amp; Inventory</v>
      </c>
      <c r="H85" s="1" t="str">
        <f>TEXT(tblActuals[[#This Row],[Date]],"mmm")</f>
        <v>Jan</v>
      </c>
    </row>
    <row r="86" spans="1:8" x14ac:dyDescent="0.25">
      <c r="A86" s="2">
        <v>45662</v>
      </c>
      <c r="B86" s="1" t="s">
        <v>12</v>
      </c>
      <c r="C86">
        <v>6210</v>
      </c>
      <c r="D86" s="1" t="s">
        <v>39</v>
      </c>
      <c r="E86" s="1" t="s">
        <v>38</v>
      </c>
      <c r="F86">
        <v>5851</v>
      </c>
      <c r="G86" s="1" t="str">
        <f>_xlfn.XLOOKUP(tblActuals[[#This Row],[GL Account]],tblGLMap[GL Account],tblGLMap[Cost Category])</f>
        <v>Utilities</v>
      </c>
      <c r="H86" s="1" t="str">
        <f>TEXT(tblActuals[[#This Row],[Date]],"mmm")</f>
        <v>Jan</v>
      </c>
    </row>
    <row r="87" spans="1:8" x14ac:dyDescent="0.25">
      <c r="A87" s="2">
        <v>45663</v>
      </c>
      <c r="B87" s="1" t="s">
        <v>12</v>
      </c>
      <c r="C87">
        <v>6210</v>
      </c>
      <c r="D87" s="1" t="s">
        <v>35</v>
      </c>
      <c r="E87" s="1" t="s">
        <v>38</v>
      </c>
      <c r="F87">
        <v>3644</v>
      </c>
      <c r="G87" s="1" t="str">
        <f>_xlfn.XLOOKUP(tblActuals[[#This Row],[GL Account]],tblGLMap[GL Account],tblGLMap[Cost Category])</f>
        <v>Utilities</v>
      </c>
      <c r="H87" s="1" t="str">
        <f>TEXT(tblActuals[[#This Row],[Date]],"mmm")</f>
        <v>Jan</v>
      </c>
    </row>
    <row r="88" spans="1:8" x14ac:dyDescent="0.25">
      <c r="A88" s="2">
        <v>45664</v>
      </c>
      <c r="B88" s="1" t="s">
        <v>12</v>
      </c>
      <c r="C88">
        <v>6210</v>
      </c>
      <c r="D88" s="1" t="s">
        <v>39</v>
      </c>
      <c r="E88" s="1" t="s">
        <v>38</v>
      </c>
      <c r="F88">
        <v>6415</v>
      </c>
      <c r="G88" s="1" t="str">
        <f>_xlfn.XLOOKUP(tblActuals[[#This Row],[GL Account]],tblGLMap[GL Account],tblGLMap[Cost Category])</f>
        <v>Utilities</v>
      </c>
      <c r="H88" s="1" t="str">
        <f>TEXT(tblActuals[[#This Row],[Date]],"mmm")</f>
        <v>Jan</v>
      </c>
    </row>
    <row r="89" spans="1:8" x14ac:dyDescent="0.25">
      <c r="A89" s="2">
        <v>45662</v>
      </c>
      <c r="B89" s="1" t="s">
        <v>12</v>
      </c>
      <c r="C89">
        <v>6220</v>
      </c>
      <c r="D89" s="1" t="s">
        <v>31</v>
      </c>
      <c r="E89" s="1" t="s">
        <v>40</v>
      </c>
      <c r="F89">
        <v>6680</v>
      </c>
      <c r="G89" s="1" t="str">
        <f>_xlfn.XLOOKUP(tblActuals[[#This Row],[GL Account]],tblGLMap[GL Account],tblGLMap[Cost Category])</f>
        <v>Utilities</v>
      </c>
      <c r="H89" s="1" t="str">
        <f>TEXT(tblActuals[[#This Row],[Date]],"mmm")</f>
        <v>Jan</v>
      </c>
    </row>
    <row r="90" spans="1:8" x14ac:dyDescent="0.25">
      <c r="A90" s="2">
        <v>45663</v>
      </c>
      <c r="B90" s="1" t="s">
        <v>12</v>
      </c>
      <c r="C90">
        <v>6220</v>
      </c>
      <c r="D90" s="1" t="s">
        <v>39</v>
      </c>
      <c r="E90" s="1" t="s">
        <v>40</v>
      </c>
      <c r="F90">
        <v>1652</v>
      </c>
      <c r="G90" s="1" t="str">
        <f>_xlfn.XLOOKUP(tblActuals[[#This Row],[GL Account]],tblGLMap[GL Account],tblGLMap[Cost Category])</f>
        <v>Utilities</v>
      </c>
      <c r="H90" s="1" t="str">
        <f>TEXT(tblActuals[[#This Row],[Date]],"mmm")</f>
        <v>Jan</v>
      </c>
    </row>
    <row r="91" spans="1:8" x14ac:dyDescent="0.25">
      <c r="A91" s="2">
        <v>45664</v>
      </c>
      <c r="B91" s="1" t="s">
        <v>12</v>
      </c>
      <c r="C91">
        <v>6220</v>
      </c>
      <c r="D91" s="1" t="s">
        <v>32</v>
      </c>
      <c r="E91" s="1" t="s">
        <v>40</v>
      </c>
      <c r="F91">
        <v>11677</v>
      </c>
      <c r="G91" s="1" t="str">
        <f>_xlfn.XLOOKUP(tblActuals[[#This Row],[GL Account]],tblGLMap[GL Account],tblGLMap[Cost Category])</f>
        <v>Utilities</v>
      </c>
      <c r="H91" s="1" t="str">
        <f>TEXT(tblActuals[[#This Row],[Date]],"mmm")</f>
        <v>Jan</v>
      </c>
    </row>
    <row r="92" spans="1:8" x14ac:dyDescent="0.25">
      <c r="A92" s="2">
        <v>45662</v>
      </c>
      <c r="B92" s="1" t="s">
        <v>12</v>
      </c>
      <c r="C92">
        <v>6310</v>
      </c>
      <c r="D92" s="1" t="s">
        <v>31</v>
      </c>
      <c r="E92" s="1" t="s">
        <v>41</v>
      </c>
      <c r="F92">
        <v>3138</v>
      </c>
      <c r="G92" s="1" t="str">
        <f>_xlfn.XLOOKUP(tblActuals[[#This Row],[GL Account]],tblGLMap[GL Account],tblGLMap[Cost Category])</f>
        <v>Maintenance &amp; Repairs</v>
      </c>
      <c r="H92" s="1" t="str">
        <f>TEXT(tblActuals[[#This Row],[Date]],"mmm")</f>
        <v>Jan</v>
      </c>
    </row>
    <row r="93" spans="1:8" x14ac:dyDescent="0.25">
      <c r="A93" s="2">
        <v>45663</v>
      </c>
      <c r="B93" s="1" t="s">
        <v>12</v>
      </c>
      <c r="C93">
        <v>6310</v>
      </c>
      <c r="D93" s="1" t="s">
        <v>34</v>
      </c>
      <c r="E93" s="1" t="s">
        <v>41</v>
      </c>
      <c r="F93">
        <v>10308</v>
      </c>
      <c r="G93" s="1" t="str">
        <f>_xlfn.XLOOKUP(tblActuals[[#This Row],[GL Account]],tblGLMap[GL Account],tblGLMap[Cost Category])</f>
        <v>Maintenance &amp; Repairs</v>
      </c>
      <c r="H93" s="1" t="str">
        <f>TEXT(tblActuals[[#This Row],[Date]],"mmm")</f>
        <v>Jan</v>
      </c>
    </row>
    <row r="94" spans="1:8" x14ac:dyDescent="0.25">
      <c r="A94" s="2">
        <v>45664</v>
      </c>
      <c r="B94" s="1" t="s">
        <v>12</v>
      </c>
      <c r="C94">
        <v>6310</v>
      </c>
      <c r="D94" s="1" t="s">
        <v>29</v>
      </c>
      <c r="E94" s="1" t="s">
        <v>41</v>
      </c>
      <c r="F94">
        <v>9788</v>
      </c>
      <c r="G94" s="1" t="str">
        <f>_xlfn.XLOOKUP(tblActuals[[#This Row],[GL Account]],tblGLMap[GL Account],tblGLMap[Cost Category])</f>
        <v>Maintenance &amp; Repairs</v>
      </c>
      <c r="H94" s="1" t="str">
        <f>TEXT(tblActuals[[#This Row],[Date]],"mmm")</f>
        <v>Jan</v>
      </c>
    </row>
    <row r="95" spans="1:8" x14ac:dyDescent="0.25">
      <c r="A95" s="2">
        <v>45662</v>
      </c>
      <c r="B95" s="1" t="s">
        <v>12</v>
      </c>
      <c r="C95">
        <v>6320</v>
      </c>
      <c r="D95" s="1" t="s">
        <v>29</v>
      </c>
      <c r="E95" s="1" t="s">
        <v>42</v>
      </c>
      <c r="F95">
        <v>3670</v>
      </c>
      <c r="G95" s="1" t="str">
        <f>_xlfn.XLOOKUP(tblActuals[[#This Row],[GL Account]],tblGLMap[GL Account],tblGLMap[Cost Category])</f>
        <v>Maintenance &amp; Repairs</v>
      </c>
      <c r="H95" s="1" t="str">
        <f>TEXT(tblActuals[[#This Row],[Date]],"mmm")</f>
        <v>Jan</v>
      </c>
    </row>
    <row r="96" spans="1:8" x14ac:dyDescent="0.25">
      <c r="A96" s="2">
        <v>45663</v>
      </c>
      <c r="B96" s="1" t="s">
        <v>12</v>
      </c>
      <c r="C96">
        <v>6320</v>
      </c>
      <c r="D96" s="1" t="s">
        <v>34</v>
      </c>
      <c r="E96" s="1" t="s">
        <v>42</v>
      </c>
      <c r="F96">
        <v>2627</v>
      </c>
      <c r="G96" s="1" t="str">
        <f>_xlfn.XLOOKUP(tblActuals[[#This Row],[GL Account]],tblGLMap[GL Account],tblGLMap[Cost Category])</f>
        <v>Maintenance &amp; Repairs</v>
      </c>
      <c r="H96" s="1" t="str">
        <f>TEXT(tblActuals[[#This Row],[Date]],"mmm")</f>
        <v>Jan</v>
      </c>
    </row>
    <row r="97" spans="1:8" x14ac:dyDescent="0.25">
      <c r="A97" s="2">
        <v>45664</v>
      </c>
      <c r="B97" s="1" t="s">
        <v>12</v>
      </c>
      <c r="C97">
        <v>6320</v>
      </c>
      <c r="D97" s="1" t="s">
        <v>29</v>
      </c>
      <c r="E97" s="1" t="s">
        <v>42</v>
      </c>
      <c r="F97">
        <v>7554</v>
      </c>
      <c r="G97" s="1" t="str">
        <f>_xlfn.XLOOKUP(tblActuals[[#This Row],[GL Account]],tblGLMap[GL Account],tblGLMap[Cost Category])</f>
        <v>Maintenance &amp; Repairs</v>
      </c>
      <c r="H97" s="1" t="str">
        <f>TEXT(tblActuals[[#This Row],[Date]],"mmm")</f>
        <v>Jan</v>
      </c>
    </row>
    <row r="98" spans="1:8" x14ac:dyDescent="0.25">
      <c r="A98" s="2">
        <v>45693</v>
      </c>
      <c r="B98" s="1" t="s">
        <v>5</v>
      </c>
      <c r="C98">
        <v>6010</v>
      </c>
      <c r="D98" s="1" t="s">
        <v>39</v>
      </c>
      <c r="E98" s="1" t="s">
        <v>30</v>
      </c>
      <c r="F98">
        <v>4084</v>
      </c>
      <c r="G98" s="1" t="str">
        <f>_xlfn.XLOOKUP(tblActuals[[#This Row],[GL Account]],tblGLMap[GL Account],tblGLMap[Cost Category])</f>
        <v>Labor</v>
      </c>
      <c r="H98" s="1" t="str">
        <f>TEXT(tblActuals[[#This Row],[Date]],"mmm")</f>
        <v>Feb</v>
      </c>
    </row>
    <row r="99" spans="1:8" x14ac:dyDescent="0.25">
      <c r="A99" s="2">
        <v>45694</v>
      </c>
      <c r="B99" s="1" t="s">
        <v>5</v>
      </c>
      <c r="C99">
        <v>6010</v>
      </c>
      <c r="D99" s="1" t="s">
        <v>35</v>
      </c>
      <c r="E99" s="1" t="s">
        <v>30</v>
      </c>
      <c r="F99">
        <v>10400</v>
      </c>
      <c r="G99" s="1" t="str">
        <f>_xlfn.XLOOKUP(tblActuals[[#This Row],[GL Account]],tblGLMap[GL Account],tblGLMap[Cost Category])</f>
        <v>Labor</v>
      </c>
      <c r="H99" s="1" t="str">
        <f>TEXT(tblActuals[[#This Row],[Date]],"mmm")</f>
        <v>Feb</v>
      </c>
    </row>
    <row r="100" spans="1:8" x14ac:dyDescent="0.25">
      <c r="A100" s="2">
        <v>45695</v>
      </c>
      <c r="B100" s="1" t="s">
        <v>5</v>
      </c>
      <c r="C100">
        <v>6010</v>
      </c>
      <c r="D100" s="1" t="s">
        <v>32</v>
      </c>
      <c r="E100" s="1" t="s">
        <v>30</v>
      </c>
      <c r="F100">
        <v>6456</v>
      </c>
      <c r="G100" s="1" t="str">
        <f>_xlfn.XLOOKUP(tblActuals[[#This Row],[GL Account]],tblGLMap[GL Account],tblGLMap[Cost Category])</f>
        <v>Labor</v>
      </c>
      <c r="H100" s="1" t="str">
        <f>TEXT(tblActuals[[#This Row],[Date]],"mmm")</f>
        <v>Feb</v>
      </c>
    </row>
    <row r="101" spans="1:8" x14ac:dyDescent="0.25">
      <c r="A101" s="2">
        <v>45693</v>
      </c>
      <c r="B101" s="1" t="s">
        <v>5</v>
      </c>
      <c r="C101">
        <v>6020</v>
      </c>
      <c r="D101" s="1" t="s">
        <v>31</v>
      </c>
      <c r="E101" s="1" t="s">
        <v>33</v>
      </c>
      <c r="F101">
        <v>10166</v>
      </c>
      <c r="G101" s="1" t="str">
        <f>_xlfn.XLOOKUP(tblActuals[[#This Row],[GL Account]],tblGLMap[GL Account],tblGLMap[Cost Category])</f>
        <v>Labor</v>
      </c>
      <c r="H101" s="1" t="str">
        <f>TEXT(tblActuals[[#This Row],[Date]],"mmm")</f>
        <v>Feb</v>
      </c>
    </row>
    <row r="102" spans="1:8" x14ac:dyDescent="0.25">
      <c r="A102" s="2">
        <v>45694</v>
      </c>
      <c r="B102" s="1" t="s">
        <v>5</v>
      </c>
      <c r="C102">
        <v>6020</v>
      </c>
      <c r="D102" s="1" t="s">
        <v>29</v>
      </c>
      <c r="E102" s="1" t="s">
        <v>33</v>
      </c>
      <c r="F102">
        <v>10586</v>
      </c>
      <c r="G102" s="1" t="str">
        <f>_xlfn.XLOOKUP(tblActuals[[#This Row],[GL Account]],tblGLMap[GL Account],tblGLMap[Cost Category])</f>
        <v>Labor</v>
      </c>
      <c r="H102" s="1" t="str">
        <f>TEXT(tblActuals[[#This Row],[Date]],"mmm")</f>
        <v>Feb</v>
      </c>
    </row>
    <row r="103" spans="1:8" x14ac:dyDescent="0.25">
      <c r="A103" s="2">
        <v>45695</v>
      </c>
      <c r="B103" s="1" t="s">
        <v>5</v>
      </c>
      <c r="C103">
        <v>6020</v>
      </c>
      <c r="D103" s="1" t="s">
        <v>34</v>
      </c>
      <c r="E103" s="1" t="s">
        <v>33</v>
      </c>
      <c r="F103">
        <v>3197</v>
      </c>
      <c r="G103" s="1" t="str">
        <f>_xlfn.XLOOKUP(tblActuals[[#This Row],[GL Account]],tblGLMap[GL Account],tblGLMap[Cost Category])</f>
        <v>Labor</v>
      </c>
      <c r="H103" s="1" t="str">
        <f>TEXT(tblActuals[[#This Row],[Date]],"mmm")</f>
        <v>Feb</v>
      </c>
    </row>
    <row r="104" spans="1:8" x14ac:dyDescent="0.25">
      <c r="A104" s="2">
        <v>45693</v>
      </c>
      <c r="B104" s="1" t="s">
        <v>5</v>
      </c>
      <c r="C104">
        <v>6110</v>
      </c>
      <c r="D104" s="1" t="s">
        <v>31</v>
      </c>
      <c r="E104" s="1" t="s">
        <v>36</v>
      </c>
      <c r="F104">
        <v>5833</v>
      </c>
      <c r="G104" s="1" t="str">
        <f>_xlfn.XLOOKUP(tblActuals[[#This Row],[GL Account]],tblGLMap[GL Account],tblGLMap[Cost Category])</f>
        <v>Supplies &amp; Inventory</v>
      </c>
      <c r="H104" s="1" t="str">
        <f>TEXT(tblActuals[[#This Row],[Date]],"mmm")</f>
        <v>Feb</v>
      </c>
    </row>
    <row r="105" spans="1:8" x14ac:dyDescent="0.25">
      <c r="A105" s="2">
        <v>45694</v>
      </c>
      <c r="B105" s="1" t="s">
        <v>5</v>
      </c>
      <c r="C105">
        <v>6110</v>
      </c>
      <c r="D105" s="1" t="s">
        <v>35</v>
      </c>
      <c r="E105" s="1" t="s">
        <v>36</v>
      </c>
      <c r="F105">
        <v>3253</v>
      </c>
      <c r="G105" s="1" t="str">
        <f>_xlfn.XLOOKUP(tblActuals[[#This Row],[GL Account]],tblGLMap[GL Account],tblGLMap[Cost Category])</f>
        <v>Supplies &amp; Inventory</v>
      </c>
      <c r="H105" s="1" t="str">
        <f>TEXT(tblActuals[[#This Row],[Date]],"mmm")</f>
        <v>Feb</v>
      </c>
    </row>
    <row r="106" spans="1:8" x14ac:dyDescent="0.25">
      <c r="A106" s="2">
        <v>45695</v>
      </c>
      <c r="B106" s="1" t="s">
        <v>5</v>
      </c>
      <c r="C106">
        <v>6110</v>
      </c>
      <c r="D106" s="1" t="s">
        <v>34</v>
      </c>
      <c r="E106" s="1" t="s">
        <v>36</v>
      </c>
      <c r="F106">
        <v>10564</v>
      </c>
      <c r="G106" s="1" t="str">
        <f>_xlfn.XLOOKUP(tblActuals[[#This Row],[GL Account]],tblGLMap[GL Account],tblGLMap[Cost Category])</f>
        <v>Supplies &amp; Inventory</v>
      </c>
      <c r="H106" s="1" t="str">
        <f>TEXT(tblActuals[[#This Row],[Date]],"mmm")</f>
        <v>Feb</v>
      </c>
    </row>
    <row r="107" spans="1:8" x14ac:dyDescent="0.25">
      <c r="A107" s="2">
        <v>45693</v>
      </c>
      <c r="B107" s="1" t="s">
        <v>5</v>
      </c>
      <c r="C107">
        <v>6120</v>
      </c>
      <c r="D107" s="1" t="s">
        <v>29</v>
      </c>
      <c r="E107" s="1" t="s">
        <v>37</v>
      </c>
      <c r="F107">
        <v>5962</v>
      </c>
      <c r="G107" s="1" t="str">
        <f>_xlfn.XLOOKUP(tblActuals[[#This Row],[GL Account]],tblGLMap[GL Account],tblGLMap[Cost Category])</f>
        <v>Supplies &amp; Inventory</v>
      </c>
      <c r="H107" s="1" t="str">
        <f>TEXT(tblActuals[[#This Row],[Date]],"mmm")</f>
        <v>Feb</v>
      </c>
    </row>
    <row r="108" spans="1:8" x14ac:dyDescent="0.25">
      <c r="A108" s="2">
        <v>45694</v>
      </c>
      <c r="B108" s="1" t="s">
        <v>5</v>
      </c>
      <c r="C108">
        <v>6120</v>
      </c>
      <c r="D108" s="1" t="s">
        <v>34</v>
      </c>
      <c r="E108" s="1" t="s">
        <v>37</v>
      </c>
      <c r="F108">
        <v>11409</v>
      </c>
      <c r="G108" s="1" t="str">
        <f>_xlfn.XLOOKUP(tblActuals[[#This Row],[GL Account]],tblGLMap[GL Account],tblGLMap[Cost Category])</f>
        <v>Supplies &amp; Inventory</v>
      </c>
      <c r="H108" s="1" t="str">
        <f>TEXT(tblActuals[[#This Row],[Date]],"mmm")</f>
        <v>Feb</v>
      </c>
    </row>
    <row r="109" spans="1:8" x14ac:dyDescent="0.25">
      <c r="A109" s="2">
        <v>45695</v>
      </c>
      <c r="B109" s="1" t="s">
        <v>5</v>
      </c>
      <c r="C109">
        <v>6120</v>
      </c>
      <c r="D109" s="1" t="s">
        <v>34</v>
      </c>
      <c r="E109" s="1" t="s">
        <v>37</v>
      </c>
      <c r="F109">
        <v>7117</v>
      </c>
      <c r="G109" s="1" t="str">
        <f>_xlfn.XLOOKUP(tblActuals[[#This Row],[GL Account]],tblGLMap[GL Account],tblGLMap[Cost Category])</f>
        <v>Supplies &amp; Inventory</v>
      </c>
      <c r="H109" s="1" t="str">
        <f>TEXT(tblActuals[[#This Row],[Date]],"mmm")</f>
        <v>Feb</v>
      </c>
    </row>
    <row r="110" spans="1:8" x14ac:dyDescent="0.25">
      <c r="A110" s="2">
        <v>45693</v>
      </c>
      <c r="B110" s="1" t="s">
        <v>5</v>
      </c>
      <c r="C110">
        <v>6210</v>
      </c>
      <c r="D110" s="1" t="s">
        <v>29</v>
      </c>
      <c r="E110" s="1" t="s">
        <v>38</v>
      </c>
      <c r="F110">
        <v>11891</v>
      </c>
      <c r="G110" s="1" t="str">
        <f>_xlfn.XLOOKUP(tblActuals[[#This Row],[GL Account]],tblGLMap[GL Account],tblGLMap[Cost Category])</f>
        <v>Utilities</v>
      </c>
      <c r="H110" s="1" t="str">
        <f>TEXT(tblActuals[[#This Row],[Date]],"mmm")</f>
        <v>Feb</v>
      </c>
    </row>
    <row r="111" spans="1:8" x14ac:dyDescent="0.25">
      <c r="A111" s="2">
        <v>45694</v>
      </c>
      <c r="B111" s="1" t="s">
        <v>5</v>
      </c>
      <c r="C111">
        <v>6210</v>
      </c>
      <c r="D111" s="1" t="s">
        <v>39</v>
      </c>
      <c r="E111" s="1" t="s">
        <v>38</v>
      </c>
      <c r="F111">
        <v>9780</v>
      </c>
      <c r="G111" s="1" t="str">
        <f>_xlfn.XLOOKUP(tblActuals[[#This Row],[GL Account]],tblGLMap[GL Account],tblGLMap[Cost Category])</f>
        <v>Utilities</v>
      </c>
      <c r="H111" s="1" t="str">
        <f>TEXT(tblActuals[[#This Row],[Date]],"mmm")</f>
        <v>Feb</v>
      </c>
    </row>
    <row r="112" spans="1:8" x14ac:dyDescent="0.25">
      <c r="A112" s="2">
        <v>45695</v>
      </c>
      <c r="B112" s="1" t="s">
        <v>5</v>
      </c>
      <c r="C112">
        <v>6210</v>
      </c>
      <c r="D112" s="1" t="s">
        <v>31</v>
      </c>
      <c r="E112" s="1" t="s">
        <v>38</v>
      </c>
      <c r="F112">
        <v>5614</v>
      </c>
      <c r="G112" s="1" t="str">
        <f>_xlfn.XLOOKUP(tblActuals[[#This Row],[GL Account]],tblGLMap[GL Account],tblGLMap[Cost Category])</f>
        <v>Utilities</v>
      </c>
      <c r="H112" s="1" t="str">
        <f>TEXT(tblActuals[[#This Row],[Date]],"mmm")</f>
        <v>Feb</v>
      </c>
    </row>
    <row r="113" spans="1:8" x14ac:dyDescent="0.25">
      <c r="A113" s="2">
        <v>45693</v>
      </c>
      <c r="B113" s="1" t="s">
        <v>5</v>
      </c>
      <c r="C113">
        <v>6220</v>
      </c>
      <c r="D113" s="1" t="s">
        <v>35</v>
      </c>
      <c r="E113" s="1" t="s">
        <v>40</v>
      </c>
      <c r="F113">
        <v>3012</v>
      </c>
      <c r="G113" s="1" t="str">
        <f>_xlfn.XLOOKUP(tblActuals[[#This Row],[GL Account]],tblGLMap[GL Account],tblGLMap[Cost Category])</f>
        <v>Utilities</v>
      </c>
      <c r="H113" s="1" t="str">
        <f>TEXT(tblActuals[[#This Row],[Date]],"mmm")</f>
        <v>Feb</v>
      </c>
    </row>
    <row r="114" spans="1:8" x14ac:dyDescent="0.25">
      <c r="A114" s="2">
        <v>45694</v>
      </c>
      <c r="B114" s="1" t="s">
        <v>5</v>
      </c>
      <c r="C114">
        <v>6220</v>
      </c>
      <c r="D114" s="1" t="s">
        <v>29</v>
      </c>
      <c r="E114" s="1" t="s">
        <v>40</v>
      </c>
      <c r="F114">
        <v>8439</v>
      </c>
      <c r="G114" s="1" t="str">
        <f>_xlfn.XLOOKUP(tblActuals[[#This Row],[GL Account]],tblGLMap[GL Account],tblGLMap[Cost Category])</f>
        <v>Utilities</v>
      </c>
      <c r="H114" s="1" t="str">
        <f>TEXT(tblActuals[[#This Row],[Date]],"mmm")</f>
        <v>Feb</v>
      </c>
    </row>
    <row r="115" spans="1:8" x14ac:dyDescent="0.25">
      <c r="A115" s="2">
        <v>45695</v>
      </c>
      <c r="B115" s="1" t="s">
        <v>5</v>
      </c>
      <c r="C115">
        <v>6220</v>
      </c>
      <c r="D115" s="1" t="s">
        <v>31</v>
      </c>
      <c r="E115" s="1" t="s">
        <v>40</v>
      </c>
      <c r="F115">
        <v>2222</v>
      </c>
      <c r="G115" s="1" t="str">
        <f>_xlfn.XLOOKUP(tblActuals[[#This Row],[GL Account]],tblGLMap[GL Account],tblGLMap[Cost Category])</f>
        <v>Utilities</v>
      </c>
      <c r="H115" s="1" t="str">
        <f>TEXT(tblActuals[[#This Row],[Date]],"mmm")</f>
        <v>Feb</v>
      </c>
    </row>
    <row r="116" spans="1:8" x14ac:dyDescent="0.25">
      <c r="A116" s="2">
        <v>45693</v>
      </c>
      <c r="B116" s="1" t="s">
        <v>5</v>
      </c>
      <c r="C116">
        <v>6310</v>
      </c>
      <c r="D116" s="1" t="s">
        <v>34</v>
      </c>
      <c r="E116" s="1" t="s">
        <v>41</v>
      </c>
      <c r="F116">
        <v>6964</v>
      </c>
      <c r="G116" s="1" t="str">
        <f>_xlfn.XLOOKUP(tblActuals[[#This Row],[GL Account]],tblGLMap[GL Account],tblGLMap[Cost Category])</f>
        <v>Maintenance &amp; Repairs</v>
      </c>
      <c r="H116" s="1" t="str">
        <f>TEXT(tblActuals[[#This Row],[Date]],"mmm")</f>
        <v>Feb</v>
      </c>
    </row>
    <row r="117" spans="1:8" x14ac:dyDescent="0.25">
      <c r="A117" s="2">
        <v>45694</v>
      </c>
      <c r="B117" s="1" t="s">
        <v>5</v>
      </c>
      <c r="C117">
        <v>6310</v>
      </c>
      <c r="D117" s="1" t="s">
        <v>29</v>
      </c>
      <c r="E117" s="1" t="s">
        <v>41</v>
      </c>
      <c r="F117">
        <v>11938</v>
      </c>
      <c r="G117" s="1" t="str">
        <f>_xlfn.XLOOKUP(tblActuals[[#This Row],[GL Account]],tblGLMap[GL Account],tblGLMap[Cost Category])</f>
        <v>Maintenance &amp; Repairs</v>
      </c>
      <c r="H117" s="1" t="str">
        <f>TEXT(tblActuals[[#This Row],[Date]],"mmm")</f>
        <v>Feb</v>
      </c>
    </row>
    <row r="118" spans="1:8" x14ac:dyDescent="0.25">
      <c r="A118" s="2">
        <v>45695</v>
      </c>
      <c r="B118" s="1" t="s">
        <v>5</v>
      </c>
      <c r="C118">
        <v>6310</v>
      </c>
      <c r="D118" s="1" t="s">
        <v>35</v>
      </c>
      <c r="E118" s="1" t="s">
        <v>41</v>
      </c>
      <c r="F118">
        <v>4147</v>
      </c>
      <c r="G118" s="1" t="str">
        <f>_xlfn.XLOOKUP(tblActuals[[#This Row],[GL Account]],tblGLMap[GL Account],tblGLMap[Cost Category])</f>
        <v>Maintenance &amp; Repairs</v>
      </c>
      <c r="H118" s="1" t="str">
        <f>TEXT(tblActuals[[#This Row],[Date]],"mmm")</f>
        <v>Feb</v>
      </c>
    </row>
    <row r="119" spans="1:8" x14ac:dyDescent="0.25">
      <c r="A119" s="2">
        <v>45693</v>
      </c>
      <c r="B119" s="1" t="s">
        <v>5</v>
      </c>
      <c r="C119">
        <v>6320</v>
      </c>
      <c r="D119" s="1" t="s">
        <v>32</v>
      </c>
      <c r="E119" s="1" t="s">
        <v>42</v>
      </c>
      <c r="F119">
        <v>8739</v>
      </c>
      <c r="G119" s="1" t="str">
        <f>_xlfn.XLOOKUP(tblActuals[[#This Row],[GL Account]],tblGLMap[GL Account],tblGLMap[Cost Category])</f>
        <v>Maintenance &amp; Repairs</v>
      </c>
      <c r="H119" s="1" t="str">
        <f>TEXT(tblActuals[[#This Row],[Date]],"mmm")</f>
        <v>Feb</v>
      </c>
    </row>
    <row r="120" spans="1:8" x14ac:dyDescent="0.25">
      <c r="A120" s="2">
        <v>45694</v>
      </c>
      <c r="B120" s="1" t="s">
        <v>5</v>
      </c>
      <c r="C120">
        <v>6320</v>
      </c>
      <c r="D120" s="1" t="s">
        <v>32</v>
      </c>
      <c r="E120" s="1" t="s">
        <v>42</v>
      </c>
      <c r="F120">
        <v>8507</v>
      </c>
      <c r="G120" s="1" t="str">
        <f>_xlfn.XLOOKUP(tblActuals[[#This Row],[GL Account]],tblGLMap[GL Account],tblGLMap[Cost Category])</f>
        <v>Maintenance &amp; Repairs</v>
      </c>
      <c r="H120" s="1" t="str">
        <f>TEXT(tblActuals[[#This Row],[Date]],"mmm")</f>
        <v>Feb</v>
      </c>
    </row>
    <row r="121" spans="1:8" x14ac:dyDescent="0.25">
      <c r="A121" s="2">
        <v>45695</v>
      </c>
      <c r="B121" s="1" t="s">
        <v>5</v>
      </c>
      <c r="C121">
        <v>6320</v>
      </c>
      <c r="D121" s="1" t="s">
        <v>31</v>
      </c>
      <c r="E121" s="1" t="s">
        <v>42</v>
      </c>
      <c r="F121">
        <v>1658</v>
      </c>
      <c r="G121" s="1" t="str">
        <f>_xlfn.XLOOKUP(tblActuals[[#This Row],[GL Account]],tblGLMap[GL Account],tblGLMap[Cost Category])</f>
        <v>Maintenance &amp; Repairs</v>
      </c>
      <c r="H121" s="1" t="str">
        <f>TEXT(tblActuals[[#This Row],[Date]],"mmm")</f>
        <v>Feb</v>
      </c>
    </row>
    <row r="122" spans="1:8" x14ac:dyDescent="0.25">
      <c r="A122" s="2">
        <v>45693</v>
      </c>
      <c r="B122" s="1" t="s">
        <v>10</v>
      </c>
      <c r="C122">
        <v>6010</v>
      </c>
      <c r="D122" s="1" t="s">
        <v>35</v>
      </c>
      <c r="E122" s="1" t="s">
        <v>30</v>
      </c>
      <c r="F122">
        <v>2732</v>
      </c>
      <c r="G122" s="1" t="str">
        <f>_xlfn.XLOOKUP(tblActuals[[#This Row],[GL Account]],tblGLMap[GL Account],tblGLMap[Cost Category])</f>
        <v>Labor</v>
      </c>
      <c r="H122" s="1" t="str">
        <f>TEXT(tblActuals[[#This Row],[Date]],"mmm")</f>
        <v>Feb</v>
      </c>
    </row>
    <row r="123" spans="1:8" x14ac:dyDescent="0.25">
      <c r="A123" s="2">
        <v>45694</v>
      </c>
      <c r="B123" s="1" t="s">
        <v>10</v>
      </c>
      <c r="C123">
        <v>6010</v>
      </c>
      <c r="D123" s="1" t="s">
        <v>32</v>
      </c>
      <c r="E123" s="1" t="s">
        <v>30</v>
      </c>
      <c r="F123">
        <v>3942</v>
      </c>
      <c r="G123" s="1" t="str">
        <f>_xlfn.XLOOKUP(tblActuals[[#This Row],[GL Account]],tblGLMap[GL Account],tblGLMap[Cost Category])</f>
        <v>Labor</v>
      </c>
      <c r="H123" s="1" t="str">
        <f>TEXT(tblActuals[[#This Row],[Date]],"mmm")</f>
        <v>Feb</v>
      </c>
    </row>
    <row r="124" spans="1:8" x14ac:dyDescent="0.25">
      <c r="A124" s="2">
        <v>45695</v>
      </c>
      <c r="B124" s="1" t="s">
        <v>10</v>
      </c>
      <c r="C124">
        <v>6010</v>
      </c>
      <c r="D124" s="1" t="s">
        <v>29</v>
      </c>
      <c r="E124" s="1" t="s">
        <v>30</v>
      </c>
      <c r="F124">
        <v>2090</v>
      </c>
      <c r="G124" s="1" t="str">
        <f>_xlfn.XLOOKUP(tblActuals[[#This Row],[GL Account]],tblGLMap[GL Account],tblGLMap[Cost Category])</f>
        <v>Labor</v>
      </c>
      <c r="H124" s="1" t="str">
        <f>TEXT(tblActuals[[#This Row],[Date]],"mmm")</f>
        <v>Feb</v>
      </c>
    </row>
    <row r="125" spans="1:8" x14ac:dyDescent="0.25">
      <c r="A125" s="2">
        <v>45693</v>
      </c>
      <c r="B125" s="1" t="s">
        <v>10</v>
      </c>
      <c r="C125">
        <v>6020</v>
      </c>
      <c r="D125" s="1" t="s">
        <v>32</v>
      </c>
      <c r="E125" s="1" t="s">
        <v>33</v>
      </c>
      <c r="F125">
        <v>11043</v>
      </c>
      <c r="G125" s="1" t="str">
        <f>_xlfn.XLOOKUP(tblActuals[[#This Row],[GL Account]],tblGLMap[GL Account],tblGLMap[Cost Category])</f>
        <v>Labor</v>
      </c>
      <c r="H125" s="1" t="str">
        <f>TEXT(tblActuals[[#This Row],[Date]],"mmm")</f>
        <v>Feb</v>
      </c>
    </row>
    <row r="126" spans="1:8" x14ac:dyDescent="0.25">
      <c r="A126" s="2">
        <v>45694</v>
      </c>
      <c r="B126" s="1" t="s">
        <v>10</v>
      </c>
      <c r="C126">
        <v>6020</v>
      </c>
      <c r="D126" s="1" t="s">
        <v>39</v>
      </c>
      <c r="E126" s="1" t="s">
        <v>33</v>
      </c>
      <c r="F126">
        <v>3926</v>
      </c>
      <c r="G126" s="1" t="str">
        <f>_xlfn.XLOOKUP(tblActuals[[#This Row],[GL Account]],tblGLMap[GL Account],tblGLMap[Cost Category])</f>
        <v>Labor</v>
      </c>
      <c r="H126" s="1" t="str">
        <f>TEXT(tblActuals[[#This Row],[Date]],"mmm")</f>
        <v>Feb</v>
      </c>
    </row>
    <row r="127" spans="1:8" x14ac:dyDescent="0.25">
      <c r="A127" s="2">
        <v>45695</v>
      </c>
      <c r="B127" s="1" t="s">
        <v>10</v>
      </c>
      <c r="C127">
        <v>6020</v>
      </c>
      <c r="D127" s="1" t="s">
        <v>31</v>
      </c>
      <c r="E127" s="1" t="s">
        <v>33</v>
      </c>
      <c r="F127">
        <v>3588</v>
      </c>
      <c r="G127" s="1" t="str">
        <f>_xlfn.XLOOKUP(tblActuals[[#This Row],[GL Account]],tblGLMap[GL Account],tblGLMap[Cost Category])</f>
        <v>Labor</v>
      </c>
      <c r="H127" s="1" t="str">
        <f>TEXT(tblActuals[[#This Row],[Date]],"mmm")</f>
        <v>Feb</v>
      </c>
    </row>
    <row r="128" spans="1:8" x14ac:dyDescent="0.25">
      <c r="A128" s="2">
        <v>45693</v>
      </c>
      <c r="B128" s="1" t="s">
        <v>10</v>
      </c>
      <c r="C128">
        <v>6110</v>
      </c>
      <c r="D128" s="1" t="s">
        <v>29</v>
      </c>
      <c r="E128" s="1" t="s">
        <v>36</v>
      </c>
      <c r="F128">
        <v>6550</v>
      </c>
      <c r="G128" s="1" t="str">
        <f>_xlfn.XLOOKUP(tblActuals[[#This Row],[GL Account]],tblGLMap[GL Account],tblGLMap[Cost Category])</f>
        <v>Supplies &amp; Inventory</v>
      </c>
      <c r="H128" s="1" t="str">
        <f>TEXT(tblActuals[[#This Row],[Date]],"mmm")</f>
        <v>Feb</v>
      </c>
    </row>
    <row r="129" spans="1:8" x14ac:dyDescent="0.25">
      <c r="A129" s="2">
        <v>45694</v>
      </c>
      <c r="B129" s="1" t="s">
        <v>10</v>
      </c>
      <c r="C129">
        <v>6110</v>
      </c>
      <c r="D129" s="1" t="s">
        <v>29</v>
      </c>
      <c r="E129" s="1" t="s">
        <v>36</v>
      </c>
      <c r="F129">
        <v>2153</v>
      </c>
      <c r="G129" s="1" t="str">
        <f>_xlfn.XLOOKUP(tblActuals[[#This Row],[GL Account]],tblGLMap[GL Account],tblGLMap[Cost Category])</f>
        <v>Supplies &amp; Inventory</v>
      </c>
      <c r="H129" s="1" t="str">
        <f>TEXT(tblActuals[[#This Row],[Date]],"mmm")</f>
        <v>Feb</v>
      </c>
    </row>
    <row r="130" spans="1:8" x14ac:dyDescent="0.25">
      <c r="A130" s="2">
        <v>45695</v>
      </c>
      <c r="B130" s="1" t="s">
        <v>10</v>
      </c>
      <c r="C130">
        <v>6110</v>
      </c>
      <c r="D130" s="1" t="s">
        <v>35</v>
      </c>
      <c r="E130" s="1" t="s">
        <v>36</v>
      </c>
      <c r="F130">
        <v>4941</v>
      </c>
      <c r="G130" s="1" t="str">
        <f>_xlfn.XLOOKUP(tblActuals[[#This Row],[GL Account]],tblGLMap[GL Account],tblGLMap[Cost Category])</f>
        <v>Supplies &amp; Inventory</v>
      </c>
      <c r="H130" s="1" t="str">
        <f>TEXT(tblActuals[[#This Row],[Date]],"mmm")</f>
        <v>Feb</v>
      </c>
    </row>
    <row r="131" spans="1:8" x14ac:dyDescent="0.25">
      <c r="A131" s="2">
        <v>45693</v>
      </c>
      <c r="B131" s="1" t="s">
        <v>10</v>
      </c>
      <c r="C131">
        <v>6120</v>
      </c>
      <c r="D131" s="1" t="s">
        <v>35</v>
      </c>
      <c r="E131" s="1" t="s">
        <v>37</v>
      </c>
      <c r="F131">
        <v>5588</v>
      </c>
      <c r="G131" s="1" t="str">
        <f>_xlfn.XLOOKUP(tblActuals[[#This Row],[GL Account]],tblGLMap[GL Account],tblGLMap[Cost Category])</f>
        <v>Supplies &amp; Inventory</v>
      </c>
      <c r="H131" s="1" t="str">
        <f>TEXT(tblActuals[[#This Row],[Date]],"mmm")</f>
        <v>Feb</v>
      </c>
    </row>
    <row r="132" spans="1:8" x14ac:dyDescent="0.25">
      <c r="A132" s="2">
        <v>45694</v>
      </c>
      <c r="B132" s="1" t="s">
        <v>10</v>
      </c>
      <c r="C132">
        <v>6120</v>
      </c>
      <c r="D132" s="1" t="s">
        <v>29</v>
      </c>
      <c r="E132" s="1" t="s">
        <v>37</v>
      </c>
      <c r="F132">
        <v>3184</v>
      </c>
      <c r="G132" s="1" t="str">
        <f>_xlfn.XLOOKUP(tblActuals[[#This Row],[GL Account]],tblGLMap[GL Account],tblGLMap[Cost Category])</f>
        <v>Supplies &amp; Inventory</v>
      </c>
      <c r="H132" s="1" t="str">
        <f>TEXT(tblActuals[[#This Row],[Date]],"mmm")</f>
        <v>Feb</v>
      </c>
    </row>
    <row r="133" spans="1:8" x14ac:dyDescent="0.25">
      <c r="A133" s="2">
        <v>45695</v>
      </c>
      <c r="B133" s="1" t="s">
        <v>10</v>
      </c>
      <c r="C133">
        <v>6120</v>
      </c>
      <c r="D133" s="1" t="s">
        <v>39</v>
      </c>
      <c r="E133" s="1" t="s">
        <v>37</v>
      </c>
      <c r="F133">
        <v>10673</v>
      </c>
      <c r="G133" s="1" t="str">
        <f>_xlfn.XLOOKUP(tblActuals[[#This Row],[GL Account]],tblGLMap[GL Account],tblGLMap[Cost Category])</f>
        <v>Supplies &amp; Inventory</v>
      </c>
      <c r="H133" s="1" t="str">
        <f>TEXT(tblActuals[[#This Row],[Date]],"mmm")</f>
        <v>Feb</v>
      </c>
    </row>
    <row r="134" spans="1:8" x14ac:dyDescent="0.25">
      <c r="A134" s="2">
        <v>45693</v>
      </c>
      <c r="B134" s="1" t="s">
        <v>10</v>
      </c>
      <c r="C134">
        <v>6210</v>
      </c>
      <c r="D134" s="1" t="s">
        <v>35</v>
      </c>
      <c r="E134" s="1" t="s">
        <v>38</v>
      </c>
      <c r="F134">
        <v>11668</v>
      </c>
      <c r="G134" s="1" t="str">
        <f>_xlfn.XLOOKUP(tblActuals[[#This Row],[GL Account]],tblGLMap[GL Account],tblGLMap[Cost Category])</f>
        <v>Utilities</v>
      </c>
      <c r="H134" s="1" t="str">
        <f>TEXT(tblActuals[[#This Row],[Date]],"mmm")</f>
        <v>Feb</v>
      </c>
    </row>
    <row r="135" spans="1:8" x14ac:dyDescent="0.25">
      <c r="A135" s="2">
        <v>45694</v>
      </c>
      <c r="B135" s="1" t="s">
        <v>10</v>
      </c>
      <c r="C135">
        <v>6210</v>
      </c>
      <c r="D135" s="1" t="s">
        <v>34</v>
      </c>
      <c r="E135" s="1" t="s">
        <v>38</v>
      </c>
      <c r="F135">
        <v>4032</v>
      </c>
      <c r="G135" s="1" t="str">
        <f>_xlfn.XLOOKUP(tblActuals[[#This Row],[GL Account]],tblGLMap[GL Account],tblGLMap[Cost Category])</f>
        <v>Utilities</v>
      </c>
      <c r="H135" s="1" t="str">
        <f>TEXT(tblActuals[[#This Row],[Date]],"mmm")</f>
        <v>Feb</v>
      </c>
    </row>
    <row r="136" spans="1:8" x14ac:dyDescent="0.25">
      <c r="A136" s="2">
        <v>45695</v>
      </c>
      <c r="B136" s="1" t="s">
        <v>10</v>
      </c>
      <c r="C136">
        <v>6210</v>
      </c>
      <c r="D136" s="1" t="s">
        <v>34</v>
      </c>
      <c r="E136" s="1" t="s">
        <v>38</v>
      </c>
      <c r="F136">
        <v>4162</v>
      </c>
      <c r="G136" s="1" t="str">
        <f>_xlfn.XLOOKUP(tblActuals[[#This Row],[GL Account]],tblGLMap[GL Account],tblGLMap[Cost Category])</f>
        <v>Utilities</v>
      </c>
      <c r="H136" s="1" t="str">
        <f>TEXT(tblActuals[[#This Row],[Date]],"mmm")</f>
        <v>Feb</v>
      </c>
    </row>
    <row r="137" spans="1:8" x14ac:dyDescent="0.25">
      <c r="A137" s="2">
        <v>45693</v>
      </c>
      <c r="B137" s="1" t="s">
        <v>10</v>
      </c>
      <c r="C137">
        <v>6220</v>
      </c>
      <c r="D137" s="1" t="s">
        <v>31</v>
      </c>
      <c r="E137" s="1" t="s">
        <v>40</v>
      </c>
      <c r="F137">
        <v>8255</v>
      </c>
      <c r="G137" s="1" t="str">
        <f>_xlfn.XLOOKUP(tblActuals[[#This Row],[GL Account]],tblGLMap[GL Account],tblGLMap[Cost Category])</f>
        <v>Utilities</v>
      </c>
      <c r="H137" s="1" t="str">
        <f>TEXT(tblActuals[[#This Row],[Date]],"mmm")</f>
        <v>Feb</v>
      </c>
    </row>
    <row r="138" spans="1:8" x14ac:dyDescent="0.25">
      <c r="A138" s="2">
        <v>45694</v>
      </c>
      <c r="B138" s="1" t="s">
        <v>10</v>
      </c>
      <c r="C138">
        <v>6220</v>
      </c>
      <c r="D138" s="1" t="s">
        <v>35</v>
      </c>
      <c r="E138" s="1" t="s">
        <v>40</v>
      </c>
      <c r="F138">
        <v>4438</v>
      </c>
      <c r="G138" s="1" t="str">
        <f>_xlfn.XLOOKUP(tblActuals[[#This Row],[GL Account]],tblGLMap[GL Account],tblGLMap[Cost Category])</f>
        <v>Utilities</v>
      </c>
      <c r="H138" s="1" t="str">
        <f>TEXT(tblActuals[[#This Row],[Date]],"mmm")</f>
        <v>Feb</v>
      </c>
    </row>
    <row r="139" spans="1:8" x14ac:dyDescent="0.25">
      <c r="A139" s="2">
        <v>45695</v>
      </c>
      <c r="B139" s="1" t="s">
        <v>10</v>
      </c>
      <c r="C139">
        <v>6220</v>
      </c>
      <c r="D139" s="1" t="s">
        <v>39</v>
      </c>
      <c r="E139" s="1" t="s">
        <v>40</v>
      </c>
      <c r="F139">
        <v>6942</v>
      </c>
      <c r="G139" s="1" t="str">
        <f>_xlfn.XLOOKUP(tblActuals[[#This Row],[GL Account]],tblGLMap[GL Account],tblGLMap[Cost Category])</f>
        <v>Utilities</v>
      </c>
      <c r="H139" s="1" t="str">
        <f>TEXT(tblActuals[[#This Row],[Date]],"mmm")</f>
        <v>Feb</v>
      </c>
    </row>
    <row r="140" spans="1:8" x14ac:dyDescent="0.25">
      <c r="A140" s="2">
        <v>45693</v>
      </c>
      <c r="B140" s="1" t="s">
        <v>10</v>
      </c>
      <c r="C140">
        <v>6310</v>
      </c>
      <c r="D140" s="1" t="s">
        <v>29</v>
      </c>
      <c r="E140" s="1" t="s">
        <v>41</v>
      </c>
      <c r="F140">
        <v>5565</v>
      </c>
      <c r="G140" s="1" t="str">
        <f>_xlfn.XLOOKUP(tblActuals[[#This Row],[GL Account]],tblGLMap[GL Account],tblGLMap[Cost Category])</f>
        <v>Maintenance &amp; Repairs</v>
      </c>
      <c r="H140" s="1" t="str">
        <f>TEXT(tblActuals[[#This Row],[Date]],"mmm")</f>
        <v>Feb</v>
      </c>
    </row>
    <row r="141" spans="1:8" x14ac:dyDescent="0.25">
      <c r="A141" s="2">
        <v>45694</v>
      </c>
      <c r="B141" s="1" t="s">
        <v>10</v>
      </c>
      <c r="C141">
        <v>6310</v>
      </c>
      <c r="D141" s="1" t="s">
        <v>35</v>
      </c>
      <c r="E141" s="1" t="s">
        <v>41</v>
      </c>
      <c r="F141">
        <v>4108</v>
      </c>
      <c r="G141" s="1" t="str">
        <f>_xlfn.XLOOKUP(tblActuals[[#This Row],[GL Account]],tblGLMap[GL Account],tblGLMap[Cost Category])</f>
        <v>Maintenance &amp; Repairs</v>
      </c>
      <c r="H141" s="1" t="str">
        <f>TEXT(tblActuals[[#This Row],[Date]],"mmm")</f>
        <v>Feb</v>
      </c>
    </row>
    <row r="142" spans="1:8" x14ac:dyDescent="0.25">
      <c r="A142" s="2">
        <v>45695</v>
      </c>
      <c r="B142" s="1" t="s">
        <v>10</v>
      </c>
      <c r="C142">
        <v>6310</v>
      </c>
      <c r="D142" s="1" t="s">
        <v>39</v>
      </c>
      <c r="E142" s="1" t="s">
        <v>41</v>
      </c>
      <c r="F142">
        <v>3271</v>
      </c>
      <c r="G142" s="1" t="str">
        <f>_xlfn.XLOOKUP(tblActuals[[#This Row],[GL Account]],tblGLMap[GL Account],tblGLMap[Cost Category])</f>
        <v>Maintenance &amp; Repairs</v>
      </c>
      <c r="H142" s="1" t="str">
        <f>TEXT(tblActuals[[#This Row],[Date]],"mmm")</f>
        <v>Feb</v>
      </c>
    </row>
    <row r="143" spans="1:8" x14ac:dyDescent="0.25">
      <c r="A143" s="2">
        <v>45693</v>
      </c>
      <c r="B143" s="1" t="s">
        <v>10</v>
      </c>
      <c r="C143">
        <v>6320</v>
      </c>
      <c r="D143" s="1" t="s">
        <v>39</v>
      </c>
      <c r="E143" s="1" t="s">
        <v>42</v>
      </c>
      <c r="F143">
        <v>2134</v>
      </c>
      <c r="G143" s="1" t="str">
        <f>_xlfn.XLOOKUP(tblActuals[[#This Row],[GL Account]],tblGLMap[GL Account],tblGLMap[Cost Category])</f>
        <v>Maintenance &amp; Repairs</v>
      </c>
      <c r="H143" s="1" t="str">
        <f>TEXT(tblActuals[[#This Row],[Date]],"mmm")</f>
        <v>Feb</v>
      </c>
    </row>
    <row r="144" spans="1:8" x14ac:dyDescent="0.25">
      <c r="A144" s="2">
        <v>45694</v>
      </c>
      <c r="B144" s="1" t="s">
        <v>10</v>
      </c>
      <c r="C144">
        <v>6320</v>
      </c>
      <c r="D144" s="1" t="s">
        <v>34</v>
      </c>
      <c r="E144" s="1" t="s">
        <v>42</v>
      </c>
      <c r="F144">
        <v>5144</v>
      </c>
      <c r="G144" s="1" t="str">
        <f>_xlfn.XLOOKUP(tblActuals[[#This Row],[GL Account]],tblGLMap[GL Account],tblGLMap[Cost Category])</f>
        <v>Maintenance &amp; Repairs</v>
      </c>
      <c r="H144" s="1" t="str">
        <f>TEXT(tblActuals[[#This Row],[Date]],"mmm")</f>
        <v>Feb</v>
      </c>
    </row>
    <row r="145" spans="1:8" x14ac:dyDescent="0.25">
      <c r="A145" s="2">
        <v>45695</v>
      </c>
      <c r="B145" s="1" t="s">
        <v>10</v>
      </c>
      <c r="C145">
        <v>6320</v>
      </c>
      <c r="D145" s="1" t="s">
        <v>29</v>
      </c>
      <c r="E145" s="1" t="s">
        <v>42</v>
      </c>
      <c r="F145">
        <v>9041</v>
      </c>
      <c r="G145" s="1" t="str">
        <f>_xlfn.XLOOKUP(tblActuals[[#This Row],[GL Account]],tblGLMap[GL Account],tblGLMap[Cost Category])</f>
        <v>Maintenance &amp; Repairs</v>
      </c>
      <c r="H145" s="1" t="str">
        <f>TEXT(tblActuals[[#This Row],[Date]],"mmm")</f>
        <v>Feb</v>
      </c>
    </row>
    <row r="146" spans="1:8" x14ac:dyDescent="0.25">
      <c r="A146" s="2">
        <v>45693</v>
      </c>
      <c r="B146" s="1" t="s">
        <v>11</v>
      </c>
      <c r="C146">
        <v>6010</v>
      </c>
      <c r="D146" s="1" t="s">
        <v>34</v>
      </c>
      <c r="E146" s="1" t="s">
        <v>30</v>
      </c>
      <c r="F146">
        <v>6500</v>
      </c>
      <c r="G146" s="1" t="str">
        <f>_xlfn.XLOOKUP(tblActuals[[#This Row],[GL Account]],tblGLMap[GL Account],tblGLMap[Cost Category])</f>
        <v>Labor</v>
      </c>
      <c r="H146" s="1" t="str">
        <f>TEXT(tblActuals[[#This Row],[Date]],"mmm")</f>
        <v>Feb</v>
      </c>
    </row>
    <row r="147" spans="1:8" x14ac:dyDescent="0.25">
      <c r="A147" s="2">
        <v>45694</v>
      </c>
      <c r="B147" s="1" t="s">
        <v>11</v>
      </c>
      <c r="C147">
        <v>6010</v>
      </c>
      <c r="D147" s="1" t="s">
        <v>31</v>
      </c>
      <c r="E147" s="1" t="s">
        <v>30</v>
      </c>
      <c r="F147">
        <v>5152</v>
      </c>
      <c r="G147" s="1" t="str">
        <f>_xlfn.XLOOKUP(tblActuals[[#This Row],[GL Account]],tblGLMap[GL Account],tblGLMap[Cost Category])</f>
        <v>Labor</v>
      </c>
      <c r="H147" s="1" t="str">
        <f>TEXT(tblActuals[[#This Row],[Date]],"mmm")</f>
        <v>Feb</v>
      </c>
    </row>
    <row r="148" spans="1:8" x14ac:dyDescent="0.25">
      <c r="A148" s="2">
        <v>45695</v>
      </c>
      <c r="B148" s="1" t="s">
        <v>11</v>
      </c>
      <c r="C148">
        <v>6010</v>
      </c>
      <c r="D148" s="1" t="s">
        <v>39</v>
      </c>
      <c r="E148" s="1" t="s">
        <v>30</v>
      </c>
      <c r="F148">
        <v>4664</v>
      </c>
      <c r="G148" s="1" t="str">
        <f>_xlfn.XLOOKUP(tblActuals[[#This Row],[GL Account]],tblGLMap[GL Account],tblGLMap[Cost Category])</f>
        <v>Labor</v>
      </c>
      <c r="H148" s="1" t="str">
        <f>TEXT(tblActuals[[#This Row],[Date]],"mmm")</f>
        <v>Feb</v>
      </c>
    </row>
    <row r="149" spans="1:8" x14ac:dyDescent="0.25">
      <c r="A149" s="2">
        <v>45693</v>
      </c>
      <c r="B149" s="1" t="s">
        <v>11</v>
      </c>
      <c r="C149">
        <v>6020</v>
      </c>
      <c r="D149" s="1" t="s">
        <v>29</v>
      </c>
      <c r="E149" s="1" t="s">
        <v>33</v>
      </c>
      <c r="F149">
        <v>6878</v>
      </c>
      <c r="G149" s="1" t="str">
        <f>_xlfn.XLOOKUP(tblActuals[[#This Row],[GL Account]],tblGLMap[GL Account],tblGLMap[Cost Category])</f>
        <v>Labor</v>
      </c>
      <c r="H149" s="1" t="str">
        <f>TEXT(tblActuals[[#This Row],[Date]],"mmm")</f>
        <v>Feb</v>
      </c>
    </row>
    <row r="150" spans="1:8" x14ac:dyDescent="0.25">
      <c r="A150" s="2">
        <v>45694</v>
      </c>
      <c r="B150" s="1" t="s">
        <v>11</v>
      </c>
      <c r="C150">
        <v>6020</v>
      </c>
      <c r="D150" s="1" t="s">
        <v>29</v>
      </c>
      <c r="E150" s="1" t="s">
        <v>33</v>
      </c>
      <c r="F150">
        <v>2637</v>
      </c>
      <c r="G150" s="1" t="str">
        <f>_xlfn.XLOOKUP(tblActuals[[#This Row],[GL Account]],tblGLMap[GL Account],tblGLMap[Cost Category])</f>
        <v>Labor</v>
      </c>
      <c r="H150" s="1" t="str">
        <f>TEXT(tblActuals[[#This Row],[Date]],"mmm")</f>
        <v>Feb</v>
      </c>
    </row>
    <row r="151" spans="1:8" x14ac:dyDescent="0.25">
      <c r="A151" s="2">
        <v>45695</v>
      </c>
      <c r="B151" s="1" t="s">
        <v>11</v>
      </c>
      <c r="C151">
        <v>6020</v>
      </c>
      <c r="D151" s="1" t="s">
        <v>35</v>
      </c>
      <c r="E151" s="1" t="s">
        <v>33</v>
      </c>
      <c r="F151">
        <v>7253</v>
      </c>
      <c r="G151" s="1" t="str">
        <f>_xlfn.XLOOKUP(tblActuals[[#This Row],[GL Account]],tblGLMap[GL Account],tblGLMap[Cost Category])</f>
        <v>Labor</v>
      </c>
      <c r="H151" s="1" t="str">
        <f>TEXT(tblActuals[[#This Row],[Date]],"mmm")</f>
        <v>Feb</v>
      </c>
    </row>
    <row r="152" spans="1:8" x14ac:dyDescent="0.25">
      <c r="A152" s="2">
        <v>45693</v>
      </c>
      <c r="B152" s="1" t="s">
        <v>11</v>
      </c>
      <c r="C152">
        <v>6110</v>
      </c>
      <c r="D152" s="1" t="s">
        <v>39</v>
      </c>
      <c r="E152" s="1" t="s">
        <v>36</v>
      </c>
      <c r="F152">
        <v>9846</v>
      </c>
      <c r="G152" s="1" t="str">
        <f>_xlfn.XLOOKUP(tblActuals[[#This Row],[GL Account]],tblGLMap[GL Account],tblGLMap[Cost Category])</f>
        <v>Supplies &amp; Inventory</v>
      </c>
      <c r="H152" s="1" t="str">
        <f>TEXT(tblActuals[[#This Row],[Date]],"mmm")</f>
        <v>Feb</v>
      </c>
    </row>
    <row r="153" spans="1:8" x14ac:dyDescent="0.25">
      <c r="A153" s="2">
        <v>45694</v>
      </c>
      <c r="B153" s="1" t="s">
        <v>11</v>
      </c>
      <c r="C153">
        <v>6110</v>
      </c>
      <c r="D153" s="1" t="s">
        <v>29</v>
      </c>
      <c r="E153" s="1" t="s">
        <v>36</v>
      </c>
      <c r="F153">
        <v>10285</v>
      </c>
      <c r="G153" s="1" t="str">
        <f>_xlfn.XLOOKUP(tblActuals[[#This Row],[GL Account]],tblGLMap[GL Account],tblGLMap[Cost Category])</f>
        <v>Supplies &amp; Inventory</v>
      </c>
      <c r="H153" s="1" t="str">
        <f>TEXT(tblActuals[[#This Row],[Date]],"mmm")</f>
        <v>Feb</v>
      </c>
    </row>
    <row r="154" spans="1:8" x14ac:dyDescent="0.25">
      <c r="A154" s="2">
        <v>45695</v>
      </c>
      <c r="B154" s="1" t="s">
        <v>11</v>
      </c>
      <c r="C154">
        <v>6110</v>
      </c>
      <c r="D154" s="1" t="s">
        <v>31</v>
      </c>
      <c r="E154" s="1" t="s">
        <v>36</v>
      </c>
      <c r="F154">
        <v>1952</v>
      </c>
      <c r="G154" s="1" t="str">
        <f>_xlfn.XLOOKUP(tblActuals[[#This Row],[GL Account]],tblGLMap[GL Account],tblGLMap[Cost Category])</f>
        <v>Supplies &amp; Inventory</v>
      </c>
      <c r="H154" s="1" t="str">
        <f>TEXT(tblActuals[[#This Row],[Date]],"mmm")</f>
        <v>Feb</v>
      </c>
    </row>
    <row r="155" spans="1:8" x14ac:dyDescent="0.25">
      <c r="A155" s="2">
        <v>45693</v>
      </c>
      <c r="B155" s="1" t="s">
        <v>11</v>
      </c>
      <c r="C155">
        <v>6120</v>
      </c>
      <c r="D155" s="1" t="s">
        <v>34</v>
      </c>
      <c r="E155" s="1" t="s">
        <v>37</v>
      </c>
      <c r="F155">
        <v>5779</v>
      </c>
      <c r="G155" s="1" t="str">
        <f>_xlfn.XLOOKUP(tblActuals[[#This Row],[GL Account]],tblGLMap[GL Account],tblGLMap[Cost Category])</f>
        <v>Supplies &amp; Inventory</v>
      </c>
      <c r="H155" s="1" t="str">
        <f>TEXT(tblActuals[[#This Row],[Date]],"mmm")</f>
        <v>Feb</v>
      </c>
    </row>
    <row r="156" spans="1:8" x14ac:dyDescent="0.25">
      <c r="A156" s="2">
        <v>45694</v>
      </c>
      <c r="B156" s="1" t="s">
        <v>11</v>
      </c>
      <c r="C156">
        <v>6120</v>
      </c>
      <c r="D156" s="1" t="s">
        <v>29</v>
      </c>
      <c r="E156" s="1" t="s">
        <v>37</v>
      </c>
      <c r="F156">
        <v>11012</v>
      </c>
      <c r="G156" s="1" t="str">
        <f>_xlfn.XLOOKUP(tblActuals[[#This Row],[GL Account]],tblGLMap[GL Account],tblGLMap[Cost Category])</f>
        <v>Supplies &amp; Inventory</v>
      </c>
      <c r="H156" s="1" t="str">
        <f>TEXT(tblActuals[[#This Row],[Date]],"mmm")</f>
        <v>Feb</v>
      </c>
    </row>
    <row r="157" spans="1:8" x14ac:dyDescent="0.25">
      <c r="A157" s="2">
        <v>45695</v>
      </c>
      <c r="B157" s="1" t="s">
        <v>11</v>
      </c>
      <c r="C157">
        <v>6120</v>
      </c>
      <c r="D157" s="1" t="s">
        <v>31</v>
      </c>
      <c r="E157" s="1" t="s">
        <v>37</v>
      </c>
      <c r="F157">
        <v>2126</v>
      </c>
      <c r="G157" s="1" t="str">
        <f>_xlfn.XLOOKUP(tblActuals[[#This Row],[GL Account]],tblGLMap[GL Account],tblGLMap[Cost Category])</f>
        <v>Supplies &amp; Inventory</v>
      </c>
      <c r="H157" s="1" t="str">
        <f>TEXT(tblActuals[[#This Row],[Date]],"mmm")</f>
        <v>Feb</v>
      </c>
    </row>
    <row r="158" spans="1:8" x14ac:dyDescent="0.25">
      <c r="A158" s="2">
        <v>45693</v>
      </c>
      <c r="B158" s="1" t="s">
        <v>11</v>
      </c>
      <c r="C158">
        <v>6210</v>
      </c>
      <c r="D158" s="1" t="s">
        <v>39</v>
      </c>
      <c r="E158" s="1" t="s">
        <v>38</v>
      </c>
      <c r="F158">
        <v>11274</v>
      </c>
      <c r="G158" s="1" t="str">
        <f>_xlfn.XLOOKUP(tblActuals[[#This Row],[GL Account]],tblGLMap[GL Account],tblGLMap[Cost Category])</f>
        <v>Utilities</v>
      </c>
      <c r="H158" s="1" t="str">
        <f>TEXT(tblActuals[[#This Row],[Date]],"mmm")</f>
        <v>Feb</v>
      </c>
    </row>
    <row r="159" spans="1:8" x14ac:dyDescent="0.25">
      <c r="A159" s="2">
        <v>45694</v>
      </c>
      <c r="B159" s="1" t="s">
        <v>11</v>
      </c>
      <c r="C159">
        <v>6210</v>
      </c>
      <c r="D159" s="1" t="s">
        <v>35</v>
      </c>
      <c r="E159" s="1" t="s">
        <v>38</v>
      </c>
      <c r="F159">
        <v>7163</v>
      </c>
      <c r="G159" s="1" t="str">
        <f>_xlfn.XLOOKUP(tblActuals[[#This Row],[GL Account]],tblGLMap[GL Account],tblGLMap[Cost Category])</f>
        <v>Utilities</v>
      </c>
      <c r="H159" s="1" t="str">
        <f>TEXT(tblActuals[[#This Row],[Date]],"mmm")</f>
        <v>Feb</v>
      </c>
    </row>
    <row r="160" spans="1:8" x14ac:dyDescent="0.25">
      <c r="A160" s="2">
        <v>45695</v>
      </c>
      <c r="B160" s="1" t="s">
        <v>11</v>
      </c>
      <c r="C160">
        <v>6210</v>
      </c>
      <c r="D160" s="1" t="s">
        <v>39</v>
      </c>
      <c r="E160" s="1" t="s">
        <v>38</v>
      </c>
      <c r="F160">
        <v>6639</v>
      </c>
      <c r="G160" s="1" t="str">
        <f>_xlfn.XLOOKUP(tblActuals[[#This Row],[GL Account]],tblGLMap[GL Account],tblGLMap[Cost Category])</f>
        <v>Utilities</v>
      </c>
      <c r="H160" s="1" t="str">
        <f>TEXT(tblActuals[[#This Row],[Date]],"mmm")</f>
        <v>Feb</v>
      </c>
    </row>
    <row r="161" spans="1:8" x14ac:dyDescent="0.25">
      <c r="A161" s="2">
        <v>45693</v>
      </c>
      <c r="B161" s="1" t="s">
        <v>11</v>
      </c>
      <c r="C161">
        <v>6220</v>
      </c>
      <c r="D161" s="1" t="s">
        <v>32</v>
      </c>
      <c r="E161" s="1" t="s">
        <v>40</v>
      </c>
      <c r="F161">
        <v>11432</v>
      </c>
      <c r="G161" s="1" t="str">
        <f>_xlfn.XLOOKUP(tblActuals[[#This Row],[GL Account]],tblGLMap[GL Account],tblGLMap[Cost Category])</f>
        <v>Utilities</v>
      </c>
      <c r="H161" s="1" t="str">
        <f>TEXT(tblActuals[[#This Row],[Date]],"mmm")</f>
        <v>Feb</v>
      </c>
    </row>
    <row r="162" spans="1:8" x14ac:dyDescent="0.25">
      <c r="A162" s="2">
        <v>45694</v>
      </c>
      <c r="B162" s="1" t="s">
        <v>11</v>
      </c>
      <c r="C162">
        <v>6220</v>
      </c>
      <c r="D162" s="1" t="s">
        <v>39</v>
      </c>
      <c r="E162" s="1" t="s">
        <v>40</v>
      </c>
      <c r="F162">
        <v>3394</v>
      </c>
      <c r="G162" s="1" t="str">
        <f>_xlfn.XLOOKUP(tblActuals[[#This Row],[GL Account]],tblGLMap[GL Account],tblGLMap[Cost Category])</f>
        <v>Utilities</v>
      </c>
      <c r="H162" s="1" t="str">
        <f>TEXT(tblActuals[[#This Row],[Date]],"mmm")</f>
        <v>Feb</v>
      </c>
    </row>
    <row r="163" spans="1:8" x14ac:dyDescent="0.25">
      <c r="A163" s="2">
        <v>45695</v>
      </c>
      <c r="B163" s="1" t="s">
        <v>11</v>
      </c>
      <c r="C163">
        <v>6220</v>
      </c>
      <c r="D163" s="1" t="s">
        <v>34</v>
      </c>
      <c r="E163" s="1" t="s">
        <v>40</v>
      </c>
      <c r="F163">
        <v>10946</v>
      </c>
      <c r="G163" s="1" t="str">
        <f>_xlfn.XLOOKUP(tblActuals[[#This Row],[GL Account]],tblGLMap[GL Account],tblGLMap[Cost Category])</f>
        <v>Utilities</v>
      </c>
      <c r="H163" s="1" t="str">
        <f>TEXT(tblActuals[[#This Row],[Date]],"mmm")</f>
        <v>Feb</v>
      </c>
    </row>
    <row r="164" spans="1:8" x14ac:dyDescent="0.25">
      <c r="A164" s="2">
        <v>45693</v>
      </c>
      <c r="B164" s="1" t="s">
        <v>11</v>
      </c>
      <c r="C164">
        <v>6310</v>
      </c>
      <c r="D164" s="1" t="s">
        <v>31</v>
      </c>
      <c r="E164" s="1" t="s">
        <v>41</v>
      </c>
      <c r="F164">
        <v>5673</v>
      </c>
      <c r="G164" s="1" t="str">
        <f>_xlfn.XLOOKUP(tblActuals[[#This Row],[GL Account]],tblGLMap[GL Account],tblGLMap[Cost Category])</f>
        <v>Maintenance &amp; Repairs</v>
      </c>
      <c r="H164" s="1" t="str">
        <f>TEXT(tblActuals[[#This Row],[Date]],"mmm")</f>
        <v>Feb</v>
      </c>
    </row>
    <row r="165" spans="1:8" x14ac:dyDescent="0.25">
      <c r="A165" s="2">
        <v>45694</v>
      </c>
      <c r="B165" s="1" t="s">
        <v>11</v>
      </c>
      <c r="C165">
        <v>6310</v>
      </c>
      <c r="D165" s="1" t="s">
        <v>31</v>
      </c>
      <c r="E165" s="1" t="s">
        <v>41</v>
      </c>
      <c r="F165">
        <v>8644</v>
      </c>
      <c r="G165" s="1" t="str">
        <f>_xlfn.XLOOKUP(tblActuals[[#This Row],[GL Account]],tblGLMap[GL Account],tblGLMap[Cost Category])</f>
        <v>Maintenance &amp; Repairs</v>
      </c>
      <c r="H165" s="1" t="str">
        <f>TEXT(tblActuals[[#This Row],[Date]],"mmm")</f>
        <v>Feb</v>
      </c>
    </row>
    <row r="166" spans="1:8" x14ac:dyDescent="0.25">
      <c r="A166" s="2">
        <v>45695</v>
      </c>
      <c r="B166" s="1" t="s">
        <v>11</v>
      </c>
      <c r="C166">
        <v>6310</v>
      </c>
      <c r="D166" s="1" t="s">
        <v>32</v>
      </c>
      <c r="E166" s="1" t="s">
        <v>41</v>
      </c>
      <c r="F166">
        <v>10018</v>
      </c>
      <c r="G166" s="1" t="str">
        <f>_xlfn.XLOOKUP(tblActuals[[#This Row],[GL Account]],tblGLMap[GL Account],tblGLMap[Cost Category])</f>
        <v>Maintenance &amp; Repairs</v>
      </c>
      <c r="H166" s="1" t="str">
        <f>TEXT(tblActuals[[#This Row],[Date]],"mmm")</f>
        <v>Feb</v>
      </c>
    </row>
    <row r="167" spans="1:8" x14ac:dyDescent="0.25">
      <c r="A167" s="2">
        <v>45693</v>
      </c>
      <c r="B167" s="1" t="s">
        <v>11</v>
      </c>
      <c r="C167">
        <v>6320</v>
      </c>
      <c r="D167" s="1" t="s">
        <v>29</v>
      </c>
      <c r="E167" s="1" t="s">
        <v>42</v>
      </c>
      <c r="F167">
        <v>4728</v>
      </c>
      <c r="G167" s="1" t="str">
        <f>_xlfn.XLOOKUP(tblActuals[[#This Row],[GL Account]],tblGLMap[GL Account],tblGLMap[Cost Category])</f>
        <v>Maintenance &amp; Repairs</v>
      </c>
      <c r="H167" s="1" t="str">
        <f>TEXT(tblActuals[[#This Row],[Date]],"mmm")</f>
        <v>Feb</v>
      </c>
    </row>
    <row r="168" spans="1:8" x14ac:dyDescent="0.25">
      <c r="A168" s="2">
        <v>45694</v>
      </c>
      <c r="B168" s="1" t="s">
        <v>11</v>
      </c>
      <c r="C168">
        <v>6320</v>
      </c>
      <c r="D168" s="1" t="s">
        <v>31</v>
      </c>
      <c r="E168" s="1" t="s">
        <v>42</v>
      </c>
      <c r="F168">
        <v>8566</v>
      </c>
      <c r="G168" s="1" t="str">
        <f>_xlfn.XLOOKUP(tblActuals[[#This Row],[GL Account]],tblGLMap[GL Account],tblGLMap[Cost Category])</f>
        <v>Maintenance &amp; Repairs</v>
      </c>
      <c r="H168" s="1" t="str">
        <f>TEXT(tblActuals[[#This Row],[Date]],"mmm")</f>
        <v>Feb</v>
      </c>
    </row>
    <row r="169" spans="1:8" x14ac:dyDescent="0.25">
      <c r="A169" s="2">
        <v>45695</v>
      </c>
      <c r="B169" s="1" t="s">
        <v>11</v>
      </c>
      <c r="C169">
        <v>6320</v>
      </c>
      <c r="D169" s="1" t="s">
        <v>32</v>
      </c>
      <c r="E169" s="1" t="s">
        <v>42</v>
      </c>
      <c r="F169">
        <v>6909</v>
      </c>
      <c r="G169" s="1" t="str">
        <f>_xlfn.XLOOKUP(tblActuals[[#This Row],[GL Account]],tblGLMap[GL Account],tblGLMap[Cost Category])</f>
        <v>Maintenance &amp; Repairs</v>
      </c>
      <c r="H169" s="1" t="str">
        <f>TEXT(tblActuals[[#This Row],[Date]],"mmm")</f>
        <v>Feb</v>
      </c>
    </row>
    <row r="170" spans="1:8" x14ac:dyDescent="0.25">
      <c r="A170" s="2">
        <v>45693</v>
      </c>
      <c r="B170" s="1" t="s">
        <v>12</v>
      </c>
      <c r="C170">
        <v>6010</v>
      </c>
      <c r="D170" s="1" t="s">
        <v>35</v>
      </c>
      <c r="E170" s="1" t="s">
        <v>30</v>
      </c>
      <c r="F170">
        <v>6643</v>
      </c>
      <c r="G170" s="1" t="str">
        <f>_xlfn.XLOOKUP(tblActuals[[#This Row],[GL Account]],tblGLMap[GL Account],tblGLMap[Cost Category])</f>
        <v>Labor</v>
      </c>
      <c r="H170" s="1" t="str">
        <f>TEXT(tblActuals[[#This Row],[Date]],"mmm")</f>
        <v>Feb</v>
      </c>
    </row>
    <row r="171" spans="1:8" x14ac:dyDescent="0.25">
      <c r="A171" s="2">
        <v>45694</v>
      </c>
      <c r="B171" s="1" t="s">
        <v>12</v>
      </c>
      <c r="C171">
        <v>6010</v>
      </c>
      <c r="D171" s="1" t="s">
        <v>35</v>
      </c>
      <c r="E171" s="1" t="s">
        <v>30</v>
      </c>
      <c r="F171">
        <v>3541</v>
      </c>
      <c r="G171" s="1" t="str">
        <f>_xlfn.XLOOKUP(tblActuals[[#This Row],[GL Account]],tblGLMap[GL Account],tblGLMap[Cost Category])</f>
        <v>Labor</v>
      </c>
      <c r="H171" s="1" t="str">
        <f>TEXT(tblActuals[[#This Row],[Date]],"mmm")</f>
        <v>Feb</v>
      </c>
    </row>
    <row r="172" spans="1:8" x14ac:dyDescent="0.25">
      <c r="A172" s="2">
        <v>45695</v>
      </c>
      <c r="B172" s="1" t="s">
        <v>12</v>
      </c>
      <c r="C172">
        <v>6010</v>
      </c>
      <c r="D172" s="1" t="s">
        <v>32</v>
      </c>
      <c r="E172" s="1" t="s">
        <v>30</v>
      </c>
      <c r="F172">
        <v>6420</v>
      </c>
      <c r="G172" s="1" t="str">
        <f>_xlfn.XLOOKUP(tblActuals[[#This Row],[GL Account]],tblGLMap[GL Account],tblGLMap[Cost Category])</f>
        <v>Labor</v>
      </c>
      <c r="H172" s="1" t="str">
        <f>TEXT(tblActuals[[#This Row],[Date]],"mmm")</f>
        <v>Feb</v>
      </c>
    </row>
    <row r="173" spans="1:8" x14ac:dyDescent="0.25">
      <c r="A173" s="2">
        <v>45693</v>
      </c>
      <c r="B173" s="1" t="s">
        <v>12</v>
      </c>
      <c r="C173">
        <v>6020</v>
      </c>
      <c r="D173" s="1" t="s">
        <v>35</v>
      </c>
      <c r="E173" s="1" t="s">
        <v>33</v>
      </c>
      <c r="F173">
        <v>6567</v>
      </c>
      <c r="G173" s="1" t="str">
        <f>_xlfn.XLOOKUP(tblActuals[[#This Row],[GL Account]],tblGLMap[GL Account],tblGLMap[Cost Category])</f>
        <v>Labor</v>
      </c>
      <c r="H173" s="1" t="str">
        <f>TEXT(tblActuals[[#This Row],[Date]],"mmm")</f>
        <v>Feb</v>
      </c>
    </row>
    <row r="174" spans="1:8" x14ac:dyDescent="0.25">
      <c r="A174" s="2">
        <v>45694</v>
      </c>
      <c r="B174" s="1" t="s">
        <v>12</v>
      </c>
      <c r="C174">
        <v>6020</v>
      </c>
      <c r="D174" s="1" t="s">
        <v>29</v>
      </c>
      <c r="E174" s="1" t="s">
        <v>33</v>
      </c>
      <c r="F174">
        <v>8191</v>
      </c>
      <c r="G174" s="1" t="str">
        <f>_xlfn.XLOOKUP(tblActuals[[#This Row],[GL Account]],tblGLMap[GL Account],tblGLMap[Cost Category])</f>
        <v>Labor</v>
      </c>
      <c r="H174" s="1" t="str">
        <f>TEXT(tblActuals[[#This Row],[Date]],"mmm")</f>
        <v>Feb</v>
      </c>
    </row>
    <row r="175" spans="1:8" x14ac:dyDescent="0.25">
      <c r="A175" s="2">
        <v>45695</v>
      </c>
      <c r="B175" s="1" t="s">
        <v>12</v>
      </c>
      <c r="C175">
        <v>6020</v>
      </c>
      <c r="D175" s="1" t="s">
        <v>35</v>
      </c>
      <c r="E175" s="1" t="s">
        <v>33</v>
      </c>
      <c r="F175">
        <v>8092</v>
      </c>
      <c r="G175" s="1" t="str">
        <f>_xlfn.XLOOKUP(tblActuals[[#This Row],[GL Account]],tblGLMap[GL Account],tblGLMap[Cost Category])</f>
        <v>Labor</v>
      </c>
      <c r="H175" s="1" t="str">
        <f>TEXT(tblActuals[[#This Row],[Date]],"mmm")</f>
        <v>Feb</v>
      </c>
    </row>
    <row r="176" spans="1:8" x14ac:dyDescent="0.25">
      <c r="A176" s="2">
        <v>45693</v>
      </c>
      <c r="B176" s="1" t="s">
        <v>12</v>
      </c>
      <c r="C176">
        <v>6110</v>
      </c>
      <c r="D176" s="1" t="s">
        <v>32</v>
      </c>
      <c r="E176" s="1" t="s">
        <v>36</v>
      </c>
      <c r="F176">
        <v>6344</v>
      </c>
      <c r="G176" s="1" t="str">
        <f>_xlfn.XLOOKUP(tblActuals[[#This Row],[GL Account]],tblGLMap[GL Account],tblGLMap[Cost Category])</f>
        <v>Supplies &amp; Inventory</v>
      </c>
      <c r="H176" s="1" t="str">
        <f>TEXT(tblActuals[[#This Row],[Date]],"mmm")</f>
        <v>Feb</v>
      </c>
    </row>
    <row r="177" spans="1:8" x14ac:dyDescent="0.25">
      <c r="A177" s="2">
        <v>45694</v>
      </c>
      <c r="B177" s="1" t="s">
        <v>12</v>
      </c>
      <c r="C177">
        <v>6110</v>
      </c>
      <c r="D177" s="1" t="s">
        <v>34</v>
      </c>
      <c r="E177" s="1" t="s">
        <v>36</v>
      </c>
      <c r="F177">
        <v>3585</v>
      </c>
      <c r="G177" s="1" t="str">
        <f>_xlfn.XLOOKUP(tblActuals[[#This Row],[GL Account]],tblGLMap[GL Account],tblGLMap[Cost Category])</f>
        <v>Supplies &amp; Inventory</v>
      </c>
      <c r="H177" s="1" t="str">
        <f>TEXT(tblActuals[[#This Row],[Date]],"mmm")</f>
        <v>Feb</v>
      </c>
    </row>
    <row r="178" spans="1:8" x14ac:dyDescent="0.25">
      <c r="A178" s="2">
        <v>45695</v>
      </c>
      <c r="B178" s="1" t="s">
        <v>12</v>
      </c>
      <c r="C178">
        <v>6110</v>
      </c>
      <c r="D178" s="1" t="s">
        <v>35</v>
      </c>
      <c r="E178" s="1" t="s">
        <v>36</v>
      </c>
      <c r="F178">
        <v>8388</v>
      </c>
      <c r="G178" s="1" t="str">
        <f>_xlfn.XLOOKUP(tblActuals[[#This Row],[GL Account]],tblGLMap[GL Account],tblGLMap[Cost Category])</f>
        <v>Supplies &amp; Inventory</v>
      </c>
      <c r="H178" s="1" t="str">
        <f>TEXT(tblActuals[[#This Row],[Date]],"mmm")</f>
        <v>Feb</v>
      </c>
    </row>
    <row r="179" spans="1:8" x14ac:dyDescent="0.25">
      <c r="A179" s="2">
        <v>45693</v>
      </c>
      <c r="B179" s="1" t="s">
        <v>12</v>
      </c>
      <c r="C179">
        <v>6120</v>
      </c>
      <c r="D179" s="1" t="s">
        <v>35</v>
      </c>
      <c r="E179" s="1" t="s">
        <v>37</v>
      </c>
      <c r="F179">
        <v>7711</v>
      </c>
      <c r="G179" s="1" t="str">
        <f>_xlfn.XLOOKUP(tblActuals[[#This Row],[GL Account]],tblGLMap[GL Account],tblGLMap[Cost Category])</f>
        <v>Supplies &amp; Inventory</v>
      </c>
      <c r="H179" s="1" t="str">
        <f>TEXT(tblActuals[[#This Row],[Date]],"mmm")</f>
        <v>Feb</v>
      </c>
    </row>
    <row r="180" spans="1:8" x14ac:dyDescent="0.25">
      <c r="A180" s="2">
        <v>45694</v>
      </c>
      <c r="B180" s="1" t="s">
        <v>12</v>
      </c>
      <c r="C180">
        <v>6120</v>
      </c>
      <c r="D180" s="1" t="s">
        <v>32</v>
      </c>
      <c r="E180" s="1" t="s">
        <v>37</v>
      </c>
      <c r="F180">
        <v>4351</v>
      </c>
      <c r="G180" s="1" t="str">
        <f>_xlfn.XLOOKUP(tblActuals[[#This Row],[GL Account]],tblGLMap[GL Account],tblGLMap[Cost Category])</f>
        <v>Supplies &amp; Inventory</v>
      </c>
      <c r="H180" s="1" t="str">
        <f>TEXT(tblActuals[[#This Row],[Date]],"mmm")</f>
        <v>Feb</v>
      </c>
    </row>
    <row r="181" spans="1:8" x14ac:dyDescent="0.25">
      <c r="A181" s="2">
        <v>45695</v>
      </c>
      <c r="B181" s="1" t="s">
        <v>12</v>
      </c>
      <c r="C181">
        <v>6120</v>
      </c>
      <c r="D181" s="1" t="s">
        <v>29</v>
      </c>
      <c r="E181" s="1" t="s">
        <v>37</v>
      </c>
      <c r="F181">
        <v>10824</v>
      </c>
      <c r="G181" s="1" t="str">
        <f>_xlfn.XLOOKUP(tblActuals[[#This Row],[GL Account]],tblGLMap[GL Account],tblGLMap[Cost Category])</f>
        <v>Supplies &amp; Inventory</v>
      </c>
      <c r="H181" s="1" t="str">
        <f>TEXT(tblActuals[[#This Row],[Date]],"mmm")</f>
        <v>Feb</v>
      </c>
    </row>
    <row r="182" spans="1:8" x14ac:dyDescent="0.25">
      <c r="A182" s="2">
        <v>45693</v>
      </c>
      <c r="B182" s="1" t="s">
        <v>12</v>
      </c>
      <c r="C182">
        <v>6210</v>
      </c>
      <c r="D182" s="1" t="s">
        <v>32</v>
      </c>
      <c r="E182" s="1" t="s">
        <v>38</v>
      </c>
      <c r="F182">
        <v>8153</v>
      </c>
      <c r="G182" s="1" t="str">
        <f>_xlfn.XLOOKUP(tblActuals[[#This Row],[GL Account]],tblGLMap[GL Account],tblGLMap[Cost Category])</f>
        <v>Utilities</v>
      </c>
      <c r="H182" s="1" t="str">
        <f>TEXT(tblActuals[[#This Row],[Date]],"mmm")</f>
        <v>Feb</v>
      </c>
    </row>
    <row r="183" spans="1:8" x14ac:dyDescent="0.25">
      <c r="A183" s="2">
        <v>45694</v>
      </c>
      <c r="B183" s="1" t="s">
        <v>12</v>
      </c>
      <c r="C183">
        <v>6210</v>
      </c>
      <c r="D183" s="1" t="s">
        <v>29</v>
      </c>
      <c r="E183" s="1" t="s">
        <v>38</v>
      </c>
      <c r="F183">
        <v>1506</v>
      </c>
      <c r="G183" s="1" t="str">
        <f>_xlfn.XLOOKUP(tblActuals[[#This Row],[GL Account]],tblGLMap[GL Account],tblGLMap[Cost Category])</f>
        <v>Utilities</v>
      </c>
      <c r="H183" s="1" t="str">
        <f>TEXT(tblActuals[[#This Row],[Date]],"mmm")</f>
        <v>Feb</v>
      </c>
    </row>
    <row r="184" spans="1:8" x14ac:dyDescent="0.25">
      <c r="A184" s="2">
        <v>45695</v>
      </c>
      <c r="B184" s="1" t="s">
        <v>12</v>
      </c>
      <c r="C184">
        <v>6210</v>
      </c>
      <c r="D184" s="1" t="s">
        <v>34</v>
      </c>
      <c r="E184" s="1" t="s">
        <v>38</v>
      </c>
      <c r="F184">
        <v>6200</v>
      </c>
      <c r="G184" s="1" t="str">
        <f>_xlfn.XLOOKUP(tblActuals[[#This Row],[GL Account]],tblGLMap[GL Account],tblGLMap[Cost Category])</f>
        <v>Utilities</v>
      </c>
      <c r="H184" s="1" t="str">
        <f>TEXT(tblActuals[[#This Row],[Date]],"mmm")</f>
        <v>Feb</v>
      </c>
    </row>
    <row r="185" spans="1:8" x14ac:dyDescent="0.25">
      <c r="A185" s="2">
        <v>45693</v>
      </c>
      <c r="B185" s="1" t="s">
        <v>12</v>
      </c>
      <c r="C185">
        <v>6220</v>
      </c>
      <c r="D185" s="1" t="s">
        <v>32</v>
      </c>
      <c r="E185" s="1" t="s">
        <v>40</v>
      </c>
      <c r="F185">
        <v>8543</v>
      </c>
      <c r="G185" s="1" t="str">
        <f>_xlfn.XLOOKUP(tblActuals[[#This Row],[GL Account]],tblGLMap[GL Account],tblGLMap[Cost Category])</f>
        <v>Utilities</v>
      </c>
      <c r="H185" s="1" t="str">
        <f>TEXT(tblActuals[[#This Row],[Date]],"mmm")</f>
        <v>Feb</v>
      </c>
    </row>
    <row r="186" spans="1:8" x14ac:dyDescent="0.25">
      <c r="A186" s="2">
        <v>45694</v>
      </c>
      <c r="B186" s="1" t="s">
        <v>12</v>
      </c>
      <c r="C186">
        <v>6220</v>
      </c>
      <c r="D186" s="1" t="s">
        <v>35</v>
      </c>
      <c r="E186" s="1" t="s">
        <v>40</v>
      </c>
      <c r="F186">
        <v>11439</v>
      </c>
      <c r="G186" s="1" t="str">
        <f>_xlfn.XLOOKUP(tblActuals[[#This Row],[GL Account]],tblGLMap[GL Account],tblGLMap[Cost Category])</f>
        <v>Utilities</v>
      </c>
      <c r="H186" s="1" t="str">
        <f>TEXT(tblActuals[[#This Row],[Date]],"mmm")</f>
        <v>Feb</v>
      </c>
    </row>
    <row r="187" spans="1:8" x14ac:dyDescent="0.25">
      <c r="A187" s="2">
        <v>45695</v>
      </c>
      <c r="B187" s="1" t="s">
        <v>12</v>
      </c>
      <c r="C187">
        <v>6220</v>
      </c>
      <c r="D187" s="1" t="s">
        <v>39</v>
      </c>
      <c r="E187" s="1" t="s">
        <v>40</v>
      </c>
      <c r="F187">
        <v>6779</v>
      </c>
      <c r="G187" s="1" t="str">
        <f>_xlfn.XLOOKUP(tblActuals[[#This Row],[GL Account]],tblGLMap[GL Account],tblGLMap[Cost Category])</f>
        <v>Utilities</v>
      </c>
      <c r="H187" s="1" t="str">
        <f>TEXT(tblActuals[[#This Row],[Date]],"mmm")</f>
        <v>Feb</v>
      </c>
    </row>
    <row r="188" spans="1:8" x14ac:dyDescent="0.25">
      <c r="A188" s="2">
        <v>45693</v>
      </c>
      <c r="B188" s="1" t="s">
        <v>12</v>
      </c>
      <c r="C188">
        <v>6310</v>
      </c>
      <c r="D188" s="1" t="s">
        <v>39</v>
      </c>
      <c r="E188" s="1" t="s">
        <v>41</v>
      </c>
      <c r="F188">
        <v>8738</v>
      </c>
      <c r="G188" s="1" t="str">
        <f>_xlfn.XLOOKUP(tblActuals[[#This Row],[GL Account]],tblGLMap[GL Account],tblGLMap[Cost Category])</f>
        <v>Maintenance &amp; Repairs</v>
      </c>
      <c r="H188" s="1" t="str">
        <f>TEXT(tblActuals[[#This Row],[Date]],"mmm")</f>
        <v>Feb</v>
      </c>
    </row>
    <row r="189" spans="1:8" x14ac:dyDescent="0.25">
      <c r="A189" s="2">
        <v>45694</v>
      </c>
      <c r="B189" s="1" t="s">
        <v>12</v>
      </c>
      <c r="C189">
        <v>6310</v>
      </c>
      <c r="D189" s="1" t="s">
        <v>32</v>
      </c>
      <c r="E189" s="1" t="s">
        <v>41</v>
      </c>
      <c r="F189">
        <v>5001</v>
      </c>
      <c r="G189" s="1" t="str">
        <f>_xlfn.XLOOKUP(tblActuals[[#This Row],[GL Account]],tblGLMap[GL Account],tblGLMap[Cost Category])</f>
        <v>Maintenance &amp; Repairs</v>
      </c>
      <c r="H189" s="1" t="str">
        <f>TEXT(tblActuals[[#This Row],[Date]],"mmm")</f>
        <v>Feb</v>
      </c>
    </row>
    <row r="190" spans="1:8" x14ac:dyDescent="0.25">
      <c r="A190" s="2">
        <v>45695</v>
      </c>
      <c r="B190" s="1" t="s">
        <v>12</v>
      </c>
      <c r="C190">
        <v>6310</v>
      </c>
      <c r="D190" s="1" t="s">
        <v>35</v>
      </c>
      <c r="E190" s="1" t="s">
        <v>41</v>
      </c>
      <c r="F190">
        <v>9252</v>
      </c>
      <c r="G190" s="1" t="str">
        <f>_xlfn.XLOOKUP(tblActuals[[#This Row],[GL Account]],tblGLMap[GL Account],tblGLMap[Cost Category])</f>
        <v>Maintenance &amp; Repairs</v>
      </c>
      <c r="H190" s="1" t="str">
        <f>TEXT(tblActuals[[#This Row],[Date]],"mmm")</f>
        <v>Feb</v>
      </c>
    </row>
    <row r="191" spans="1:8" x14ac:dyDescent="0.25">
      <c r="A191" s="2">
        <v>45693</v>
      </c>
      <c r="B191" s="1" t="s">
        <v>12</v>
      </c>
      <c r="C191">
        <v>6320</v>
      </c>
      <c r="D191" s="1" t="s">
        <v>35</v>
      </c>
      <c r="E191" s="1" t="s">
        <v>42</v>
      </c>
      <c r="F191">
        <v>4280</v>
      </c>
      <c r="G191" s="1" t="str">
        <f>_xlfn.XLOOKUP(tblActuals[[#This Row],[GL Account]],tblGLMap[GL Account],tblGLMap[Cost Category])</f>
        <v>Maintenance &amp; Repairs</v>
      </c>
      <c r="H191" s="1" t="str">
        <f>TEXT(tblActuals[[#This Row],[Date]],"mmm")</f>
        <v>Feb</v>
      </c>
    </row>
    <row r="192" spans="1:8" x14ac:dyDescent="0.25">
      <c r="A192" s="2">
        <v>45694</v>
      </c>
      <c r="B192" s="1" t="s">
        <v>12</v>
      </c>
      <c r="C192">
        <v>6320</v>
      </c>
      <c r="D192" s="1" t="s">
        <v>29</v>
      </c>
      <c r="E192" s="1" t="s">
        <v>42</v>
      </c>
      <c r="F192">
        <v>2889</v>
      </c>
      <c r="G192" s="1" t="str">
        <f>_xlfn.XLOOKUP(tblActuals[[#This Row],[GL Account]],tblGLMap[GL Account],tblGLMap[Cost Category])</f>
        <v>Maintenance &amp; Repairs</v>
      </c>
      <c r="H192" s="1" t="str">
        <f>TEXT(tblActuals[[#This Row],[Date]],"mmm")</f>
        <v>Feb</v>
      </c>
    </row>
    <row r="193" spans="1:8" x14ac:dyDescent="0.25">
      <c r="A193" s="2">
        <v>45695</v>
      </c>
      <c r="B193" s="1" t="s">
        <v>12</v>
      </c>
      <c r="C193">
        <v>6320</v>
      </c>
      <c r="D193" s="1" t="s">
        <v>35</v>
      </c>
      <c r="E193" s="1" t="s">
        <v>42</v>
      </c>
      <c r="F193">
        <v>9945</v>
      </c>
      <c r="G193" s="1" t="str">
        <f>_xlfn.XLOOKUP(tblActuals[[#This Row],[GL Account]],tblGLMap[GL Account],tblGLMap[Cost Category])</f>
        <v>Maintenance &amp; Repairs</v>
      </c>
      <c r="H193" s="1" t="str">
        <f>TEXT(tblActuals[[#This Row],[Date]],"mmm")</f>
        <v>Feb</v>
      </c>
    </row>
    <row r="194" spans="1:8" x14ac:dyDescent="0.25">
      <c r="A194" s="2">
        <v>45721</v>
      </c>
      <c r="B194" s="1" t="s">
        <v>5</v>
      </c>
      <c r="C194">
        <v>6010</v>
      </c>
      <c r="D194" s="1" t="s">
        <v>32</v>
      </c>
      <c r="E194" s="1" t="s">
        <v>30</v>
      </c>
      <c r="F194">
        <v>11870</v>
      </c>
      <c r="G194" s="1" t="str">
        <f>_xlfn.XLOOKUP(tblActuals[[#This Row],[GL Account]],tblGLMap[GL Account],tblGLMap[Cost Category])</f>
        <v>Labor</v>
      </c>
      <c r="H194" s="1" t="str">
        <f>TEXT(tblActuals[[#This Row],[Date]],"mmm")</f>
        <v>Mar</v>
      </c>
    </row>
    <row r="195" spans="1:8" x14ac:dyDescent="0.25">
      <c r="A195" s="2">
        <v>45722</v>
      </c>
      <c r="B195" s="1" t="s">
        <v>5</v>
      </c>
      <c r="C195">
        <v>6010</v>
      </c>
      <c r="D195" s="1" t="s">
        <v>31</v>
      </c>
      <c r="E195" s="1" t="s">
        <v>30</v>
      </c>
      <c r="F195">
        <v>6991</v>
      </c>
      <c r="G195" s="1" t="str">
        <f>_xlfn.XLOOKUP(tblActuals[[#This Row],[GL Account]],tblGLMap[GL Account],tblGLMap[Cost Category])</f>
        <v>Labor</v>
      </c>
      <c r="H195" s="1" t="str">
        <f>TEXT(tblActuals[[#This Row],[Date]],"mmm")</f>
        <v>Mar</v>
      </c>
    </row>
    <row r="196" spans="1:8" x14ac:dyDescent="0.25">
      <c r="A196" s="2">
        <v>45723</v>
      </c>
      <c r="B196" s="1" t="s">
        <v>5</v>
      </c>
      <c r="C196">
        <v>6010</v>
      </c>
      <c r="D196" s="1" t="s">
        <v>35</v>
      </c>
      <c r="E196" s="1" t="s">
        <v>30</v>
      </c>
      <c r="F196">
        <v>5348</v>
      </c>
      <c r="G196" s="1" t="str">
        <f>_xlfn.XLOOKUP(tblActuals[[#This Row],[GL Account]],tblGLMap[GL Account],tblGLMap[Cost Category])</f>
        <v>Labor</v>
      </c>
      <c r="H196" s="1" t="str">
        <f>TEXT(tblActuals[[#This Row],[Date]],"mmm")</f>
        <v>Mar</v>
      </c>
    </row>
    <row r="197" spans="1:8" x14ac:dyDescent="0.25">
      <c r="A197" s="2">
        <v>45721</v>
      </c>
      <c r="B197" s="1" t="s">
        <v>5</v>
      </c>
      <c r="C197">
        <v>6020</v>
      </c>
      <c r="D197" s="1" t="s">
        <v>34</v>
      </c>
      <c r="E197" s="1" t="s">
        <v>33</v>
      </c>
      <c r="F197">
        <v>6585</v>
      </c>
      <c r="G197" s="1" t="str">
        <f>_xlfn.XLOOKUP(tblActuals[[#This Row],[GL Account]],tblGLMap[GL Account],tblGLMap[Cost Category])</f>
        <v>Labor</v>
      </c>
      <c r="H197" s="1" t="str">
        <f>TEXT(tblActuals[[#This Row],[Date]],"mmm")</f>
        <v>Mar</v>
      </c>
    </row>
    <row r="198" spans="1:8" x14ac:dyDescent="0.25">
      <c r="A198" s="2">
        <v>45722</v>
      </c>
      <c r="B198" s="1" t="s">
        <v>5</v>
      </c>
      <c r="C198">
        <v>6020</v>
      </c>
      <c r="D198" s="1" t="s">
        <v>34</v>
      </c>
      <c r="E198" s="1" t="s">
        <v>33</v>
      </c>
      <c r="F198">
        <v>4762</v>
      </c>
      <c r="G198" s="1" t="str">
        <f>_xlfn.XLOOKUP(tblActuals[[#This Row],[GL Account]],tblGLMap[GL Account],tblGLMap[Cost Category])</f>
        <v>Labor</v>
      </c>
      <c r="H198" s="1" t="str">
        <f>TEXT(tblActuals[[#This Row],[Date]],"mmm")</f>
        <v>Mar</v>
      </c>
    </row>
    <row r="199" spans="1:8" x14ac:dyDescent="0.25">
      <c r="A199" s="2">
        <v>45723</v>
      </c>
      <c r="B199" s="1" t="s">
        <v>5</v>
      </c>
      <c r="C199">
        <v>6020</v>
      </c>
      <c r="D199" s="1" t="s">
        <v>31</v>
      </c>
      <c r="E199" s="1" t="s">
        <v>33</v>
      </c>
      <c r="F199">
        <v>1900</v>
      </c>
      <c r="G199" s="1" t="str">
        <f>_xlfn.XLOOKUP(tblActuals[[#This Row],[GL Account]],tblGLMap[GL Account],tblGLMap[Cost Category])</f>
        <v>Labor</v>
      </c>
      <c r="H199" s="1" t="str">
        <f>TEXT(tblActuals[[#This Row],[Date]],"mmm")</f>
        <v>Mar</v>
      </c>
    </row>
    <row r="200" spans="1:8" x14ac:dyDescent="0.25">
      <c r="A200" s="2">
        <v>45721</v>
      </c>
      <c r="B200" s="1" t="s">
        <v>5</v>
      </c>
      <c r="C200">
        <v>6110</v>
      </c>
      <c r="D200" s="1" t="s">
        <v>39</v>
      </c>
      <c r="E200" s="1" t="s">
        <v>36</v>
      </c>
      <c r="F200">
        <v>5511</v>
      </c>
      <c r="G200" s="1" t="str">
        <f>_xlfn.XLOOKUP(tblActuals[[#This Row],[GL Account]],tblGLMap[GL Account],tblGLMap[Cost Category])</f>
        <v>Supplies &amp; Inventory</v>
      </c>
      <c r="H200" s="1" t="str">
        <f>TEXT(tblActuals[[#This Row],[Date]],"mmm")</f>
        <v>Mar</v>
      </c>
    </row>
    <row r="201" spans="1:8" x14ac:dyDescent="0.25">
      <c r="A201" s="2">
        <v>45722</v>
      </c>
      <c r="B201" s="1" t="s">
        <v>5</v>
      </c>
      <c r="C201">
        <v>6110</v>
      </c>
      <c r="D201" s="1" t="s">
        <v>31</v>
      </c>
      <c r="E201" s="1" t="s">
        <v>36</v>
      </c>
      <c r="F201">
        <v>11515</v>
      </c>
      <c r="G201" s="1" t="str">
        <f>_xlfn.XLOOKUP(tblActuals[[#This Row],[GL Account]],tblGLMap[GL Account],tblGLMap[Cost Category])</f>
        <v>Supplies &amp; Inventory</v>
      </c>
      <c r="H201" s="1" t="str">
        <f>TEXT(tblActuals[[#This Row],[Date]],"mmm")</f>
        <v>Mar</v>
      </c>
    </row>
    <row r="202" spans="1:8" x14ac:dyDescent="0.25">
      <c r="A202" s="2">
        <v>45723</v>
      </c>
      <c r="B202" s="1" t="s">
        <v>5</v>
      </c>
      <c r="C202">
        <v>6110</v>
      </c>
      <c r="D202" s="1" t="s">
        <v>39</v>
      </c>
      <c r="E202" s="1" t="s">
        <v>36</v>
      </c>
      <c r="F202">
        <v>8961</v>
      </c>
      <c r="G202" s="1" t="str">
        <f>_xlfn.XLOOKUP(tblActuals[[#This Row],[GL Account]],tblGLMap[GL Account],tblGLMap[Cost Category])</f>
        <v>Supplies &amp; Inventory</v>
      </c>
      <c r="H202" s="1" t="str">
        <f>TEXT(tblActuals[[#This Row],[Date]],"mmm")</f>
        <v>Mar</v>
      </c>
    </row>
    <row r="203" spans="1:8" x14ac:dyDescent="0.25">
      <c r="A203" s="2">
        <v>45721</v>
      </c>
      <c r="B203" s="1" t="s">
        <v>5</v>
      </c>
      <c r="C203">
        <v>6120</v>
      </c>
      <c r="D203" s="1" t="s">
        <v>32</v>
      </c>
      <c r="E203" s="1" t="s">
        <v>37</v>
      </c>
      <c r="F203">
        <v>11818</v>
      </c>
      <c r="G203" s="1" t="str">
        <f>_xlfn.XLOOKUP(tblActuals[[#This Row],[GL Account]],tblGLMap[GL Account],tblGLMap[Cost Category])</f>
        <v>Supplies &amp; Inventory</v>
      </c>
      <c r="H203" s="1" t="str">
        <f>TEXT(tblActuals[[#This Row],[Date]],"mmm")</f>
        <v>Mar</v>
      </c>
    </row>
    <row r="204" spans="1:8" x14ac:dyDescent="0.25">
      <c r="A204" s="2">
        <v>45722</v>
      </c>
      <c r="B204" s="1" t="s">
        <v>5</v>
      </c>
      <c r="C204">
        <v>6120</v>
      </c>
      <c r="D204" s="1" t="s">
        <v>35</v>
      </c>
      <c r="E204" s="1" t="s">
        <v>37</v>
      </c>
      <c r="F204">
        <v>4685</v>
      </c>
      <c r="G204" s="1" t="str">
        <f>_xlfn.XLOOKUP(tblActuals[[#This Row],[GL Account]],tblGLMap[GL Account],tblGLMap[Cost Category])</f>
        <v>Supplies &amp; Inventory</v>
      </c>
      <c r="H204" s="1" t="str">
        <f>TEXT(tblActuals[[#This Row],[Date]],"mmm")</f>
        <v>Mar</v>
      </c>
    </row>
    <row r="205" spans="1:8" x14ac:dyDescent="0.25">
      <c r="A205" s="2">
        <v>45723</v>
      </c>
      <c r="B205" s="1" t="s">
        <v>5</v>
      </c>
      <c r="C205">
        <v>6120</v>
      </c>
      <c r="D205" s="1" t="s">
        <v>39</v>
      </c>
      <c r="E205" s="1" t="s">
        <v>37</v>
      </c>
      <c r="F205">
        <v>7791</v>
      </c>
      <c r="G205" s="1" t="str">
        <f>_xlfn.XLOOKUP(tblActuals[[#This Row],[GL Account]],tblGLMap[GL Account],tblGLMap[Cost Category])</f>
        <v>Supplies &amp; Inventory</v>
      </c>
      <c r="H205" s="1" t="str">
        <f>TEXT(tblActuals[[#This Row],[Date]],"mmm")</f>
        <v>Mar</v>
      </c>
    </row>
    <row r="206" spans="1:8" x14ac:dyDescent="0.25">
      <c r="A206" s="2">
        <v>45721</v>
      </c>
      <c r="B206" s="1" t="s">
        <v>5</v>
      </c>
      <c r="C206">
        <v>6210</v>
      </c>
      <c r="D206" s="1" t="s">
        <v>34</v>
      </c>
      <c r="E206" s="1" t="s">
        <v>38</v>
      </c>
      <c r="F206">
        <v>8047</v>
      </c>
      <c r="G206" s="1" t="str">
        <f>_xlfn.XLOOKUP(tblActuals[[#This Row],[GL Account]],tblGLMap[GL Account],tblGLMap[Cost Category])</f>
        <v>Utilities</v>
      </c>
      <c r="H206" s="1" t="str">
        <f>TEXT(tblActuals[[#This Row],[Date]],"mmm")</f>
        <v>Mar</v>
      </c>
    </row>
    <row r="207" spans="1:8" x14ac:dyDescent="0.25">
      <c r="A207" s="2">
        <v>45722</v>
      </c>
      <c r="B207" s="1" t="s">
        <v>5</v>
      </c>
      <c r="C207">
        <v>6210</v>
      </c>
      <c r="D207" s="1" t="s">
        <v>35</v>
      </c>
      <c r="E207" s="1" t="s">
        <v>38</v>
      </c>
      <c r="F207">
        <v>3917</v>
      </c>
      <c r="G207" s="1" t="str">
        <f>_xlfn.XLOOKUP(tblActuals[[#This Row],[GL Account]],tblGLMap[GL Account],tblGLMap[Cost Category])</f>
        <v>Utilities</v>
      </c>
      <c r="H207" s="1" t="str">
        <f>TEXT(tblActuals[[#This Row],[Date]],"mmm")</f>
        <v>Mar</v>
      </c>
    </row>
    <row r="208" spans="1:8" x14ac:dyDescent="0.25">
      <c r="A208" s="2">
        <v>45723</v>
      </c>
      <c r="B208" s="1" t="s">
        <v>5</v>
      </c>
      <c r="C208">
        <v>6210</v>
      </c>
      <c r="D208" s="1" t="s">
        <v>31</v>
      </c>
      <c r="E208" s="1" t="s">
        <v>38</v>
      </c>
      <c r="F208">
        <v>1590</v>
      </c>
      <c r="G208" s="1" t="str">
        <f>_xlfn.XLOOKUP(tblActuals[[#This Row],[GL Account]],tblGLMap[GL Account],tblGLMap[Cost Category])</f>
        <v>Utilities</v>
      </c>
      <c r="H208" s="1" t="str">
        <f>TEXT(tblActuals[[#This Row],[Date]],"mmm")</f>
        <v>Mar</v>
      </c>
    </row>
    <row r="209" spans="1:8" x14ac:dyDescent="0.25">
      <c r="A209" s="2">
        <v>45721</v>
      </c>
      <c r="B209" s="1" t="s">
        <v>5</v>
      </c>
      <c r="C209">
        <v>6220</v>
      </c>
      <c r="D209" s="1" t="s">
        <v>34</v>
      </c>
      <c r="E209" s="1" t="s">
        <v>40</v>
      </c>
      <c r="F209">
        <v>8465</v>
      </c>
      <c r="G209" s="1" t="str">
        <f>_xlfn.XLOOKUP(tblActuals[[#This Row],[GL Account]],tblGLMap[GL Account],tblGLMap[Cost Category])</f>
        <v>Utilities</v>
      </c>
      <c r="H209" s="1" t="str">
        <f>TEXT(tblActuals[[#This Row],[Date]],"mmm")</f>
        <v>Mar</v>
      </c>
    </row>
    <row r="210" spans="1:8" x14ac:dyDescent="0.25">
      <c r="A210" s="2">
        <v>45722</v>
      </c>
      <c r="B210" s="1" t="s">
        <v>5</v>
      </c>
      <c r="C210">
        <v>6220</v>
      </c>
      <c r="D210" s="1" t="s">
        <v>35</v>
      </c>
      <c r="E210" s="1" t="s">
        <v>40</v>
      </c>
      <c r="F210">
        <v>4381</v>
      </c>
      <c r="G210" s="1" t="str">
        <f>_xlfn.XLOOKUP(tblActuals[[#This Row],[GL Account]],tblGLMap[GL Account],tblGLMap[Cost Category])</f>
        <v>Utilities</v>
      </c>
      <c r="H210" s="1" t="str">
        <f>TEXT(tblActuals[[#This Row],[Date]],"mmm")</f>
        <v>Mar</v>
      </c>
    </row>
    <row r="211" spans="1:8" x14ac:dyDescent="0.25">
      <c r="A211" s="2">
        <v>45723</v>
      </c>
      <c r="B211" s="1" t="s">
        <v>5</v>
      </c>
      <c r="C211">
        <v>6220</v>
      </c>
      <c r="D211" s="1" t="s">
        <v>39</v>
      </c>
      <c r="E211" s="1" t="s">
        <v>40</v>
      </c>
      <c r="F211">
        <v>9986</v>
      </c>
      <c r="G211" s="1" t="str">
        <f>_xlfn.XLOOKUP(tblActuals[[#This Row],[GL Account]],tblGLMap[GL Account],tblGLMap[Cost Category])</f>
        <v>Utilities</v>
      </c>
      <c r="H211" s="1" t="str">
        <f>TEXT(tblActuals[[#This Row],[Date]],"mmm")</f>
        <v>Mar</v>
      </c>
    </row>
    <row r="212" spans="1:8" x14ac:dyDescent="0.25">
      <c r="A212" s="2">
        <v>45721</v>
      </c>
      <c r="B212" s="1" t="s">
        <v>5</v>
      </c>
      <c r="C212">
        <v>6310</v>
      </c>
      <c r="D212" s="1" t="s">
        <v>32</v>
      </c>
      <c r="E212" s="1" t="s">
        <v>41</v>
      </c>
      <c r="F212">
        <v>2322</v>
      </c>
      <c r="G212" s="1" t="str">
        <f>_xlfn.XLOOKUP(tblActuals[[#This Row],[GL Account]],tblGLMap[GL Account],tblGLMap[Cost Category])</f>
        <v>Maintenance &amp; Repairs</v>
      </c>
      <c r="H212" s="1" t="str">
        <f>TEXT(tblActuals[[#This Row],[Date]],"mmm")</f>
        <v>Mar</v>
      </c>
    </row>
    <row r="213" spans="1:8" x14ac:dyDescent="0.25">
      <c r="A213" s="2">
        <v>45722</v>
      </c>
      <c r="B213" s="1" t="s">
        <v>5</v>
      </c>
      <c r="C213">
        <v>6310</v>
      </c>
      <c r="D213" s="1" t="s">
        <v>31</v>
      </c>
      <c r="E213" s="1" t="s">
        <v>41</v>
      </c>
      <c r="F213">
        <v>5582</v>
      </c>
      <c r="G213" s="1" t="str">
        <f>_xlfn.XLOOKUP(tblActuals[[#This Row],[GL Account]],tblGLMap[GL Account],tblGLMap[Cost Category])</f>
        <v>Maintenance &amp; Repairs</v>
      </c>
      <c r="H213" s="1" t="str">
        <f>TEXT(tblActuals[[#This Row],[Date]],"mmm")</f>
        <v>Mar</v>
      </c>
    </row>
    <row r="214" spans="1:8" x14ac:dyDescent="0.25">
      <c r="A214" s="2">
        <v>45723</v>
      </c>
      <c r="B214" s="1" t="s">
        <v>5</v>
      </c>
      <c r="C214">
        <v>6310</v>
      </c>
      <c r="D214" s="1" t="s">
        <v>34</v>
      </c>
      <c r="E214" s="1" t="s">
        <v>41</v>
      </c>
      <c r="F214">
        <v>8978</v>
      </c>
      <c r="G214" s="1" t="str">
        <f>_xlfn.XLOOKUP(tblActuals[[#This Row],[GL Account]],tblGLMap[GL Account],tblGLMap[Cost Category])</f>
        <v>Maintenance &amp; Repairs</v>
      </c>
      <c r="H214" s="1" t="str">
        <f>TEXT(tblActuals[[#This Row],[Date]],"mmm")</f>
        <v>Mar</v>
      </c>
    </row>
    <row r="215" spans="1:8" x14ac:dyDescent="0.25">
      <c r="A215" s="2">
        <v>45721</v>
      </c>
      <c r="B215" s="1" t="s">
        <v>5</v>
      </c>
      <c r="C215">
        <v>6320</v>
      </c>
      <c r="D215" s="1" t="s">
        <v>35</v>
      </c>
      <c r="E215" s="1" t="s">
        <v>42</v>
      </c>
      <c r="F215">
        <v>9112</v>
      </c>
      <c r="G215" s="1" t="str">
        <f>_xlfn.XLOOKUP(tblActuals[[#This Row],[GL Account]],tblGLMap[GL Account],tblGLMap[Cost Category])</f>
        <v>Maintenance &amp; Repairs</v>
      </c>
      <c r="H215" s="1" t="str">
        <f>TEXT(tblActuals[[#This Row],[Date]],"mmm")</f>
        <v>Mar</v>
      </c>
    </row>
    <row r="216" spans="1:8" x14ac:dyDescent="0.25">
      <c r="A216" s="2">
        <v>45722</v>
      </c>
      <c r="B216" s="1" t="s">
        <v>5</v>
      </c>
      <c r="C216">
        <v>6320</v>
      </c>
      <c r="D216" s="1" t="s">
        <v>32</v>
      </c>
      <c r="E216" s="1" t="s">
        <v>42</v>
      </c>
      <c r="F216">
        <v>10202</v>
      </c>
      <c r="G216" s="1" t="str">
        <f>_xlfn.XLOOKUP(tblActuals[[#This Row],[GL Account]],tblGLMap[GL Account],tblGLMap[Cost Category])</f>
        <v>Maintenance &amp; Repairs</v>
      </c>
      <c r="H216" s="1" t="str">
        <f>TEXT(tblActuals[[#This Row],[Date]],"mmm")</f>
        <v>Mar</v>
      </c>
    </row>
    <row r="217" spans="1:8" x14ac:dyDescent="0.25">
      <c r="A217" s="2">
        <v>45723</v>
      </c>
      <c r="B217" s="1" t="s">
        <v>5</v>
      </c>
      <c r="C217">
        <v>6320</v>
      </c>
      <c r="D217" s="1" t="s">
        <v>29</v>
      </c>
      <c r="E217" s="1" t="s">
        <v>42</v>
      </c>
      <c r="F217">
        <v>11255</v>
      </c>
      <c r="G217" s="1" t="str">
        <f>_xlfn.XLOOKUP(tblActuals[[#This Row],[GL Account]],tblGLMap[GL Account],tblGLMap[Cost Category])</f>
        <v>Maintenance &amp; Repairs</v>
      </c>
      <c r="H217" s="1" t="str">
        <f>TEXT(tblActuals[[#This Row],[Date]],"mmm")</f>
        <v>Mar</v>
      </c>
    </row>
    <row r="218" spans="1:8" x14ac:dyDescent="0.25">
      <c r="A218" s="2">
        <v>45721</v>
      </c>
      <c r="B218" s="1" t="s">
        <v>10</v>
      </c>
      <c r="C218">
        <v>6010</v>
      </c>
      <c r="D218" s="1" t="s">
        <v>32</v>
      </c>
      <c r="E218" s="1" t="s">
        <v>30</v>
      </c>
      <c r="F218">
        <v>8751</v>
      </c>
      <c r="G218" s="1" t="str">
        <f>_xlfn.XLOOKUP(tblActuals[[#This Row],[GL Account]],tblGLMap[GL Account],tblGLMap[Cost Category])</f>
        <v>Labor</v>
      </c>
      <c r="H218" s="1" t="str">
        <f>TEXT(tblActuals[[#This Row],[Date]],"mmm")</f>
        <v>Mar</v>
      </c>
    </row>
    <row r="219" spans="1:8" x14ac:dyDescent="0.25">
      <c r="A219" s="2">
        <v>45722</v>
      </c>
      <c r="B219" s="1" t="s">
        <v>10</v>
      </c>
      <c r="C219">
        <v>6010</v>
      </c>
      <c r="D219" s="1" t="s">
        <v>39</v>
      </c>
      <c r="E219" s="1" t="s">
        <v>30</v>
      </c>
      <c r="F219">
        <v>9770</v>
      </c>
      <c r="G219" s="1" t="str">
        <f>_xlfn.XLOOKUP(tblActuals[[#This Row],[GL Account]],tblGLMap[GL Account],tblGLMap[Cost Category])</f>
        <v>Labor</v>
      </c>
      <c r="H219" s="1" t="str">
        <f>TEXT(tblActuals[[#This Row],[Date]],"mmm")</f>
        <v>Mar</v>
      </c>
    </row>
    <row r="220" spans="1:8" x14ac:dyDescent="0.25">
      <c r="A220" s="2">
        <v>45723</v>
      </c>
      <c r="B220" s="1" t="s">
        <v>10</v>
      </c>
      <c r="C220">
        <v>6010</v>
      </c>
      <c r="D220" s="1" t="s">
        <v>39</v>
      </c>
      <c r="E220" s="1" t="s">
        <v>30</v>
      </c>
      <c r="F220">
        <v>10476</v>
      </c>
      <c r="G220" s="1" t="str">
        <f>_xlfn.XLOOKUP(tblActuals[[#This Row],[GL Account]],tblGLMap[GL Account],tblGLMap[Cost Category])</f>
        <v>Labor</v>
      </c>
      <c r="H220" s="1" t="str">
        <f>TEXT(tblActuals[[#This Row],[Date]],"mmm")</f>
        <v>Mar</v>
      </c>
    </row>
    <row r="221" spans="1:8" x14ac:dyDescent="0.25">
      <c r="A221" s="2">
        <v>45721</v>
      </c>
      <c r="B221" s="1" t="s">
        <v>10</v>
      </c>
      <c r="C221">
        <v>6020</v>
      </c>
      <c r="D221" s="1" t="s">
        <v>35</v>
      </c>
      <c r="E221" s="1" t="s">
        <v>33</v>
      </c>
      <c r="F221">
        <v>4107</v>
      </c>
      <c r="G221" s="1" t="str">
        <f>_xlfn.XLOOKUP(tblActuals[[#This Row],[GL Account]],tblGLMap[GL Account],tblGLMap[Cost Category])</f>
        <v>Labor</v>
      </c>
      <c r="H221" s="1" t="str">
        <f>TEXT(tblActuals[[#This Row],[Date]],"mmm")</f>
        <v>Mar</v>
      </c>
    </row>
    <row r="222" spans="1:8" x14ac:dyDescent="0.25">
      <c r="A222" s="2">
        <v>45722</v>
      </c>
      <c r="B222" s="1" t="s">
        <v>10</v>
      </c>
      <c r="C222">
        <v>6020</v>
      </c>
      <c r="D222" s="1" t="s">
        <v>39</v>
      </c>
      <c r="E222" s="1" t="s">
        <v>33</v>
      </c>
      <c r="F222">
        <v>9277</v>
      </c>
      <c r="G222" s="1" t="str">
        <f>_xlfn.XLOOKUP(tblActuals[[#This Row],[GL Account]],tblGLMap[GL Account],tblGLMap[Cost Category])</f>
        <v>Labor</v>
      </c>
      <c r="H222" s="1" t="str">
        <f>TEXT(tblActuals[[#This Row],[Date]],"mmm")</f>
        <v>Mar</v>
      </c>
    </row>
    <row r="223" spans="1:8" x14ac:dyDescent="0.25">
      <c r="A223" s="2">
        <v>45723</v>
      </c>
      <c r="B223" s="1" t="s">
        <v>10</v>
      </c>
      <c r="C223">
        <v>6020</v>
      </c>
      <c r="D223" s="1" t="s">
        <v>34</v>
      </c>
      <c r="E223" s="1" t="s">
        <v>33</v>
      </c>
      <c r="F223">
        <v>5746</v>
      </c>
      <c r="G223" s="1" t="str">
        <f>_xlfn.XLOOKUP(tblActuals[[#This Row],[GL Account]],tblGLMap[GL Account],tblGLMap[Cost Category])</f>
        <v>Labor</v>
      </c>
      <c r="H223" s="1" t="str">
        <f>TEXT(tblActuals[[#This Row],[Date]],"mmm")</f>
        <v>Mar</v>
      </c>
    </row>
    <row r="224" spans="1:8" x14ac:dyDescent="0.25">
      <c r="A224" s="2">
        <v>45721</v>
      </c>
      <c r="B224" s="1" t="s">
        <v>10</v>
      </c>
      <c r="C224">
        <v>6110</v>
      </c>
      <c r="D224" s="1" t="s">
        <v>29</v>
      </c>
      <c r="E224" s="1" t="s">
        <v>36</v>
      </c>
      <c r="F224">
        <v>11947</v>
      </c>
      <c r="G224" s="1" t="str">
        <f>_xlfn.XLOOKUP(tblActuals[[#This Row],[GL Account]],tblGLMap[GL Account],tblGLMap[Cost Category])</f>
        <v>Supplies &amp; Inventory</v>
      </c>
      <c r="H224" s="1" t="str">
        <f>TEXT(tblActuals[[#This Row],[Date]],"mmm")</f>
        <v>Mar</v>
      </c>
    </row>
    <row r="225" spans="1:8" x14ac:dyDescent="0.25">
      <c r="A225" s="2">
        <v>45722</v>
      </c>
      <c r="B225" s="1" t="s">
        <v>10</v>
      </c>
      <c r="C225">
        <v>6110</v>
      </c>
      <c r="D225" s="1" t="s">
        <v>39</v>
      </c>
      <c r="E225" s="1" t="s">
        <v>36</v>
      </c>
      <c r="F225">
        <v>10040</v>
      </c>
      <c r="G225" s="1" t="str">
        <f>_xlfn.XLOOKUP(tblActuals[[#This Row],[GL Account]],tblGLMap[GL Account],tblGLMap[Cost Category])</f>
        <v>Supplies &amp; Inventory</v>
      </c>
      <c r="H225" s="1" t="str">
        <f>TEXT(tblActuals[[#This Row],[Date]],"mmm")</f>
        <v>Mar</v>
      </c>
    </row>
    <row r="226" spans="1:8" x14ac:dyDescent="0.25">
      <c r="A226" s="2">
        <v>45723</v>
      </c>
      <c r="B226" s="1" t="s">
        <v>10</v>
      </c>
      <c r="C226">
        <v>6110</v>
      </c>
      <c r="D226" s="1" t="s">
        <v>34</v>
      </c>
      <c r="E226" s="1" t="s">
        <v>36</v>
      </c>
      <c r="F226">
        <v>11768</v>
      </c>
      <c r="G226" s="1" t="str">
        <f>_xlfn.XLOOKUP(tblActuals[[#This Row],[GL Account]],tblGLMap[GL Account],tblGLMap[Cost Category])</f>
        <v>Supplies &amp; Inventory</v>
      </c>
      <c r="H226" s="1" t="str">
        <f>TEXT(tblActuals[[#This Row],[Date]],"mmm")</f>
        <v>Mar</v>
      </c>
    </row>
    <row r="227" spans="1:8" x14ac:dyDescent="0.25">
      <c r="A227" s="2">
        <v>45721</v>
      </c>
      <c r="B227" s="1" t="s">
        <v>10</v>
      </c>
      <c r="C227">
        <v>6120</v>
      </c>
      <c r="D227" s="1" t="s">
        <v>39</v>
      </c>
      <c r="E227" s="1" t="s">
        <v>37</v>
      </c>
      <c r="F227">
        <v>5999</v>
      </c>
      <c r="G227" s="1" t="str">
        <f>_xlfn.XLOOKUP(tblActuals[[#This Row],[GL Account]],tblGLMap[GL Account],tblGLMap[Cost Category])</f>
        <v>Supplies &amp; Inventory</v>
      </c>
      <c r="H227" s="1" t="str">
        <f>TEXT(tblActuals[[#This Row],[Date]],"mmm")</f>
        <v>Mar</v>
      </c>
    </row>
    <row r="228" spans="1:8" x14ac:dyDescent="0.25">
      <c r="A228" s="2">
        <v>45722</v>
      </c>
      <c r="B228" s="1" t="s">
        <v>10</v>
      </c>
      <c r="C228">
        <v>6120</v>
      </c>
      <c r="D228" s="1" t="s">
        <v>35</v>
      </c>
      <c r="E228" s="1" t="s">
        <v>37</v>
      </c>
      <c r="F228">
        <v>2769</v>
      </c>
      <c r="G228" s="1" t="str">
        <f>_xlfn.XLOOKUP(tblActuals[[#This Row],[GL Account]],tblGLMap[GL Account],tblGLMap[Cost Category])</f>
        <v>Supplies &amp; Inventory</v>
      </c>
      <c r="H228" s="1" t="str">
        <f>TEXT(tblActuals[[#This Row],[Date]],"mmm")</f>
        <v>Mar</v>
      </c>
    </row>
    <row r="229" spans="1:8" x14ac:dyDescent="0.25">
      <c r="A229" s="2">
        <v>45723</v>
      </c>
      <c r="B229" s="1" t="s">
        <v>10</v>
      </c>
      <c r="C229">
        <v>6120</v>
      </c>
      <c r="D229" s="1" t="s">
        <v>34</v>
      </c>
      <c r="E229" s="1" t="s">
        <v>37</v>
      </c>
      <c r="F229">
        <v>6181</v>
      </c>
      <c r="G229" s="1" t="str">
        <f>_xlfn.XLOOKUP(tblActuals[[#This Row],[GL Account]],tblGLMap[GL Account],tblGLMap[Cost Category])</f>
        <v>Supplies &amp; Inventory</v>
      </c>
      <c r="H229" s="1" t="str">
        <f>TEXT(tblActuals[[#This Row],[Date]],"mmm")</f>
        <v>Mar</v>
      </c>
    </row>
    <row r="230" spans="1:8" x14ac:dyDescent="0.25">
      <c r="A230" s="2">
        <v>45721</v>
      </c>
      <c r="B230" s="1" t="s">
        <v>10</v>
      </c>
      <c r="C230">
        <v>6210</v>
      </c>
      <c r="D230" s="1" t="s">
        <v>29</v>
      </c>
      <c r="E230" s="1" t="s">
        <v>38</v>
      </c>
      <c r="F230">
        <v>5951</v>
      </c>
      <c r="G230" s="1" t="str">
        <f>_xlfn.XLOOKUP(tblActuals[[#This Row],[GL Account]],tblGLMap[GL Account],tblGLMap[Cost Category])</f>
        <v>Utilities</v>
      </c>
      <c r="H230" s="1" t="str">
        <f>TEXT(tblActuals[[#This Row],[Date]],"mmm")</f>
        <v>Mar</v>
      </c>
    </row>
    <row r="231" spans="1:8" x14ac:dyDescent="0.25">
      <c r="A231" s="2">
        <v>45722</v>
      </c>
      <c r="B231" s="1" t="s">
        <v>10</v>
      </c>
      <c r="C231">
        <v>6210</v>
      </c>
      <c r="D231" s="1" t="s">
        <v>32</v>
      </c>
      <c r="E231" s="1" t="s">
        <v>38</v>
      </c>
      <c r="F231">
        <v>6738</v>
      </c>
      <c r="G231" s="1" t="str">
        <f>_xlfn.XLOOKUP(tblActuals[[#This Row],[GL Account]],tblGLMap[GL Account],tblGLMap[Cost Category])</f>
        <v>Utilities</v>
      </c>
      <c r="H231" s="1" t="str">
        <f>TEXT(tblActuals[[#This Row],[Date]],"mmm")</f>
        <v>Mar</v>
      </c>
    </row>
    <row r="232" spans="1:8" x14ac:dyDescent="0.25">
      <c r="A232" s="2">
        <v>45723</v>
      </c>
      <c r="B232" s="1" t="s">
        <v>10</v>
      </c>
      <c r="C232">
        <v>6210</v>
      </c>
      <c r="D232" s="1" t="s">
        <v>34</v>
      </c>
      <c r="E232" s="1" t="s">
        <v>38</v>
      </c>
      <c r="F232">
        <v>2820</v>
      </c>
      <c r="G232" s="1" t="str">
        <f>_xlfn.XLOOKUP(tblActuals[[#This Row],[GL Account]],tblGLMap[GL Account],tblGLMap[Cost Category])</f>
        <v>Utilities</v>
      </c>
      <c r="H232" s="1" t="str">
        <f>TEXT(tblActuals[[#This Row],[Date]],"mmm")</f>
        <v>Mar</v>
      </c>
    </row>
    <row r="233" spans="1:8" x14ac:dyDescent="0.25">
      <c r="A233" s="2">
        <v>45721</v>
      </c>
      <c r="B233" s="1" t="s">
        <v>10</v>
      </c>
      <c r="C233">
        <v>6220</v>
      </c>
      <c r="D233" s="1" t="s">
        <v>34</v>
      </c>
      <c r="E233" s="1" t="s">
        <v>40</v>
      </c>
      <c r="F233">
        <v>3971</v>
      </c>
      <c r="G233" s="1" t="str">
        <f>_xlfn.XLOOKUP(tblActuals[[#This Row],[GL Account]],tblGLMap[GL Account],tblGLMap[Cost Category])</f>
        <v>Utilities</v>
      </c>
      <c r="H233" s="1" t="str">
        <f>TEXT(tblActuals[[#This Row],[Date]],"mmm")</f>
        <v>Mar</v>
      </c>
    </row>
    <row r="234" spans="1:8" x14ac:dyDescent="0.25">
      <c r="A234" s="2">
        <v>45722</v>
      </c>
      <c r="B234" s="1" t="s">
        <v>10</v>
      </c>
      <c r="C234">
        <v>6220</v>
      </c>
      <c r="D234" s="1" t="s">
        <v>35</v>
      </c>
      <c r="E234" s="1" t="s">
        <v>40</v>
      </c>
      <c r="F234">
        <v>7775</v>
      </c>
      <c r="G234" s="1" t="str">
        <f>_xlfn.XLOOKUP(tblActuals[[#This Row],[GL Account]],tblGLMap[GL Account],tblGLMap[Cost Category])</f>
        <v>Utilities</v>
      </c>
      <c r="H234" s="1" t="str">
        <f>TEXT(tblActuals[[#This Row],[Date]],"mmm")</f>
        <v>Mar</v>
      </c>
    </row>
    <row r="235" spans="1:8" x14ac:dyDescent="0.25">
      <c r="A235" s="2">
        <v>45723</v>
      </c>
      <c r="B235" s="1" t="s">
        <v>10</v>
      </c>
      <c r="C235">
        <v>6220</v>
      </c>
      <c r="D235" s="1" t="s">
        <v>35</v>
      </c>
      <c r="E235" s="1" t="s">
        <v>40</v>
      </c>
      <c r="F235">
        <v>4003</v>
      </c>
      <c r="G235" s="1" t="str">
        <f>_xlfn.XLOOKUP(tblActuals[[#This Row],[GL Account]],tblGLMap[GL Account],tblGLMap[Cost Category])</f>
        <v>Utilities</v>
      </c>
      <c r="H235" s="1" t="str">
        <f>TEXT(tblActuals[[#This Row],[Date]],"mmm")</f>
        <v>Mar</v>
      </c>
    </row>
    <row r="236" spans="1:8" x14ac:dyDescent="0.25">
      <c r="A236" s="2">
        <v>45721</v>
      </c>
      <c r="B236" s="1" t="s">
        <v>10</v>
      </c>
      <c r="C236">
        <v>6310</v>
      </c>
      <c r="D236" s="1" t="s">
        <v>31</v>
      </c>
      <c r="E236" s="1" t="s">
        <v>41</v>
      </c>
      <c r="F236">
        <v>5005</v>
      </c>
      <c r="G236" s="1" t="str">
        <f>_xlfn.XLOOKUP(tblActuals[[#This Row],[GL Account]],tblGLMap[GL Account],tblGLMap[Cost Category])</f>
        <v>Maintenance &amp; Repairs</v>
      </c>
      <c r="H236" s="1" t="str">
        <f>TEXT(tblActuals[[#This Row],[Date]],"mmm")</f>
        <v>Mar</v>
      </c>
    </row>
    <row r="237" spans="1:8" x14ac:dyDescent="0.25">
      <c r="A237" s="2">
        <v>45722</v>
      </c>
      <c r="B237" s="1" t="s">
        <v>10</v>
      </c>
      <c r="C237">
        <v>6310</v>
      </c>
      <c r="D237" s="1" t="s">
        <v>39</v>
      </c>
      <c r="E237" s="1" t="s">
        <v>41</v>
      </c>
      <c r="F237">
        <v>8297</v>
      </c>
      <c r="G237" s="1" t="str">
        <f>_xlfn.XLOOKUP(tblActuals[[#This Row],[GL Account]],tblGLMap[GL Account],tblGLMap[Cost Category])</f>
        <v>Maintenance &amp; Repairs</v>
      </c>
      <c r="H237" s="1" t="str">
        <f>TEXT(tblActuals[[#This Row],[Date]],"mmm")</f>
        <v>Mar</v>
      </c>
    </row>
    <row r="238" spans="1:8" x14ac:dyDescent="0.25">
      <c r="A238" s="2">
        <v>45723</v>
      </c>
      <c r="B238" s="1" t="s">
        <v>10</v>
      </c>
      <c r="C238">
        <v>6310</v>
      </c>
      <c r="D238" s="1" t="s">
        <v>32</v>
      </c>
      <c r="E238" s="1" t="s">
        <v>41</v>
      </c>
      <c r="F238">
        <v>6921</v>
      </c>
      <c r="G238" s="1" t="str">
        <f>_xlfn.XLOOKUP(tblActuals[[#This Row],[GL Account]],tblGLMap[GL Account],tblGLMap[Cost Category])</f>
        <v>Maintenance &amp; Repairs</v>
      </c>
      <c r="H238" s="1" t="str">
        <f>TEXT(tblActuals[[#This Row],[Date]],"mmm")</f>
        <v>Mar</v>
      </c>
    </row>
    <row r="239" spans="1:8" x14ac:dyDescent="0.25">
      <c r="A239" s="2">
        <v>45721</v>
      </c>
      <c r="B239" s="1" t="s">
        <v>10</v>
      </c>
      <c r="C239">
        <v>6320</v>
      </c>
      <c r="D239" s="1" t="s">
        <v>39</v>
      </c>
      <c r="E239" s="1" t="s">
        <v>42</v>
      </c>
      <c r="F239">
        <v>9133</v>
      </c>
      <c r="G239" s="1" t="str">
        <f>_xlfn.XLOOKUP(tblActuals[[#This Row],[GL Account]],tblGLMap[GL Account],tblGLMap[Cost Category])</f>
        <v>Maintenance &amp; Repairs</v>
      </c>
      <c r="H239" s="1" t="str">
        <f>TEXT(tblActuals[[#This Row],[Date]],"mmm")</f>
        <v>Mar</v>
      </c>
    </row>
    <row r="240" spans="1:8" x14ac:dyDescent="0.25">
      <c r="A240" s="2">
        <v>45722</v>
      </c>
      <c r="B240" s="1" t="s">
        <v>10</v>
      </c>
      <c r="C240">
        <v>6320</v>
      </c>
      <c r="D240" s="1" t="s">
        <v>34</v>
      </c>
      <c r="E240" s="1" t="s">
        <v>42</v>
      </c>
      <c r="F240">
        <v>2520</v>
      </c>
      <c r="G240" s="1" t="str">
        <f>_xlfn.XLOOKUP(tblActuals[[#This Row],[GL Account]],tblGLMap[GL Account],tblGLMap[Cost Category])</f>
        <v>Maintenance &amp; Repairs</v>
      </c>
      <c r="H240" s="1" t="str">
        <f>TEXT(tblActuals[[#This Row],[Date]],"mmm")</f>
        <v>Mar</v>
      </c>
    </row>
    <row r="241" spans="1:8" x14ac:dyDescent="0.25">
      <c r="A241" s="2">
        <v>45723</v>
      </c>
      <c r="B241" s="1" t="s">
        <v>10</v>
      </c>
      <c r="C241">
        <v>6320</v>
      </c>
      <c r="D241" s="1" t="s">
        <v>39</v>
      </c>
      <c r="E241" s="1" t="s">
        <v>42</v>
      </c>
      <c r="F241">
        <v>8383</v>
      </c>
      <c r="G241" s="1" t="str">
        <f>_xlfn.XLOOKUP(tblActuals[[#This Row],[GL Account]],tblGLMap[GL Account],tblGLMap[Cost Category])</f>
        <v>Maintenance &amp; Repairs</v>
      </c>
      <c r="H241" s="1" t="str">
        <f>TEXT(tblActuals[[#This Row],[Date]],"mmm")</f>
        <v>Mar</v>
      </c>
    </row>
    <row r="242" spans="1:8" x14ac:dyDescent="0.25">
      <c r="A242" s="2">
        <v>45721</v>
      </c>
      <c r="B242" s="1" t="s">
        <v>11</v>
      </c>
      <c r="C242">
        <v>6010</v>
      </c>
      <c r="D242" s="1" t="s">
        <v>35</v>
      </c>
      <c r="E242" s="1" t="s">
        <v>30</v>
      </c>
      <c r="F242">
        <v>11069</v>
      </c>
      <c r="G242" s="1" t="str">
        <f>_xlfn.XLOOKUP(tblActuals[[#This Row],[GL Account]],tblGLMap[GL Account],tblGLMap[Cost Category])</f>
        <v>Labor</v>
      </c>
      <c r="H242" s="1" t="str">
        <f>TEXT(tblActuals[[#This Row],[Date]],"mmm")</f>
        <v>Mar</v>
      </c>
    </row>
    <row r="243" spans="1:8" x14ac:dyDescent="0.25">
      <c r="A243" s="2">
        <v>45722</v>
      </c>
      <c r="B243" s="1" t="s">
        <v>11</v>
      </c>
      <c r="C243">
        <v>6010</v>
      </c>
      <c r="D243" s="1" t="s">
        <v>32</v>
      </c>
      <c r="E243" s="1" t="s">
        <v>30</v>
      </c>
      <c r="F243">
        <v>1820</v>
      </c>
      <c r="G243" s="1" t="str">
        <f>_xlfn.XLOOKUP(tblActuals[[#This Row],[GL Account]],tblGLMap[GL Account],tblGLMap[Cost Category])</f>
        <v>Labor</v>
      </c>
      <c r="H243" s="1" t="str">
        <f>TEXT(tblActuals[[#This Row],[Date]],"mmm")</f>
        <v>Mar</v>
      </c>
    </row>
    <row r="244" spans="1:8" x14ac:dyDescent="0.25">
      <c r="A244" s="2">
        <v>45723</v>
      </c>
      <c r="B244" s="1" t="s">
        <v>11</v>
      </c>
      <c r="C244">
        <v>6010</v>
      </c>
      <c r="D244" s="1" t="s">
        <v>39</v>
      </c>
      <c r="E244" s="1" t="s">
        <v>30</v>
      </c>
      <c r="F244">
        <v>7732</v>
      </c>
      <c r="G244" s="1" t="str">
        <f>_xlfn.XLOOKUP(tblActuals[[#This Row],[GL Account]],tblGLMap[GL Account],tblGLMap[Cost Category])</f>
        <v>Labor</v>
      </c>
      <c r="H244" s="1" t="str">
        <f>TEXT(tblActuals[[#This Row],[Date]],"mmm")</f>
        <v>Mar</v>
      </c>
    </row>
    <row r="245" spans="1:8" x14ac:dyDescent="0.25">
      <c r="A245" s="2">
        <v>45721</v>
      </c>
      <c r="B245" s="1" t="s">
        <v>11</v>
      </c>
      <c r="C245">
        <v>6020</v>
      </c>
      <c r="D245" s="1" t="s">
        <v>29</v>
      </c>
      <c r="E245" s="1" t="s">
        <v>33</v>
      </c>
      <c r="F245">
        <v>1596</v>
      </c>
      <c r="G245" s="1" t="str">
        <f>_xlfn.XLOOKUP(tblActuals[[#This Row],[GL Account]],tblGLMap[GL Account],tblGLMap[Cost Category])</f>
        <v>Labor</v>
      </c>
      <c r="H245" s="1" t="str">
        <f>TEXT(tblActuals[[#This Row],[Date]],"mmm")</f>
        <v>Mar</v>
      </c>
    </row>
    <row r="246" spans="1:8" x14ac:dyDescent="0.25">
      <c r="A246" s="2">
        <v>45722</v>
      </c>
      <c r="B246" s="1" t="s">
        <v>11</v>
      </c>
      <c r="C246">
        <v>6020</v>
      </c>
      <c r="D246" s="1" t="s">
        <v>39</v>
      </c>
      <c r="E246" s="1" t="s">
        <v>33</v>
      </c>
      <c r="F246">
        <v>6392</v>
      </c>
      <c r="G246" s="1" t="str">
        <f>_xlfn.XLOOKUP(tblActuals[[#This Row],[GL Account]],tblGLMap[GL Account],tblGLMap[Cost Category])</f>
        <v>Labor</v>
      </c>
      <c r="H246" s="1" t="str">
        <f>TEXT(tblActuals[[#This Row],[Date]],"mmm")</f>
        <v>Mar</v>
      </c>
    </row>
    <row r="247" spans="1:8" x14ac:dyDescent="0.25">
      <c r="A247" s="2">
        <v>45723</v>
      </c>
      <c r="B247" s="1" t="s">
        <v>11</v>
      </c>
      <c r="C247">
        <v>6020</v>
      </c>
      <c r="D247" s="1" t="s">
        <v>32</v>
      </c>
      <c r="E247" s="1" t="s">
        <v>33</v>
      </c>
      <c r="F247">
        <v>8365</v>
      </c>
      <c r="G247" s="1" t="str">
        <f>_xlfn.XLOOKUP(tblActuals[[#This Row],[GL Account]],tblGLMap[GL Account],tblGLMap[Cost Category])</f>
        <v>Labor</v>
      </c>
      <c r="H247" s="1" t="str">
        <f>TEXT(tblActuals[[#This Row],[Date]],"mmm")</f>
        <v>Mar</v>
      </c>
    </row>
    <row r="248" spans="1:8" x14ac:dyDescent="0.25">
      <c r="A248" s="2">
        <v>45721</v>
      </c>
      <c r="B248" s="1" t="s">
        <v>11</v>
      </c>
      <c r="C248">
        <v>6110</v>
      </c>
      <c r="D248" s="1" t="s">
        <v>32</v>
      </c>
      <c r="E248" s="1" t="s">
        <v>36</v>
      </c>
      <c r="F248">
        <v>10447</v>
      </c>
      <c r="G248" s="1" t="str">
        <f>_xlfn.XLOOKUP(tblActuals[[#This Row],[GL Account]],tblGLMap[GL Account],tblGLMap[Cost Category])</f>
        <v>Supplies &amp; Inventory</v>
      </c>
      <c r="H248" s="1" t="str">
        <f>TEXT(tblActuals[[#This Row],[Date]],"mmm")</f>
        <v>Mar</v>
      </c>
    </row>
    <row r="249" spans="1:8" x14ac:dyDescent="0.25">
      <c r="A249" s="2">
        <v>45722</v>
      </c>
      <c r="B249" s="1" t="s">
        <v>11</v>
      </c>
      <c r="C249">
        <v>6110</v>
      </c>
      <c r="D249" s="1" t="s">
        <v>39</v>
      </c>
      <c r="E249" s="1" t="s">
        <v>36</v>
      </c>
      <c r="F249">
        <v>5113</v>
      </c>
      <c r="G249" s="1" t="str">
        <f>_xlfn.XLOOKUP(tblActuals[[#This Row],[GL Account]],tblGLMap[GL Account],tblGLMap[Cost Category])</f>
        <v>Supplies &amp; Inventory</v>
      </c>
      <c r="H249" s="1" t="str">
        <f>TEXT(tblActuals[[#This Row],[Date]],"mmm")</f>
        <v>Mar</v>
      </c>
    </row>
    <row r="250" spans="1:8" x14ac:dyDescent="0.25">
      <c r="A250" s="2">
        <v>45723</v>
      </c>
      <c r="B250" s="1" t="s">
        <v>11</v>
      </c>
      <c r="C250">
        <v>6110</v>
      </c>
      <c r="D250" s="1" t="s">
        <v>29</v>
      </c>
      <c r="E250" s="1" t="s">
        <v>36</v>
      </c>
      <c r="F250">
        <v>5095</v>
      </c>
      <c r="G250" s="1" t="str">
        <f>_xlfn.XLOOKUP(tblActuals[[#This Row],[GL Account]],tblGLMap[GL Account],tblGLMap[Cost Category])</f>
        <v>Supplies &amp; Inventory</v>
      </c>
      <c r="H250" s="1" t="str">
        <f>TEXT(tblActuals[[#This Row],[Date]],"mmm")</f>
        <v>Mar</v>
      </c>
    </row>
    <row r="251" spans="1:8" x14ac:dyDescent="0.25">
      <c r="A251" s="2">
        <v>45721</v>
      </c>
      <c r="B251" s="1" t="s">
        <v>11</v>
      </c>
      <c r="C251">
        <v>6120</v>
      </c>
      <c r="D251" s="1" t="s">
        <v>39</v>
      </c>
      <c r="E251" s="1" t="s">
        <v>37</v>
      </c>
      <c r="F251">
        <v>8640</v>
      </c>
      <c r="G251" s="1" t="str">
        <f>_xlfn.XLOOKUP(tblActuals[[#This Row],[GL Account]],tblGLMap[GL Account],tblGLMap[Cost Category])</f>
        <v>Supplies &amp; Inventory</v>
      </c>
      <c r="H251" s="1" t="str">
        <f>TEXT(tblActuals[[#This Row],[Date]],"mmm")</f>
        <v>Mar</v>
      </c>
    </row>
    <row r="252" spans="1:8" x14ac:dyDescent="0.25">
      <c r="A252" s="2">
        <v>45722</v>
      </c>
      <c r="B252" s="1" t="s">
        <v>11</v>
      </c>
      <c r="C252">
        <v>6120</v>
      </c>
      <c r="D252" s="1" t="s">
        <v>39</v>
      </c>
      <c r="E252" s="1" t="s">
        <v>37</v>
      </c>
      <c r="F252">
        <v>1975</v>
      </c>
      <c r="G252" s="1" t="str">
        <f>_xlfn.XLOOKUP(tblActuals[[#This Row],[GL Account]],tblGLMap[GL Account],tblGLMap[Cost Category])</f>
        <v>Supplies &amp; Inventory</v>
      </c>
      <c r="H252" s="1" t="str">
        <f>TEXT(tblActuals[[#This Row],[Date]],"mmm")</f>
        <v>Mar</v>
      </c>
    </row>
    <row r="253" spans="1:8" x14ac:dyDescent="0.25">
      <c r="A253" s="2">
        <v>45723</v>
      </c>
      <c r="B253" s="1" t="s">
        <v>11</v>
      </c>
      <c r="C253">
        <v>6120</v>
      </c>
      <c r="D253" s="1" t="s">
        <v>35</v>
      </c>
      <c r="E253" s="1" t="s">
        <v>37</v>
      </c>
      <c r="F253">
        <v>7007</v>
      </c>
      <c r="G253" s="1" t="str">
        <f>_xlfn.XLOOKUP(tblActuals[[#This Row],[GL Account]],tblGLMap[GL Account],tblGLMap[Cost Category])</f>
        <v>Supplies &amp; Inventory</v>
      </c>
      <c r="H253" s="1" t="str">
        <f>TEXT(tblActuals[[#This Row],[Date]],"mmm")</f>
        <v>Mar</v>
      </c>
    </row>
    <row r="254" spans="1:8" x14ac:dyDescent="0.25">
      <c r="A254" s="2">
        <v>45721</v>
      </c>
      <c r="B254" s="1" t="s">
        <v>11</v>
      </c>
      <c r="C254">
        <v>6210</v>
      </c>
      <c r="D254" s="1" t="s">
        <v>35</v>
      </c>
      <c r="E254" s="1" t="s">
        <v>38</v>
      </c>
      <c r="F254">
        <v>8124</v>
      </c>
      <c r="G254" s="1" t="str">
        <f>_xlfn.XLOOKUP(tblActuals[[#This Row],[GL Account]],tblGLMap[GL Account],tblGLMap[Cost Category])</f>
        <v>Utilities</v>
      </c>
      <c r="H254" s="1" t="str">
        <f>TEXT(tblActuals[[#This Row],[Date]],"mmm")</f>
        <v>Mar</v>
      </c>
    </row>
    <row r="255" spans="1:8" x14ac:dyDescent="0.25">
      <c r="A255" s="2">
        <v>45722</v>
      </c>
      <c r="B255" s="1" t="s">
        <v>11</v>
      </c>
      <c r="C255">
        <v>6210</v>
      </c>
      <c r="D255" s="1" t="s">
        <v>39</v>
      </c>
      <c r="E255" s="1" t="s">
        <v>38</v>
      </c>
      <c r="F255">
        <v>4204</v>
      </c>
      <c r="G255" s="1" t="str">
        <f>_xlfn.XLOOKUP(tblActuals[[#This Row],[GL Account]],tblGLMap[GL Account],tblGLMap[Cost Category])</f>
        <v>Utilities</v>
      </c>
      <c r="H255" s="1" t="str">
        <f>TEXT(tblActuals[[#This Row],[Date]],"mmm")</f>
        <v>Mar</v>
      </c>
    </row>
    <row r="256" spans="1:8" x14ac:dyDescent="0.25">
      <c r="A256" s="2">
        <v>45723</v>
      </c>
      <c r="B256" s="1" t="s">
        <v>11</v>
      </c>
      <c r="C256">
        <v>6210</v>
      </c>
      <c r="D256" s="1" t="s">
        <v>32</v>
      </c>
      <c r="E256" s="1" t="s">
        <v>38</v>
      </c>
      <c r="F256">
        <v>3591</v>
      </c>
      <c r="G256" s="1" t="str">
        <f>_xlfn.XLOOKUP(tblActuals[[#This Row],[GL Account]],tblGLMap[GL Account],tblGLMap[Cost Category])</f>
        <v>Utilities</v>
      </c>
      <c r="H256" s="1" t="str">
        <f>TEXT(tblActuals[[#This Row],[Date]],"mmm")</f>
        <v>Mar</v>
      </c>
    </row>
    <row r="257" spans="1:8" x14ac:dyDescent="0.25">
      <c r="A257" s="2">
        <v>45721</v>
      </c>
      <c r="B257" s="1" t="s">
        <v>11</v>
      </c>
      <c r="C257">
        <v>6220</v>
      </c>
      <c r="D257" s="1" t="s">
        <v>31</v>
      </c>
      <c r="E257" s="1" t="s">
        <v>40</v>
      </c>
      <c r="F257">
        <v>10251</v>
      </c>
      <c r="G257" s="1" t="str">
        <f>_xlfn.XLOOKUP(tblActuals[[#This Row],[GL Account]],tblGLMap[GL Account],tblGLMap[Cost Category])</f>
        <v>Utilities</v>
      </c>
      <c r="H257" s="1" t="str">
        <f>TEXT(tblActuals[[#This Row],[Date]],"mmm")</f>
        <v>Mar</v>
      </c>
    </row>
    <row r="258" spans="1:8" x14ac:dyDescent="0.25">
      <c r="A258" s="2">
        <v>45722</v>
      </c>
      <c r="B258" s="1" t="s">
        <v>11</v>
      </c>
      <c r="C258">
        <v>6220</v>
      </c>
      <c r="D258" s="1" t="s">
        <v>32</v>
      </c>
      <c r="E258" s="1" t="s">
        <v>40</v>
      </c>
      <c r="F258">
        <v>7955</v>
      </c>
      <c r="G258" s="1" t="str">
        <f>_xlfn.XLOOKUP(tblActuals[[#This Row],[GL Account]],tblGLMap[GL Account],tblGLMap[Cost Category])</f>
        <v>Utilities</v>
      </c>
      <c r="H258" s="1" t="str">
        <f>TEXT(tblActuals[[#This Row],[Date]],"mmm")</f>
        <v>Mar</v>
      </c>
    </row>
    <row r="259" spans="1:8" x14ac:dyDescent="0.25">
      <c r="A259" s="2">
        <v>45723</v>
      </c>
      <c r="B259" s="1" t="s">
        <v>11</v>
      </c>
      <c r="C259">
        <v>6220</v>
      </c>
      <c r="D259" s="1" t="s">
        <v>35</v>
      </c>
      <c r="E259" s="1" t="s">
        <v>40</v>
      </c>
      <c r="F259">
        <v>10746</v>
      </c>
      <c r="G259" s="1" t="str">
        <f>_xlfn.XLOOKUP(tblActuals[[#This Row],[GL Account]],tblGLMap[GL Account],tblGLMap[Cost Category])</f>
        <v>Utilities</v>
      </c>
      <c r="H259" s="1" t="str">
        <f>TEXT(tblActuals[[#This Row],[Date]],"mmm")</f>
        <v>Mar</v>
      </c>
    </row>
    <row r="260" spans="1:8" x14ac:dyDescent="0.25">
      <c r="A260" s="2">
        <v>45721</v>
      </c>
      <c r="B260" s="1" t="s">
        <v>11</v>
      </c>
      <c r="C260">
        <v>6310</v>
      </c>
      <c r="D260" s="1" t="s">
        <v>31</v>
      </c>
      <c r="E260" s="1" t="s">
        <v>41</v>
      </c>
      <c r="F260">
        <v>1944</v>
      </c>
      <c r="G260" s="1" t="str">
        <f>_xlfn.XLOOKUP(tblActuals[[#This Row],[GL Account]],tblGLMap[GL Account],tblGLMap[Cost Category])</f>
        <v>Maintenance &amp; Repairs</v>
      </c>
      <c r="H260" s="1" t="str">
        <f>TEXT(tblActuals[[#This Row],[Date]],"mmm")</f>
        <v>Mar</v>
      </c>
    </row>
    <row r="261" spans="1:8" x14ac:dyDescent="0.25">
      <c r="A261" s="2">
        <v>45722</v>
      </c>
      <c r="B261" s="1" t="s">
        <v>11</v>
      </c>
      <c r="C261">
        <v>6310</v>
      </c>
      <c r="D261" s="1" t="s">
        <v>34</v>
      </c>
      <c r="E261" s="1" t="s">
        <v>41</v>
      </c>
      <c r="F261">
        <v>8522</v>
      </c>
      <c r="G261" s="1" t="str">
        <f>_xlfn.XLOOKUP(tblActuals[[#This Row],[GL Account]],tblGLMap[GL Account],tblGLMap[Cost Category])</f>
        <v>Maintenance &amp; Repairs</v>
      </c>
      <c r="H261" s="1" t="str">
        <f>TEXT(tblActuals[[#This Row],[Date]],"mmm")</f>
        <v>Mar</v>
      </c>
    </row>
    <row r="262" spans="1:8" x14ac:dyDescent="0.25">
      <c r="A262" s="2">
        <v>45723</v>
      </c>
      <c r="B262" s="1" t="s">
        <v>11</v>
      </c>
      <c r="C262">
        <v>6310</v>
      </c>
      <c r="D262" s="1" t="s">
        <v>34</v>
      </c>
      <c r="E262" s="1" t="s">
        <v>41</v>
      </c>
      <c r="F262">
        <v>9064</v>
      </c>
      <c r="G262" s="1" t="str">
        <f>_xlfn.XLOOKUP(tblActuals[[#This Row],[GL Account]],tblGLMap[GL Account],tblGLMap[Cost Category])</f>
        <v>Maintenance &amp; Repairs</v>
      </c>
      <c r="H262" s="1" t="str">
        <f>TEXT(tblActuals[[#This Row],[Date]],"mmm")</f>
        <v>Mar</v>
      </c>
    </row>
    <row r="263" spans="1:8" x14ac:dyDescent="0.25">
      <c r="A263" s="2">
        <v>45721</v>
      </c>
      <c r="B263" s="1" t="s">
        <v>11</v>
      </c>
      <c r="C263">
        <v>6320</v>
      </c>
      <c r="D263" s="1" t="s">
        <v>29</v>
      </c>
      <c r="E263" s="1" t="s">
        <v>42</v>
      </c>
      <c r="F263">
        <v>2323</v>
      </c>
      <c r="G263" s="1" t="str">
        <f>_xlfn.XLOOKUP(tblActuals[[#This Row],[GL Account]],tblGLMap[GL Account],tblGLMap[Cost Category])</f>
        <v>Maintenance &amp; Repairs</v>
      </c>
      <c r="H263" s="1" t="str">
        <f>TEXT(tblActuals[[#This Row],[Date]],"mmm")</f>
        <v>Mar</v>
      </c>
    </row>
    <row r="264" spans="1:8" x14ac:dyDescent="0.25">
      <c r="A264" s="2">
        <v>45722</v>
      </c>
      <c r="B264" s="1" t="s">
        <v>11</v>
      </c>
      <c r="C264">
        <v>6320</v>
      </c>
      <c r="D264" s="1" t="s">
        <v>29</v>
      </c>
      <c r="E264" s="1" t="s">
        <v>42</v>
      </c>
      <c r="F264">
        <v>7711</v>
      </c>
      <c r="G264" s="1" t="str">
        <f>_xlfn.XLOOKUP(tblActuals[[#This Row],[GL Account]],tblGLMap[GL Account],tblGLMap[Cost Category])</f>
        <v>Maintenance &amp; Repairs</v>
      </c>
      <c r="H264" s="1" t="str">
        <f>TEXT(tblActuals[[#This Row],[Date]],"mmm")</f>
        <v>Mar</v>
      </c>
    </row>
    <row r="265" spans="1:8" x14ac:dyDescent="0.25">
      <c r="A265" s="2">
        <v>45723</v>
      </c>
      <c r="B265" s="1" t="s">
        <v>11</v>
      </c>
      <c r="C265">
        <v>6320</v>
      </c>
      <c r="D265" s="1" t="s">
        <v>39</v>
      </c>
      <c r="E265" s="1" t="s">
        <v>42</v>
      </c>
      <c r="F265">
        <v>4967</v>
      </c>
      <c r="G265" s="1" t="str">
        <f>_xlfn.XLOOKUP(tblActuals[[#This Row],[GL Account]],tblGLMap[GL Account],tblGLMap[Cost Category])</f>
        <v>Maintenance &amp; Repairs</v>
      </c>
      <c r="H265" s="1" t="str">
        <f>TEXT(tblActuals[[#This Row],[Date]],"mmm")</f>
        <v>Mar</v>
      </c>
    </row>
    <row r="266" spans="1:8" x14ac:dyDescent="0.25">
      <c r="A266" s="2">
        <v>45721</v>
      </c>
      <c r="B266" s="1" t="s">
        <v>12</v>
      </c>
      <c r="C266">
        <v>6010</v>
      </c>
      <c r="D266" s="1" t="s">
        <v>29</v>
      </c>
      <c r="E266" s="1" t="s">
        <v>30</v>
      </c>
      <c r="F266">
        <v>6855</v>
      </c>
      <c r="G266" s="1" t="str">
        <f>_xlfn.XLOOKUP(tblActuals[[#This Row],[GL Account]],tblGLMap[GL Account],tblGLMap[Cost Category])</f>
        <v>Labor</v>
      </c>
      <c r="H266" s="1" t="str">
        <f>TEXT(tblActuals[[#This Row],[Date]],"mmm")</f>
        <v>Mar</v>
      </c>
    </row>
    <row r="267" spans="1:8" x14ac:dyDescent="0.25">
      <c r="A267" s="2">
        <v>45722</v>
      </c>
      <c r="B267" s="1" t="s">
        <v>12</v>
      </c>
      <c r="C267">
        <v>6010</v>
      </c>
      <c r="D267" s="1" t="s">
        <v>29</v>
      </c>
      <c r="E267" s="1" t="s">
        <v>30</v>
      </c>
      <c r="F267">
        <v>7711</v>
      </c>
      <c r="G267" s="1" t="str">
        <f>_xlfn.XLOOKUP(tblActuals[[#This Row],[GL Account]],tblGLMap[GL Account],tblGLMap[Cost Category])</f>
        <v>Labor</v>
      </c>
      <c r="H267" s="1" t="str">
        <f>TEXT(tblActuals[[#This Row],[Date]],"mmm")</f>
        <v>Mar</v>
      </c>
    </row>
    <row r="268" spans="1:8" x14ac:dyDescent="0.25">
      <c r="A268" s="2">
        <v>45723</v>
      </c>
      <c r="B268" s="1" t="s">
        <v>12</v>
      </c>
      <c r="C268">
        <v>6010</v>
      </c>
      <c r="D268" s="1" t="s">
        <v>29</v>
      </c>
      <c r="E268" s="1" t="s">
        <v>30</v>
      </c>
      <c r="F268">
        <v>8406</v>
      </c>
      <c r="G268" s="1" t="str">
        <f>_xlfn.XLOOKUP(tblActuals[[#This Row],[GL Account]],tblGLMap[GL Account],tblGLMap[Cost Category])</f>
        <v>Labor</v>
      </c>
      <c r="H268" s="1" t="str">
        <f>TEXT(tblActuals[[#This Row],[Date]],"mmm")</f>
        <v>Mar</v>
      </c>
    </row>
    <row r="269" spans="1:8" x14ac:dyDescent="0.25">
      <c r="A269" s="2">
        <v>45721</v>
      </c>
      <c r="B269" s="1" t="s">
        <v>12</v>
      </c>
      <c r="C269">
        <v>6020</v>
      </c>
      <c r="D269" s="1" t="s">
        <v>39</v>
      </c>
      <c r="E269" s="1" t="s">
        <v>33</v>
      </c>
      <c r="F269">
        <v>2841</v>
      </c>
      <c r="G269" s="1" t="str">
        <f>_xlfn.XLOOKUP(tblActuals[[#This Row],[GL Account]],tblGLMap[GL Account],tblGLMap[Cost Category])</f>
        <v>Labor</v>
      </c>
      <c r="H269" s="1" t="str">
        <f>TEXT(tblActuals[[#This Row],[Date]],"mmm")</f>
        <v>Mar</v>
      </c>
    </row>
    <row r="270" spans="1:8" x14ac:dyDescent="0.25">
      <c r="A270" s="2">
        <v>45722</v>
      </c>
      <c r="B270" s="1" t="s">
        <v>12</v>
      </c>
      <c r="C270">
        <v>6020</v>
      </c>
      <c r="D270" s="1" t="s">
        <v>35</v>
      </c>
      <c r="E270" s="1" t="s">
        <v>33</v>
      </c>
      <c r="F270">
        <v>1817</v>
      </c>
      <c r="G270" s="1" t="str">
        <f>_xlfn.XLOOKUP(tblActuals[[#This Row],[GL Account]],tblGLMap[GL Account],tblGLMap[Cost Category])</f>
        <v>Labor</v>
      </c>
      <c r="H270" s="1" t="str">
        <f>TEXT(tblActuals[[#This Row],[Date]],"mmm")</f>
        <v>Mar</v>
      </c>
    </row>
    <row r="271" spans="1:8" x14ac:dyDescent="0.25">
      <c r="A271" s="2">
        <v>45723</v>
      </c>
      <c r="B271" s="1" t="s">
        <v>12</v>
      </c>
      <c r="C271">
        <v>6020</v>
      </c>
      <c r="D271" s="1" t="s">
        <v>31</v>
      </c>
      <c r="E271" s="1" t="s">
        <v>33</v>
      </c>
      <c r="F271">
        <v>10337</v>
      </c>
      <c r="G271" s="1" t="str">
        <f>_xlfn.XLOOKUP(tblActuals[[#This Row],[GL Account]],tblGLMap[GL Account],tblGLMap[Cost Category])</f>
        <v>Labor</v>
      </c>
      <c r="H271" s="1" t="str">
        <f>TEXT(tblActuals[[#This Row],[Date]],"mmm")</f>
        <v>Mar</v>
      </c>
    </row>
    <row r="272" spans="1:8" x14ac:dyDescent="0.25">
      <c r="A272" s="2">
        <v>45721</v>
      </c>
      <c r="B272" s="1" t="s">
        <v>12</v>
      </c>
      <c r="C272">
        <v>6110</v>
      </c>
      <c r="D272" s="1" t="s">
        <v>34</v>
      </c>
      <c r="E272" s="1" t="s">
        <v>36</v>
      </c>
      <c r="F272">
        <v>7233</v>
      </c>
      <c r="G272" s="1" t="str">
        <f>_xlfn.XLOOKUP(tblActuals[[#This Row],[GL Account]],tblGLMap[GL Account],tblGLMap[Cost Category])</f>
        <v>Supplies &amp; Inventory</v>
      </c>
      <c r="H272" s="1" t="str">
        <f>TEXT(tblActuals[[#This Row],[Date]],"mmm")</f>
        <v>Mar</v>
      </c>
    </row>
    <row r="273" spans="1:8" x14ac:dyDescent="0.25">
      <c r="A273" s="2">
        <v>45722</v>
      </c>
      <c r="B273" s="1" t="s">
        <v>12</v>
      </c>
      <c r="C273">
        <v>6110</v>
      </c>
      <c r="D273" s="1" t="s">
        <v>35</v>
      </c>
      <c r="E273" s="1" t="s">
        <v>36</v>
      </c>
      <c r="F273">
        <v>2624</v>
      </c>
      <c r="G273" s="1" t="str">
        <f>_xlfn.XLOOKUP(tblActuals[[#This Row],[GL Account]],tblGLMap[GL Account],tblGLMap[Cost Category])</f>
        <v>Supplies &amp; Inventory</v>
      </c>
      <c r="H273" s="1" t="str">
        <f>TEXT(tblActuals[[#This Row],[Date]],"mmm")</f>
        <v>Mar</v>
      </c>
    </row>
    <row r="274" spans="1:8" x14ac:dyDescent="0.25">
      <c r="A274" s="2">
        <v>45723</v>
      </c>
      <c r="B274" s="1" t="s">
        <v>12</v>
      </c>
      <c r="C274">
        <v>6110</v>
      </c>
      <c r="D274" s="1" t="s">
        <v>31</v>
      </c>
      <c r="E274" s="1" t="s">
        <v>36</v>
      </c>
      <c r="F274">
        <v>2159</v>
      </c>
      <c r="G274" s="1" t="str">
        <f>_xlfn.XLOOKUP(tblActuals[[#This Row],[GL Account]],tblGLMap[GL Account],tblGLMap[Cost Category])</f>
        <v>Supplies &amp; Inventory</v>
      </c>
      <c r="H274" s="1" t="str">
        <f>TEXT(tblActuals[[#This Row],[Date]],"mmm")</f>
        <v>Mar</v>
      </c>
    </row>
    <row r="275" spans="1:8" x14ac:dyDescent="0.25">
      <c r="A275" s="2">
        <v>45721</v>
      </c>
      <c r="B275" s="1" t="s">
        <v>12</v>
      </c>
      <c r="C275">
        <v>6120</v>
      </c>
      <c r="D275" s="1" t="s">
        <v>34</v>
      </c>
      <c r="E275" s="1" t="s">
        <v>37</v>
      </c>
      <c r="F275">
        <v>5551</v>
      </c>
      <c r="G275" s="1" t="str">
        <f>_xlfn.XLOOKUP(tblActuals[[#This Row],[GL Account]],tblGLMap[GL Account],tblGLMap[Cost Category])</f>
        <v>Supplies &amp; Inventory</v>
      </c>
      <c r="H275" s="1" t="str">
        <f>TEXT(tblActuals[[#This Row],[Date]],"mmm")</f>
        <v>Mar</v>
      </c>
    </row>
    <row r="276" spans="1:8" x14ac:dyDescent="0.25">
      <c r="A276" s="2">
        <v>45722</v>
      </c>
      <c r="B276" s="1" t="s">
        <v>12</v>
      </c>
      <c r="C276">
        <v>6120</v>
      </c>
      <c r="D276" s="1" t="s">
        <v>32</v>
      </c>
      <c r="E276" s="1" t="s">
        <v>37</v>
      </c>
      <c r="F276">
        <v>1833</v>
      </c>
      <c r="G276" s="1" t="str">
        <f>_xlfn.XLOOKUP(tblActuals[[#This Row],[GL Account]],tblGLMap[GL Account],tblGLMap[Cost Category])</f>
        <v>Supplies &amp; Inventory</v>
      </c>
      <c r="H276" s="1" t="str">
        <f>TEXT(tblActuals[[#This Row],[Date]],"mmm")</f>
        <v>Mar</v>
      </c>
    </row>
    <row r="277" spans="1:8" x14ac:dyDescent="0.25">
      <c r="A277" s="2">
        <v>45723</v>
      </c>
      <c r="B277" s="1" t="s">
        <v>12</v>
      </c>
      <c r="C277">
        <v>6120</v>
      </c>
      <c r="D277" s="1" t="s">
        <v>34</v>
      </c>
      <c r="E277" s="1" t="s">
        <v>37</v>
      </c>
      <c r="F277">
        <v>3996</v>
      </c>
      <c r="G277" s="1" t="str">
        <f>_xlfn.XLOOKUP(tblActuals[[#This Row],[GL Account]],tblGLMap[GL Account],tblGLMap[Cost Category])</f>
        <v>Supplies &amp; Inventory</v>
      </c>
      <c r="H277" s="1" t="str">
        <f>TEXT(tblActuals[[#This Row],[Date]],"mmm")</f>
        <v>Mar</v>
      </c>
    </row>
    <row r="278" spans="1:8" x14ac:dyDescent="0.25">
      <c r="A278" s="2">
        <v>45721</v>
      </c>
      <c r="B278" s="1" t="s">
        <v>12</v>
      </c>
      <c r="C278">
        <v>6210</v>
      </c>
      <c r="D278" s="1" t="s">
        <v>39</v>
      </c>
      <c r="E278" s="1" t="s">
        <v>38</v>
      </c>
      <c r="F278">
        <v>3568</v>
      </c>
      <c r="G278" s="1" t="str">
        <f>_xlfn.XLOOKUP(tblActuals[[#This Row],[GL Account]],tblGLMap[GL Account],tblGLMap[Cost Category])</f>
        <v>Utilities</v>
      </c>
      <c r="H278" s="1" t="str">
        <f>TEXT(tblActuals[[#This Row],[Date]],"mmm")</f>
        <v>Mar</v>
      </c>
    </row>
    <row r="279" spans="1:8" x14ac:dyDescent="0.25">
      <c r="A279" s="2">
        <v>45722</v>
      </c>
      <c r="B279" s="1" t="s">
        <v>12</v>
      </c>
      <c r="C279">
        <v>6210</v>
      </c>
      <c r="D279" s="1" t="s">
        <v>32</v>
      </c>
      <c r="E279" s="1" t="s">
        <v>38</v>
      </c>
      <c r="F279">
        <v>3374</v>
      </c>
      <c r="G279" s="1" t="str">
        <f>_xlfn.XLOOKUP(tblActuals[[#This Row],[GL Account]],tblGLMap[GL Account],tblGLMap[Cost Category])</f>
        <v>Utilities</v>
      </c>
      <c r="H279" s="1" t="str">
        <f>TEXT(tblActuals[[#This Row],[Date]],"mmm")</f>
        <v>Mar</v>
      </c>
    </row>
    <row r="280" spans="1:8" x14ac:dyDescent="0.25">
      <c r="A280" s="2">
        <v>45723</v>
      </c>
      <c r="B280" s="1" t="s">
        <v>12</v>
      </c>
      <c r="C280">
        <v>6210</v>
      </c>
      <c r="D280" s="1" t="s">
        <v>39</v>
      </c>
      <c r="E280" s="1" t="s">
        <v>38</v>
      </c>
      <c r="F280">
        <v>5071</v>
      </c>
      <c r="G280" s="1" t="str">
        <f>_xlfn.XLOOKUP(tblActuals[[#This Row],[GL Account]],tblGLMap[GL Account],tblGLMap[Cost Category])</f>
        <v>Utilities</v>
      </c>
      <c r="H280" s="1" t="str">
        <f>TEXT(tblActuals[[#This Row],[Date]],"mmm")</f>
        <v>Mar</v>
      </c>
    </row>
    <row r="281" spans="1:8" x14ac:dyDescent="0.25">
      <c r="A281" s="2">
        <v>45721</v>
      </c>
      <c r="B281" s="1" t="s">
        <v>12</v>
      </c>
      <c r="C281">
        <v>6220</v>
      </c>
      <c r="D281" s="1" t="s">
        <v>29</v>
      </c>
      <c r="E281" s="1" t="s">
        <v>40</v>
      </c>
      <c r="F281">
        <v>5698</v>
      </c>
      <c r="G281" s="1" t="str">
        <f>_xlfn.XLOOKUP(tblActuals[[#This Row],[GL Account]],tblGLMap[GL Account],tblGLMap[Cost Category])</f>
        <v>Utilities</v>
      </c>
      <c r="H281" s="1" t="str">
        <f>TEXT(tblActuals[[#This Row],[Date]],"mmm")</f>
        <v>Mar</v>
      </c>
    </row>
    <row r="282" spans="1:8" x14ac:dyDescent="0.25">
      <c r="A282" s="2">
        <v>45722</v>
      </c>
      <c r="B282" s="1" t="s">
        <v>12</v>
      </c>
      <c r="C282">
        <v>6220</v>
      </c>
      <c r="D282" s="1" t="s">
        <v>32</v>
      </c>
      <c r="E282" s="1" t="s">
        <v>40</v>
      </c>
      <c r="F282">
        <v>4249</v>
      </c>
      <c r="G282" s="1" t="str">
        <f>_xlfn.XLOOKUP(tblActuals[[#This Row],[GL Account]],tblGLMap[GL Account],tblGLMap[Cost Category])</f>
        <v>Utilities</v>
      </c>
      <c r="H282" s="1" t="str">
        <f>TEXT(tblActuals[[#This Row],[Date]],"mmm")</f>
        <v>Mar</v>
      </c>
    </row>
    <row r="283" spans="1:8" x14ac:dyDescent="0.25">
      <c r="A283" s="2">
        <v>45723</v>
      </c>
      <c r="B283" s="1" t="s">
        <v>12</v>
      </c>
      <c r="C283">
        <v>6220</v>
      </c>
      <c r="D283" s="1" t="s">
        <v>35</v>
      </c>
      <c r="E283" s="1" t="s">
        <v>40</v>
      </c>
      <c r="F283">
        <v>11449</v>
      </c>
      <c r="G283" s="1" t="str">
        <f>_xlfn.XLOOKUP(tblActuals[[#This Row],[GL Account]],tblGLMap[GL Account],tblGLMap[Cost Category])</f>
        <v>Utilities</v>
      </c>
      <c r="H283" s="1" t="str">
        <f>TEXT(tblActuals[[#This Row],[Date]],"mmm")</f>
        <v>Mar</v>
      </c>
    </row>
    <row r="284" spans="1:8" x14ac:dyDescent="0.25">
      <c r="A284" s="2">
        <v>45721</v>
      </c>
      <c r="B284" s="1" t="s">
        <v>12</v>
      </c>
      <c r="C284">
        <v>6310</v>
      </c>
      <c r="D284" s="1" t="s">
        <v>34</v>
      </c>
      <c r="E284" s="1" t="s">
        <v>41</v>
      </c>
      <c r="F284">
        <v>3376</v>
      </c>
      <c r="G284" s="1" t="str">
        <f>_xlfn.XLOOKUP(tblActuals[[#This Row],[GL Account]],tblGLMap[GL Account],tblGLMap[Cost Category])</f>
        <v>Maintenance &amp; Repairs</v>
      </c>
      <c r="H284" s="1" t="str">
        <f>TEXT(tblActuals[[#This Row],[Date]],"mmm")</f>
        <v>Mar</v>
      </c>
    </row>
    <row r="285" spans="1:8" x14ac:dyDescent="0.25">
      <c r="A285" s="2">
        <v>45722</v>
      </c>
      <c r="B285" s="1" t="s">
        <v>12</v>
      </c>
      <c r="C285">
        <v>6310</v>
      </c>
      <c r="D285" s="1" t="s">
        <v>31</v>
      </c>
      <c r="E285" s="1" t="s">
        <v>41</v>
      </c>
      <c r="F285">
        <v>6596</v>
      </c>
      <c r="G285" s="1" t="str">
        <f>_xlfn.XLOOKUP(tblActuals[[#This Row],[GL Account]],tblGLMap[GL Account],tblGLMap[Cost Category])</f>
        <v>Maintenance &amp; Repairs</v>
      </c>
      <c r="H285" s="1" t="str">
        <f>TEXT(tblActuals[[#This Row],[Date]],"mmm")</f>
        <v>Mar</v>
      </c>
    </row>
    <row r="286" spans="1:8" x14ac:dyDescent="0.25">
      <c r="A286" s="2">
        <v>45723</v>
      </c>
      <c r="B286" s="1" t="s">
        <v>12</v>
      </c>
      <c r="C286">
        <v>6310</v>
      </c>
      <c r="D286" s="1" t="s">
        <v>31</v>
      </c>
      <c r="E286" s="1" t="s">
        <v>41</v>
      </c>
      <c r="F286">
        <v>10981</v>
      </c>
      <c r="G286" s="1" t="str">
        <f>_xlfn.XLOOKUP(tblActuals[[#This Row],[GL Account]],tblGLMap[GL Account],tblGLMap[Cost Category])</f>
        <v>Maintenance &amp; Repairs</v>
      </c>
      <c r="H286" s="1" t="str">
        <f>TEXT(tblActuals[[#This Row],[Date]],"mmm")</f>
        <v>Mar</v>
      </c>
    </row>
    <row r="287" spans="1:8" x14ac:dyDescent="0.25">
      <c r="A287" s="2">
        <v>45721</v>
      </c>
      <c r="B287" s="1" t="s">
        <v>12</v>
      </c>
      <c r="C287">
        <v>6320</v>
      </c>
      <c r="D287" s="1" t="s">
        <v>32</v>
      </c>
      <c r="E287" s="1" t="s">
        <v>42</v>
      </c>
      <c r="F287">
        <v>6611</v>
      </c>
      <c r="G287" s="1" t="str">
        <f>_xlfn.XLOOKUP(tblActuals[[#This Row],[GL Account]],tblGLMap[GL Account],tblGLMap[Cost Category])</f>
        <v>Maintenance &amp; Repairs</v>
      </c>
      <c r="H287" s="1" t="str">
        <f>TEXT(tblActuals[[#This Row],[Date]],"mmm")</f>
        <v>Mar</v>
      </c>
    </row>
    <row r="288" spans="1:8" x14ac:dyDescent="0.25">
      <c r="A288" s="2">
        <v>45722</v>
      </c>
      <c r="B288" s="1" t="s">
        <v>12</v>
      </c>
      <c r="C288">
        <v>6320</v>
      </c>
      <c r="D288" s="1" t="s">
        <v>39</v>
      </c>
      <c r="E288" s="1" t="s">
        <v>42</v>
      </c>
      <c r="F288">
        <v>7649</v>
      </c>
      <c r="G288" s="1" t="str">
        <f>_xlfn.XLOOKUP(tblActuals[[#This Row],[GL Account]],tblGLMap[GL Account],tblGLMap[Cost Category])</f>
        <v>Maintenance &amp; Repairs</v>
      </c>
      <c r="H288" s="1" t="str">
        <f>TEXT(tblActuals[[#This Row],[Date]],"mmm")</f>
        <v>Mar</v>
      </c>
    </row>
    <row r="289" spans="1:8" x14ac:dyDescent="0.25">
      <c r="A289" s="2">
        <v>45723</v>
      </c>
      <c r="B289" s="1" t="s">
        <v>12</v>
      </c>
      <c r="C289">
        <v>6320</v>
      </c>
      <c r="D289" s="1" t="s">
        <v>31</v>
      </c>
      <c r="E289" s="1" t="s">
        <v>42</v>
      </c>
      <c r="F289">
        <v>4749</v>
      </c>
      <c r="G289" s="1" t="str">
        <f>_xlfn.XLOOKUP(tblActuals[[#This Row],[GL Account]],tblGLMap[GL Account],tblGLMap[Cost Category])</f>
        <v>Maintenance &amp; Repairs</v>
      </c>
      <c r="H289" s="1" t="str">
        <f>TEXT(tblActuals[[#This Row],[Date]],"mmm")</f>
        <v>Mar</v>
      </c>
    </row>
    <row r="290" spans="1:8" x14ac:dyDescent="0.25">
      <c r="A290" s="2">
        <v>45752</v>
      </c>
      <c r="B290" s="1" t="s">
        <v>5</v>
      </c>
      <c r="C290">
        <v>6010</v>
      </c>
      <c r="D290" s="1" t="s">
        <v>35</v>
      </c>
      <c r="E290" s="1" t="s">
        <v>30</v>
      </c>
      <c r="F290">
        <v>11200</v>
      </c>
      <c r="G290" s="1" t="str">
        <f>_xlfn.XLOOKUP(tblActuals[[#This Row],[GL Account]],tblGLMap[GL Account],tblGLMap[Cost Category])</f>
        <v>Labor</v>
      </c>
      <c r="H290" s="1" t="str">
        <f>TEXT(tblActuals[[#This Row],[Date]],"mmm")</f>
        <v>Apr</v>
      </c>
    </row>
    <row r="291" spans="1:8" x14ac:dyDescent="0.25">
      <c r="A291" s="2">
        <v>45753</v>
      </c>
      <c r="B291" s="1" t="s">
        <v>5</v>
      </c>
      <c r="C291">
        <v>6010</v>
      </c>
      <c r="D291" s="1" t="s">
        <v>34</v>
      </c>
      <c r="E291" s="1" t="s">
        <v>30</v>
      </c>
      <c r="F291">
        <v>11776</v>
      </c>
      <c r="G291" s="1" t="str">
        <f>_xlfn.XLOOKUP(tblActuals[[#This Row],[GL Account]],tblGLMap[GL Account],tblGLMap[Cost Category])</f>
        <v>Labor</v>
      </c>
      <c r="H291" s="1" t="str">
        <f>TEXT(tblActuals[[#This Row],[Date]],"mmm")</f>
        <v>Apr</v>
      </c>
    </row>
    <row r="292" spans="1:8" x14ac:dyDescent="0.25">
      <c r="A292" s="2">
        <v>45754</v>
      </c>
      <c r="B292" s="1" t="s">
        <v>5</v>
      </c>
      <c r="C292">
        <v>6010</v>
      </c>
      <c r="D292" s="1" t="s">
        <v>35</v>
      </c>
      <c r="E292" s="1" t="s">
        <v>30</v>
      </c>
      <c r="F292">
        <v>3169</v>
      </c>
      <c r="G292" s="1" t="str">
        <f>_xlfn.XLOOKUP(tblActuals[[#This Row],[GL Account]],tblGLMap[GL Account],tblGLMap[Cost Category])</f>
        <v>Labor</v>
      </c>
      <c r="H292" s="1" t="str">
        <f>TEXT(tblActuals[[#This Row],[Date]],"mmm")</f>
        <v>Apr</v>
      </c>
    </row>
    <row r="293" spans="1:8" x14ac:dyDescent="0.25">
      <c r="A293" s="2">
        <v>45752</v>
      </c>
      <c r="B293" s="1" t="s">
        <v>5</v>
      </c>
      <c r="C293">
        <v>6020</v>
      </c>
      <c r="D293" s="1" t="s">
        <v>35</v>
      </c>
      <c r="E293" s="1" t="s">
        <v>33</v>
      </c>
      <c r="F293">
        <v>6441</v>
      </c>
      <c r="G293" s="1" t="str">
        <f>_xlfn.XLOOKUP(tblActuals[[#This Row],[GL Account]],tblGLMap[GL Account],tblGLMap[Cost Category])</f>
        <v>Labor</v>
      </c>
      <c r="H293" s="1" t="str">
        <f>TEXT(tblActuals[[#This Row],[Date]],"mmm")</f>
        <v>Apr</v>
      </c>
    </row>
    <row r="294" spans="1:8" x14ac:dyDescent="0.25">
      <c r="A294" s="2">
        <v>45753</v>
      </c>
      <c r="B294" s="1" t="s">
        <v>5</v>
      </c>
      <c r="C294">
        <v>6020</v>
      </c>
      <c r="D294" s="1" t="s">
        <v>31</v>
      </c>
      <c r="E294" s="1" t="s">
        <v>33</v>
      </c>
      <c r="F294">
        <v>11337</v>
      </c>
      <c r="G294" s="1" t="str">
        <f>_xlfn.XLOOKUP(tblActuals[[#This Row],[GL Account]],tblGLMap[GL Account],tblGLMap[Cost Category])</f>
        <v>Labor</v>
      </c>
      <c r="H294" s="1" t="str">
        <f>TEXT(tblActuals[[#This Row],[Date]],"mmm")</f>
        <v>Apr</v>
      </c>
    </row>
    <row r="295" spans="1:8" x14ac:dyDescent="0.25">
      <c r="A295" s="2">
        <v>45754</v>
      </c>
      <c r="B295" s="1" t="s">
        <v>5</v>
      </c>
      <c r="C295">
        <v>6020</v>
      </c>
      <c r="D295" s="1" t="s">
        <v>31</v>
      </c>
      <c r="E295" s="1" t="s">
        <v>33</v>
      </c>
      <c r="F295">
        <v>10772</v>
      </c>
      <c r="G295" s="1" t="str">
        <f>_xlfn.XLOOKUP(tblActuals[[#This Row],[GL Account]],tblGLMap[GL Account],tblGLMap[Cost Category])</f>
        <v>Labor</v>
      </c>
      <c r="H295" s="1" t="str">
        <f>TEXT(tblActuals[[#This Row],[Date]],"mmm")</f>
        <v>Apr</v>
      </c>
    </row>
    <row r="296" spans="1:8" x14ac:dyDescent="0.25">
      <c r="A296" s="2">
        <v>45752</v>
      </c>
      <c r="B296" s="1" t="s">
        <v>5</v>
      </c>
      <c r="C296">
        <v>6110</v>
      </c>
      <c r="D296" s="1" t="s">
        <v>32</v>
      </c>
      <c r="E296" s="1" t="s">
        <v>36</v>
      </c>
      <c r="F296">
        <v>7188</v>
      </c>
      <c r="G296" s="1" t="str">
        <f>_xlfn.XLOOKUP(tblActuals[[#This Row],[GL Account]],tblGLMap[GL Account],tblGLMap[Cost Category])</f>
        <v>Supplies &amp; Inventory</v>
      </c>
      <c r="H296" s="1" t="str">
        <f>TEXT(tblActuals[[#This Row],[Date]],"mmm")</f>
        <v>Apr</v>
      </c>
    </row>
    <row r="297" spans="1:8" x14ac:dyDescent="0.25">
      <c r="A297" s="2">
        <v>45753</v>
      </c>
      <c r="B297" s="1" t="s">
        <v>5</v>
      </c>
      <c r="C297">
        <v>6110</v>
      </c>
      <c r="D297" s="1" t="s">
        <v>35</v>
      </c>
      <c r="E297" s="1" t="s">
        <v>36</v>
      </c>
      <c r="F297">
        <v>8518</v>
      </c>
      <c r="G297" s="1" t="str">
        <f>_xlfn.XLOOKUP(tblActuals[[#This Row],[GL Account]],tblGLMap[GL Account],tblGLMap[Cost Category])</f>
        <v>Supplies &amp; Inventory</v>
      </c>
      <c r="H297" s="1" t="str">
        <f>TEXT(tblActuals[[#This Row],[Date]],"mmm")</f>
        <v>Apr</v>
      </c>
    </row>
    <row r="298" spans="1:8" x14ac:dyDescent="0.25">
      <c r="A298" s="2">
        <v>45754</v>
      </c>
      <c r="B298" s="1" t="s">
        <v>5</v>
      </c>
      <c r="C298">
        <v>6110</v>
      </c>
      <c r="D298" s="1" t="s">
        <v>31</v>
      </c>
      <c r="E298" s="1" t="s">
        <v>36</v>
      </c>
      <c r="F298">
        <v>7571</v>
      </c>
      <c r="G298" s="1" t="str">
        <f>_xlfn.XLOOKUP(tblActuals[[#This Row],[GL Account]],tblGLMap[GL Account],tblGLMap[Cost Category])</f>
        <v>Supplies &amp; Inventory</v>
      </c>
      <c r="H298" s="1" t="str">
        <f>TEXT(tblActuals[[#This Row],[Date]],"mmm")</f>
        <v>Apr</v>
      </c>
    </row>
    <row r="299" spans="1:8" x14ac:dyDescent="0.25">
      <c r="A299" s="2">
        <v>45752</v>
      </c>
      <c r="B299" s="1" t="s">
        <v>5</v>
      </c>
      <c r="C299">
        <v>6120</v>
      </c>
      <c r="D299" s="1" t="s">
        <v>35</v>
      </c>
      <c r="E299" s="1" t="s">
        <v>37</v>
      </c>
      <c r="F299">
        <v>9789</v>
      </c>
      <c r="G299" s="1" t="str">
        <f>_xlfn.XLOOKUP(tblActuals[[#This Row],[GL Account]],tblGLMap[GL Account],tblGLMap[Cost Category])</f>
        <v>Supplies &amp; Inventory</v>
      </c>
      <c r="H299" s="1" t="str">
        <f>TEXT(tblActuals[[#This Row],[Date]],"mmm")</f>
        <v>Apr</v>
      </c>
    </row>
    <row r="300" spans="1:8" x14ac:dyDescent="0.25">
      <c r="A300" s="2">
        <v>45753</v>
      </c>
      <c r="B300" s="1" t="s">
        <v>5</v>
      </c>
      <c r="C300">
        <v>6120</v>
      </c>
      <c r="D300" s="1" t="s">
        <v>31</v>
      </c>
      <c r="E300" s="1" t="s">
        <v>37</v>
      </c>
      <c r="F300">
        <v>7090</v>
      </c>
      <c r="G300" s="1" t="str">
        <f>_xlfn.XLOOKUP(tblActuals[[#This Row],[GL Account]],tblGLMap[GL Account],tblGLMap[Cost Category])</f>
        <v>Supplies &amp; Inventory</v>
      </c>
      <c r="H300" s="1" t="str">
        <f>TEXT(tblActuals[[#This Row],[Date]],"mmm")</f>
        <v>Apr</v>
      </c>
    </row>
    <row r="301" spans="1:8" x14ac:dyDescent="0.25">
      <c r="A301" s="2">
        <v>45754</v>
      </c>
      <c r="B301" s="1" t="s">
        <v>5</v>
      </c>
      <c r="C301">
        <v>6120</v>
      </c>
      <c r="D301" s="1" t="s">
        <v>39</v>
      </c>
      <c r="E301" s="1" t="s">
        <v>37</v>
      </c>
      <c r="F301">
        <v>8382</v>
      </c>
      <c r="G301" s="1" t="str">
        <f>_xlfn.XLOOKUP(tblActuals[[#This Row],[GL Account]],tblGLMap[GL Account],tblGLMap[Cost Category])</f>
        <v>Supplies &amp; Inventory</v>
      </c>
      <c r="H301" s="1" t="str">
        <f>TEXT(tblActuals[[#This Row],[Date]],"mmm")</f>
        <v>Apr</v>
      </c>
    </row>
    <row r="302" spans="1:8" x14ac:dyDescent="0.25">
      <c r="A302" s="2">
        <v>45752</v>
      </c>
      <c r="B302" s="1" t="s">
        <v>5</v>
      </c>
      <c r="C302">
        <v>6210</v>
      </c>
      <c r="D302" s="1" t="s">
        <v>39</v>
      </c>
      <c r="E302" s="1" t="s">
        <v>38</v>
      </c>
      <c r="F302">
        <v>3229</v>
      </c>
      <c r="G302" s="1" t="str">
        <f>_xlfn.XLOOKUP(tblActuals[[#This Row],[GL Account]],tblGLMap[GL Account],tblGLMap[Cost Category])</f>
        <v>Utilities</v>
      </c>
      <c r="H302" s="1" t="str">
        <f>TEXT(tblActuals[[#This Row],[Date]],"mmm")</f>
        <v>Apr</v>
      </c>
    </row>
    <row r="303" spans="1:8" x14ac:dyDescent="0.25">
      <c r="A303" s="2">
        <v>45753</v>
      </c>
      <c r="B303" s="1" t="s">
        <v>5</v>
      </c>
      <c r="C303">
        <v>6210</v>
      </c>
      <c r="D303" s="1" t="s">
        <v>35</v>
      </c>
      <c r="E303" s="1" t="s">
        <v>38</v>
      </c>
      <c r="F303">
        <v>7434</v>
      </c>
      <c r="G303" s="1" t="str">
        <f>_xlfn.XLOOKUP(tblActuals[[#This Row],[GL Account]],tblGLMap[GL Account],tblGLMap[Cost Category])</f>
        <v>Utilities</v>
      </c>
      <c r="H303" s="1" t="str">
        <f>TEXT(tblActuals[[#This Row],[Date]],"mmm")</f>
        <v>Apr</v>
      </c>
    </row>
    <row r="304" spans="1:8" x14ac:dyDescent="0.25">
      <c r="A304" s="2">
        <v>45754</v>
      </c>
      <c r="B304" s="1" t="s">
        <v>5</v>
      </c>
      <c r="C304">
        <v>6210</v>
      </c>
      <c r="D304" s="1" t="s">
        <v>35</v>
      </c>
      <c r="E304" s="1" t="s">
        <v>38</v>
      </c>
      <c r="F304">
        <v>9032</v>
      </c>
      <c r="G304" s="1" t="str">
        <f>_xlfn.XLOOKUP(tblActuals[[#This Row],[GL Account]],tblGLMap[GL Account],tblGLMap[Cost Category])</f>
        <v>Utilities</v>
      </c>
      <c r="H304" s="1" t="str">
        <f>TEXT(tblActuals[[#This Row],[Date]],"mmm")</f>
        <v>Apr</v>
      </c>
    </row>
    <row r="305" spans="1:8" x14ac:dyDescent="0.25">
      <c r="A305" s="2">
        <v>45752</v>
      </c>
      <c r="B305" s="1" t="s">
        <v>5</v>
      </c>
      <c r="C305">
        <v>6220</v>
      </c>
      <c r="D305" s="1" t="s">
        <v>39</v>
      </c>
      <c r="E305" s="1" t="s">
        <v>40</v>
      </c>
      <c r="F305">
        <v>4006</v>
      </c>
      <c r="G305" s="1" t="str">
        <f>_xlfn.XLOOKUP(tblActuals[[#This Row],[GL Account]],tblGLMap[GL Account],tblGLMap[Cost Category])</f>
        <v>Utilities</v>
      </c>
      <c r="H305" s="1" t="str">
        <f>TEXT(tblActuals[[#This Row],[Date]],"mmm")</f>
        <v>Apr</v>
      </c>
    </row>
    <row r="306" spans="1:8" x14ac:dyDescent="0.25">
      <c r="A306" s="2">
        <v>45753</v>
      </c>
      <c r="B306" s="1" t="s">
        <v>5</v>
      </c>
      <c r="C306">
        <v>6220</v>
      </c>
      <c r="D306" s="1" t="s">
        <v>35</v>
      </c>
      <c r="E306" s="1" t="s">
        <v>40</v>
      </c>
      <c r="F306">
        <v>4385</v>
      </c>
      <c r="G306" s="1" t="str">
        <f>_xlfn.XLOOKUP(tblActuals[[#This Row],[GL Account]],tblGLMap[GL Account],tblGLMap[Cost Category])</f>
        <v>Utilities</v>
      </c>
      <c r="H306" s="1" t="str">
        <f>TEXT(tblActuals[[#This Row],[Date]],"mmm")</f>
        <v>Apr</v>
      </c>
    </row>
    <row r="307" spans="1:8" x14ac:dyDescent="0.25">
      <c r="A307" s="2">
        <v>45754</v>
      </c>
      <c r="B307" s="1" t="s">
        <v>5</v>
      </c>
      <c r="C307">
        <v>6220</v>
      </c>
      <c r="D307" s="1" t="s">
        <v>35</v>
      </c>
      <c r="E307" s="1" t="s">
        <v>40</v>
      </c>
      <c r="F307">
        <v>10048</v>
      </c>
      <c r="G307" s="1" t="str">
        <f>_xlfn.XLOOKUP(tblActuals[[#This Row],[GL Account]],tblGLMap[GL Account],tblGLMap[Cost Category])</f>
        <v>Utilities</v>
      </c>
      <c r="H307" s="1" t="str">
        <f>TEXT(tblActuals[[#This Row],[Date]],"mmm")</f>
        <v>Apr</v>
      </c>
    </row>
    <row r="308" spans="1:8" x14ac:dyDescent="0.25">
      <c r="A308" s="2">
        <v>45752</v>
      </c>
      <c r="B308" s="1" t="s">
        <v>5</v>
      </c>
      <c r="C308">
        <v>6310</v>
      </c>
      <c r="D308" s="1" t="s">
        <v>32</v>
      </c>
      <c r="E308" s="1" t="s">
        <v>41</v>
      </c>
      <c r="F308">
        <v>5925</v>
      </c>
      <c r="G308" s="1" t="str">
        <f>_xlfn.XLOOKUP(tblActuals[[#This Row],[GL Account]],tblGLMap[GL Account],tblGLMap[Cost Category])</f>
        <v>Maintenance &amp; Repairs</v>
      </c>
      <c r="H308" s="1" t="str">
        <f>TEXT(tblActuals[[#This Row],[Date]],"mmm")</f>
        <v>Apr</v>
      </c>
    </row>
    <row r="309" spans="1:8" x14ac:dyDescent="0.25">
      <c r="A309" s="2">
        <v>45753</v>
      </c>
      <c r="B309" s="1" t="s">
        <v>5</v>
      </c>
      <c r="C309">
        <v>6310</v>
      </c>
      <c r="D309" s="1" t="s">
        <v>39</v>
      </c>
      <c r="E309" s="1" t="s">
        <v>41</v>
      </c>
      <c r="F309">
        <v>10317</v>
      </c>
      <c r="G309" s="1" t="str">
        <f>_xlfn.XLOOKUP(tblActuals[[#This Row],[GL Account]],tblGLMap[GL Account],tblGLMap[Cost Category])</f>
        <v>Maintenance &amp; Repairs</v>
      </c>
      <c r="H309" s="1" t="str">
        <f>TEXT(tblActuals[[#This Row],[Date]],"mmm")</f>
        <v>Apr</v>
      </c>
    </row>
    <row r="310" spans="1:8" x14ac:dyDescent="0.25">
      <c r="A310" s="2">
        <v>45754</v>
      </c>
      <c r="B310" s="1" t="s">
        <v>5</v>
      </c>
      <c r="C310">
        <v>6310</v>
      </c>
      <c r="D310" s="1" t="s">
        <v>39</v>
      </c>
      <c r="E310" s="1" t="s">
        <v>41</v>
      </c>
      <c r="F310">
        <v>9116</v>
      </c>
      <c r="G310" s="1" t="str">
        <f>_xlfn.XLOOKUP(tblActuals[[#This Row],[GL Account]],tblGLMap[GL Account],tblGLMap[Cost Category])</f>
        <v>Maintenance &amp; Repairs</v>
      </c>
      <c r="H310" s="1" t="str">
        <f>TEXT(tblActuals[[#This Row],[Date]],"mmm")</f>
        <v>Apr</v>
      </c>
    </row>
    <row r="311" spans="1:8" x14ac:dyDescent="0.25">
      <c r="A311" s="2">
        <v>45752</v>
      </c>
      <c r="B311" s="1" t="s">
        <v>5</v>
      </c>
      <c r="C311">
        <v>6320</v>
      </c>
      <c r="D311" s="1" t="s">
        <v>29</v>
      </c>
      <c r="E311" s="1" t="s">
        <v>42</v>
      </c>
      <c r="F311">
        <v>11207</v>
      </c>
      <c r="G311" s="1" t="str">
        <f>_xlfn.XLOOKUP(tblActuals[[#This Row],[GL Account]],tblGLMap[GL Account],tblGLMap[Cost Category])</f>
        <v>Maintenance &amp; Repairs</v>
      </c>
      <c r="H311" s="1" t="str">
        <f>TEXT(tblActuals[[#This Row],[Date]],"mmm")</f>
        <v>Apr</v>
      </c>
    </row>
    <row r="312" spans="1:8" x14ac:dyDescent="0.25">
      <c r="A312" s="2">
        <v>45753</v>
      </c>
      <c r="B312" s="1" t="s">
        <v>5</v>
      </c>
      <c r="C312">
        <v>6320</v>
      </c>
      <c r="D312" s="1" t="s">
        <v>34</v>
      </c>
      <c r="E312" s="1" t="s">
        <v>42</v>
      </c>
      <c r="F312">
        <v>6780</v>
      </c>
      <c r="G312" s="1" t="str">
        <f>_xlfn.XLOOKUP(tblActuals[[#This Row],[GL Account]],tblGLMap[GL Account],tblGLMap[Cost Category])</f>
        <v>Maintenance &amp; Repairs</v>
      </c>
      <c r="H312" s="1" t="str">
        <f>TEXT(tblActuals[[#This Row],[Date]],"mmm")</f>
        <v>Apr</v>
      </c>
    </row>
    <row r="313" spans="1:8" x14ac:dyDescent="0.25">
      <c r="A313" s="2">
        <v>45754</v>
      </c>
      <c r="B313" s="1" t="s">
        <v>5</v>
      </c>
      <c r="C313">
        <v>6320</v>
      </c>
      <c r="D313" s="1" t="s">
        <v>29</v>
      </c>
      <c r="E313" s="1" t="s">
        <v>42</v>
      </c>
      <c r="F313">
        <v>2919</v>
      </c>
      <c r="G313" s="1" t="str">
        <f>_xlfn.XLOOKUP(tblActuals[[#This Row],[GL Account]],tblGLMap[GL Account],tblGLMap[Cost Category])</f>
        <v>Maintenance &amp; Repairs</v>
      </c>
      <c r="H313" s="1" t="str">
        <f>TEXT(tblActuals[[#This Row],[Date]],"mmm")</f>
        <v>Apr</v>
      </c>
    </row>
    <row r="314" spans="1:8" x14ac:dyDescent="0.25">
      <c r="A314" s="2">
        <v>45752</v>
      </c>
      <c r="B314" s="1" t="s">
        <v>10</v>
      </c>
      <c r="C314">
        <v>6010</v>
      </c>
      <c r="D314" s="1" t="s">
        <v>34</v>
      </c>
      <c r="E314" s="1" t="s">
        <v>30</v>
      </c>
      <c r="F314">
        <v>8885</v>
      </c>
      <c r="G314" s="1" t="str">
        <f>_xlfn.XLOOKUP(tblActuals[[#This Row],[GL Account]],tblGLMap[GL Account],tblGLMap[Cost Category])</f>
        <v>Labor</v>
      </c>
      <c r="H314" s="1" t="str">
        <f>TEXT(tblActuals[[#This Row],[Date]],"mmm")</f>
        <v>Apr</v>
      </c>
    </row>
    <row r="315" spans="1:8" x14ac:dyDescent="0.25">
      <c r="A315" s="2">
        <v>45753</v>
      </c>
      <c r="B315" s="1" t="s">
        <v>10</v>
      </c>
      <c r="C315">
        <v>6010</v>
      </c>
      <c r="D315" s="1" t="s">
        <v>32</v>
      </c>
      <c r="E315" s="1" t="s">
        <v>30</v>
      </c>
      <c r="F315">
        <v>9113</v>
      </c>
      <c r="G315" s="1" t="str">
        <f>_xlfn.XLOOKUP(tblActuals[[#This Row],[GL Account]],tblGLMap[GL Account],tblGLMap[Cost Category])</f>
        <v>Labor</v>
      </c>
      <c r="H315" s="1" t="str">
        <f>TEXT(tblActuals[[#This Row],[Date]],"mmm")</f>
        <v>Apr</v>
      </c>
    </row>
    <row r="316" spans="1:8" x14ac:dyDescent="0.25">
      <c r="A316" s="2">
        <v>45754</v>
      </c>
      <c r="B316" s="1" t="s">
        <v>10</v>
      </c>
      <c r="C316">
        <v>6010</v>
      </c>
      <c r="D316" s="1" t="s">
        <v>35</v>
      </c>
      <c r="E316" s="1" t="s">
        <v>30</v>
      </c>
      <c r="F316">
        <v>11499</v>
      </c>
      <c r="G316" s="1" t="str">
        <f>_xlfn.XLOOKUP(tblActuals[[#This Row],[GL Account]],tblGLMap[GL Account],tblGLMap[Cost Category])</f>
        <v>Labor</v>
      </c>
      <c r="H316" s="1" t="str">
        <f>TEXT(tblActuals[[#This Row],[Date]],"mmm")</f>
        <v>Apr</v>
      </c>
    </row>
    <row r="317" spans="1:8" x14ac:dyDescent="0.25">
      <c r="A317" s="2">
        <v>45752</v>
      </c>
      <c r="B317" s="1" t="s">
        <v>10</v>
      </c>
      <c r="C317">
        <v>6020</v>
      </c>
      <c r="D317" s="1" t="s">
        <v>29</v>
      </c>
      <c r="E317" s="1" t="s">
        <v>33</v>
      </c>
      <c r="F317">
        <v>7709</v>
      </c>
      <c r="G317" s="1" t="str">
        <f>_xlfn.XLOOKUP(tblActuals[[#This Row],[GL Account]],tblGLMap[GL Account],tblGLMap[Cost Category])</f>
        <v>Labor</v>
      </c>
      <c r="H317" s="1" t="str">
        <f>TEXT(tblActuals[[#This Row],[Date]],"mmm")</f>
        <v>Apr</v>
      </c>
    </row>
    <row r="318" spans="1:8" x14ac:dyDescent="0.25">
      <c r="A318" s="2">
        <v>45753</v>
      </c>
      <c r="B318" s="1" t="s">
        <v>10</v>
      </c>
      <c r="C318">
        <v>6020</v>
      </c>
      <c r="D318" s="1" t="s">
        <v>39</v>
      </c>
      <c r="E318" s="1" t="s">
        <v>33</v>
      </c>
      <c r="F318">
        <v>1970</v>
      </c>
      <c r="G318" s="1" t="str">
        <f>_xlfn.XLOOKUP(tblActuals[[#This Row],[GL Account]],tblGLMap[GL Account],tblGLMap[Cost Category])</f>
        <v>Labor</v>
      </c>
      <c r="H318" s="1" t="str">
        <f>TEXT(tblActuals[[#This Row],[Date]],"mmm")</f>
        <v>Apr</v>
      </c>
    </row>
    <row r="319" spans="1:8" x14ac:dyDescent="0.25">
      <c r="A319" s="2">
        <v>45754</v>
      </c>
      <c r="B319" s="1" t="s">
        <v>10</v>
      </c>
      <c r="C319">
        <v>6020</v>
      </c>
      <c r="D319" s="1" t="s">
        <v>34</v>
      </c>
      <c r="E319" s="1" t="s">
        <v>33</v>
      </c>
      <c r="F319">
        <v>6825</v>
      </c>
      <c r="G319" s="1" t="str">
        <f>_xlfn.XLOOKUP(tblActuals[[#This Row],[GL Account]],tblGLMap[GL Account],tblGLMap[Cost Category])</f>
        <v>Labor</v>
      </c>
      <c r="H319" s="1" t="str">
        <f>TEXT(tblActuals[[#This Row],[Date]],"mmm")</f>
        <v>Apr</v>
      </c>
    </row>
    <row r="320" spans="1:8" x14ac:dyDescent="0.25">
      <c r="A320" s="2">
        <v>45752</v>
      </c>
      <c r="B320" s="1" t="s">
        <v>10</v>
      </c>
      <c r="C320">
        <v>6110</v>
      </c>
      <c r="D320" s="1" t="s">
        <v>34</v>
      </c>
      <c r="E320" s="1" t="s">
        <v>36</v>
      </c>
      <c r="F320">
        <v>9488</v>
      </c>
      <c r="G320" s="1" t="str">
        <f>_xlfn.XLOOKUP(tblActuals[[#This Row],[GL Account]],tblGLMap[GL Account],tblGLMap[Cost Category])</f>
        <v>Supplies &amp; Inventory</v>
      </c>
      <c r="H320" s="1" t="str">
        <f>TEXT(tblActuals[[#This Row],[Date]],"mmm")</f>
        <v>Apr</v>
      </c>
    </row>
    <row r="321" spans="1:8" x14ac:dyDescent="0.25">
      <c r="A321" s="2">
        <v>45753</v>
      </c>
      <c r="B321" s="1" t="s">
        <v>10</v>
      </c>
      <c r="C321">
        <v>6110</v>
      </c>
      <c r="D321" s="1" t="s">
        <v>29</v>
      </c>
      <c r="E321" s="1" t="s">
        <v>36</v>
      </c>
      <c r="F321">
        <v>7313</v>
      </c>
      <c r="G321" s="1" t="str">
        <f>_xlfn.XLOOKUP(tblActuals[[#This Row],[GL Account]],tblGLMap[GL Account],tblGLMap[Cost Category])</f>
        <v>Supplies &amp; Inventory</v>
      </c>
      <c r="H321" s="1" t="str">
        <f>TEXT(tblActuals[[#This Row],[Date]],"mmm")</f>
        <v>Apr</v>
      </c>
    </row>
    <row r="322" spans="1:8" x14ac:dyDescent="0.25">
      <c r="A322" s="2">
        <v>45754</v>
      </c>
      <c r="B322" s="1" t="s">
        <v>10</v>
      </c>
      <c r="C322">
        <v>6110</v>
      </c>
      <c r="D322" s="1" t="s">
        <v>29</v>
      </c>
      <c r="E322" s="1" t="s">
        <v>36</v>
      </c>
      <c r="F322">
        <v>7076</v>
      </c>
      <c r="G322" s="1" t="str">
        <f>_xlfn.XLOOKUP(tblActuals[[#This Row],[GL Account]],tblGLMap[GL Account],tblGLMap[Cost Category])</f>
        <v>Supplies &amp; Inventory</v>
      </c>
      <c r="H322" s="1" t="str">
        <f>TEXT(tblActuals[[#This Row],[Date]],"mmm")</f>
        <v>Apr</v>
      </c>
    </row>
    <row r="323" spans="1:8" x14ac:dyDescent="0.25">
      <c r="A323" s="2">
        <v>45752</v>
      </c>
      <c r="B323" s="1" t="s">
        <v>10</v>
      </c>
      <c r="C323">
        <v>6120</v>
      </c>
      <c r="D323" s="1" t="s">
        <v>35</v>
      </c>
      <c r="E323" s="1" t="s">
        <v>37</v>
      </c>
      <c r="F323">
        <v>11267</v>
      </c>
      <c r="G323" s="1" t="str">
        <f>_xlfn.XLOOKUP(tblActuals[[#This Row],[GL Account]],tblGLMap[GL Account],tblGLMap[Cost Category])</f>
        <v>Supplies &amp; Inventory</v>
      </c>
      <c r="H323" s="1" t="str">
        <f>TEXT(tblActuals[[#This Row],[Date]],"mmm")</f>
        <v>Apr</v>
      </c>
    </row>
    <row r="324" spans="1:8" x14ac:dyDescent="0.25">
      <c r="A324" s="2">
        <v>45753</v>
      </c>
      <c r="B324" s="1" t="s">
        <v>10</v>
      </c>
      <c r="C324">
        <v>6120</v>
      </c>
      <c r="D324" s="1" t="s">
        <v>32</v>
      </c>
      <c r="E324" s="1" t="s">
        <v>37</v>
      </c>
      <c r="F324">
        <v>6026</v>
      </c>
      <c r="G324" s="1" t="str">
        <f>_xlfn.XLOOKUP(tblActuals[[#This Row],[GL Account]],tblGLMap[GL Account],tblGLMap[Cost Category])</f>
        <v>Supplies &amp; Inventory</v>
      </c>
      <c r="H324" s="1" t="str">
        <f>TEXT(tblActuals[[#This Row],[Date]],"mmm")</f>
        <v>Apr</v>
      </c>
    </row>
    <row r="325" spans="1:8" x14ac:dyDescent="0.25">
      <c r="A325" s="2">
        <v>45754</v>
      </c>
      <c r="B325" s="1" t="s">
        <v>10</v>
      </c>
      <c r="C325">
        <v>6120</v>
      </c>
      <c r="D325" s="1" t="s">
        <v>32</v>
      </c>
      <c r="E325" s="1" t="s">
        <v>37</v>
      </c>
      <c r="F325">
        <v>1666</v>
      </c>
      <c r="G325" s="1" t="str">
        <f>_xlfn.XLOOKUP(tblActuals[[#This Row],[GL Account]],tblGLMap[GL Account],tblGLMap[Cost Category])</f>
        <v>Supplies &amp; Inventory</v>
      </c>
      <c r="H325" s="1" t="str">
        <f>TEXT(tblActuals[[#This Row],[Date]],"mmm")</f>
        <v>Apr</v>
      </c>
    </row>
    <row r="326" spans="1:8" x14ac:dyDescent="0.25">
      <c r="A326" s="2">
        <v>45752</v>
      </c>
      <c r="B326" s="1" t="s">
        <v>10</v>
      </c>
      <c r="C326">
        <v>6210</v>
      </c>
      <c r="D326" s="1" t="s">
        <v>31</v>
      </c>
      <c r="E326" s="1" t="s">
        <v>38</v>
      </c>
      <c r="F326">
        <v>4630</v>
      </c>
      <c r="G326" s="1" t="str">
        <f>_xlfn.XLOOKUP(tblActuals[[#This Row],[GL Account]],tblGLMap[GL Account],tblGLMap[Cost Category])</f>
        <v>Utilities</v>
      </c>
      <c r="H326" s="1" t="str">
        <f>TEXT(tblActuals[[#This Row],[Date]],"mmm")</f>
        <v>Apr</v>
      </c>
    </row>
    <row r="327" spans="1:8" x14ac:dyDescent="0.25">
      <c r="A327" s="2">
        <v>45753</v>
      </c>
      <c r="B327" s="1" t="s">
        <v>10</v>
      </c>
      <c r="C327">
        <v>6210</v>
      </c>
      <c r="D327" s="1" t="s">
        <v>35</v>
      </c>
      <c r="E327" s="1" t="s">
        <v>38</v>
      </c>
      <c r="F327">
        <v>5454</v>
      </c>
      <c r="G327" s="1" t="str">
        <f>_xlfn.XLOOKUP(tblActuals[[#This Row],[GL Account]],tblGLMap[GL Account],tblGLMap[Cost Category])</f>
        <v>Utilities</v>
      </c>
      <c r="H327" s="1" t="str">
        <f>TEXT(tblActuals[[#This Row],[Date]],"mmm")</f>
        <v>Apr</v>
      </c>
    </row>
    <row r="328" spans="1:8" x14ac:dyDescent="0.25">
      <c r="A328" s="2">
        <v>45754</v>
      </c>
      <c r="B328" s="1" t="s">
        <v>10</v>
      </c>
      <c r="C328">
        <v>6210</v>
      </c>
      <c r="D328" s="1" t="s">
        <v>39</v>
      </c>
      <c r="E328" s="1" t="s">
        <v>38</v>
      </c>
      <c r="F328">
        <v>8158</v>
      </c>
      <c r="G328" s="1" t="str">
        <f>_xlfn.XLOOKUP(tblActuals[[#This Row],[GL Account]],tblGLMap[GL Account],tblGLMap[Cost Category])</f>
        <v>Utilities</v>
      </c>
      <c r="H328" s="1" t="str">
        <f>TEXT(tblActuals[[#This Row],[Date]],"mmm")</f>
        <v>Apr</v>
      </c>
    </row>
    <row r="329" spans="1:8" x14ac:dyDescent="0.25">
      <c r="A329" s="2">
        <v>45752</v>
      </c>
      <c r="B329" s="1" t="s">
        <v>10</v>
      </c>
      <c r="C329">
        <v>6220</v>
      </c>
      <c r="D329" s="1" t="s">
        <v>34</v>
      </c>
      <c r="E329" s="1" t="s">
        <v>40</v>
      </c>
      <c r="F329">
        <v>10596</v>
      </c>
      <c r="G329" s="1" t="str">
        <f>_xlfn.XLOOKUP(tblActuals[[#This Row],[GL Account]],tblGLMap[GL Account],tblGLMap[Cost Category])</f>
        <v>Utilities</v>
      </c>
      <c r="H329" s="1" t="str">
        <f>TEXT(tblActuals[[#This Row],[Date]],"mmm")</f>
        <v>Apr</v>
      </c>
    </row>
    <row r="330" spans="1:8" x14ac:dyDescent="0.25">
      <c r="A330" s="2">
        <v>45753</v>
      </c>
      <c r="B330" s="1" t="s">
        <v>10</v>
      </c>
      <c r="C330">
        <v>6220</v>
      </c>
      <c r="D330" s="1" t="s">
        <v>35</v>
      </c>
      <c r="E330" s="1" t="s">
        <v>40</v>
      </c>
      <c r="F330">
        <v>9300</v>
      </c>
      <c r="G330" s="1" t="str">
        <f>_xlfn.XLOOKUP(tblActuals[[#This Row],[GL Account]],tblGLMap[GL Account],tblGLMap[Cost Category])</f>
        <v>Utilities</v>
      </c>
      <c r="H330" s="1" t="str">
        <f>TEXT(tblActuals[[#This Row],[Date]],"mmm")</f>
        <v>Apr</v>
      </c>
    </row>
    <row r="331" spans="1:8" x14ac:dyDescent="0.25">
      <c r="A331" s="2">
        <v>45754</v>
      </c>
      <c r="B331" s="1" t="s">
        <v>10</v>
      </c>
      <c r="C331">
        <v>6220</v>
      </c>
      <c r="D331" s="1" t="s">
        <v>39</v>
      </c>
      <c r="E331" s="1" t="s">
        <v>40</v>
      </c>
      <c r="F331">
        <v>9541</v>
      </c>
      <c r="G331" s="1" t="str">
        <f>_xlfn.XLOOKUP(tblActuals[[#This Row],[GL Account]],tblGLMap[GL Account],tblGLMap[Cost Category])</f>
        <v>Utilities</v>
      </c>
      <c r="H331" s="1" t="str">
        <f>TEXT(tblActuals[[#This Row],[Date]],"mmm")</f>
        <v>Apr</v>
      </c>
    </row>
    <row r="332" spans="1:8" x14ac:dyDescent="0.25">
      <c r="A332" s="2">
        <v>45752</v>
      </c>
      <c r="B332" s="1" t="s">
        <v>10</v>
      </c>
      <c r="C332">
        <v>6310</v>
      </c>
      <c r="D332" s="1" t="s">
        <v>31</v>
      </c>
      <c r="E332" s="1" t="s">
        <v>41</v>
      </c>
      <c r="F332">
        <v>1782</v>
      </c>
      <c r="G332" s="1" t="str">
        <f>_xlfn.XLOOKUP(tblActuals[[#This Row],[GL Account]],tblGLMap[GL Account],tblGLMap[Cost Category])</f>
        <v>Maintenance &amp; Repairs</v>
      </c>
      <c r="H332" s="1" t="str">
        <f>TEXT(tblActuals[[#This Row],[Date]],"mmm")</f>
        <v>Apr</v>
      </c>
    </row>
    <row r="333" spans="1:8" x14ac:dyDescent="0.25">
      <c r="A333" s="2">
        <v>45753</v>
      </c>
      <c r="B333" s="1" t="s">
        <v>10</v>
      </c>
      <c r="C333">
        <v>6310</v>
      </c>
      <c r="D333" s="1" t="s">
        <v>34</v>
      </c>
      <c r="E333" s="1" t="s">
        <v>41</v>
      </c>
      <c r="F333">
        <v>6320</v>
      </c>
      <c r="G333" s="1" t="str">
        <f>_xlfn.XLOOKUP(tblActuals[[#This Row],[GL Account]],tblGLMap[GL Account],tblGLMap[Cost Category])</f>
        <v>Maintenance &amp; Repairs</v>
      </c>
      <c r="H333" s="1" t="str">
        <f>TEXT(tblActuals[[#This Row],[Date]],"mmm")</f>
        <v>Apr</v>
      </c>
    </row>
    <row r="334" spans="1:8" x14ac:dyDescent="0.25">
      <c r="A334" s="2">
        <v>45754</v>
      </c>
      <c r="B334" s="1" t="s">
        <v>10</v>
      </c>
      <c r="C334">
        <v>6310</v>
      </c>
      <c r="D334" s="1" t="s">
        <v>35</v>
      </c>
      <c r="E334" s="1" t="s">
        <v>41</v>
      </c>
      <c r="F334">
        <v>8125</v>
      </c>
      <c r="G334" s="1" t="str">
        <f>_xlfn.XLOOKUP(tblActuals[[#This Row],[GL Account]],tblGLMap[GL Account],tblGLMap[Cost Category])</f>
        <v>Maintenance &amp; Repairs</v>
      </c>
      <c r="H334" s="1" t="str">
        <f>TEXT(tblActuals[[#This Row],[Date]],"mmm")</f>
        <v>Apr</v>
      </c>
    </row>
    <row r="335" spans="1:8" x14ac:dyDescent="0.25">
      <c r="A335" s="2">
        <v>45752</v>
      </c>
      <c r="B335" s="1" t="s">
        <v>10</v>
      </c>
      <c r="C335">
        <v>6320</v>
      </c>
      <c r="D335" s="1" t="s">
        <v>29</v>
      </c>
      <c r="E335" s="1" t="s">
        <v>42</v>
      </c>
      <c r="F335">
        <v>5486</v>
      </c>
      <c r="G335" s="1" t="str">
        <f>_xlfn.XLOOKUP(tblActuals[[#This Row],[GL Account]],tblGLMap[GL Account],tblGLMap[Cost Category])</f>
        <v>Maintenance &amp; Repairs</v>
      </c>
      <c r="H335" s="1" t="str">
        <f>TEXT(tblActuals[[#This Row],[Date]],"mmm")</f>
        <v>Apr</v>
      </c>
    </row>
    <row r="336" spans="1:8" x14ac:dyDescent="0.25">
      <c r="A336" s="2">
        <v>45753</v>
      </c>
      <c r="B336" s="1" t="s">
        <v>10</v>
      </c>
      <c r="C336">
        <v>6320</v>
      </c>
      <c r="D336" s="1" t="s">
        <v>29</v>
      </c>
      <c r="E336" s="1" t="s">
        <v>42</v>
      </c>
      <c r="F336">
        <v>11028</v>
      </c>
      <c r="G336" s="1" t="str">
        <f>_xlfn.XLOOKUP(tblActuals[[#This Row],[GL Account]],tblGLMap[GL Account],tblGLMap[Cost Category])</f>
        <v>Maintenance &amp; Repairs</v>
      </c>
      <c r="H336" s="1" t="str">
        <f>TEXT(tblActuals[[#This Row],[Date]],"mmm")</f>
        <v>Apr</v>
      </c>
    </row>
    <row r="337" spans="1:8" x14ac:dyDescent="0.25">
      <c r="A337" s="2">
        <v>45754</v>
      </c>
      <c r="B337" s="1" t="s">
        <v>10</v>
      </c>
      <c r="C337">
        <v>6320</v>
      </c>
      <c r="D337" s="1" t="s">
        <v>32</v>
      </c>
      <c r="E337" s="1" t="s">
        <v>42</v>
      </c>
      <c r="F337">
        <v>9253</v>
      </c>
      <c r="G337" s="1" t="str">
        <f>_xlfn.XLOOKUP(tblActuals[[#This Row],[GL Account]],tblGLMap[GL Account],tblGLMap[Cost Category])</f>
        <v>Maintenance &amp; Repairs</v>
      </c>
      <c r="H337" s="1" t="str">
        <f>TEXT(tblActuals[[#This Row],[Date]],"mmm")</f>
        <v>Apr</v>
      </c>
    </row>
    <row r="338" spans="1:8" x14ac:dyDescent="0.25">
      <c r="A338" s="2">
        <v>45752</v>
      </c>
      <c r="B338" s="1" t="s">
        <v>11</v>
      </c>
      <c r="C338">
        <v>6010</v>
      </c>
      <c r="D338" s="1" t="s">
        <v>29</v>
      </c>
      <c r="E338" s="1" t="s">
        <v>30</v>
      </c>
      <c r="F338">
        <v>10198</v>
      </c>
      <c r="G338" s="1" t="str">
        <f>_xlfn.XLOOKUP(tblActuals[[#This Row],[GL Account]],tblGLMap[GL Account],tblGLMap[Cost Category])</f>
        <v>Labor</v>
      </c>
      <c r="H338" s="1" t="str">
        <f>TEXT(tblActuals[[#This Row],[Date]],"mmm")</f>
        <v>Apr</v>
      </c>
    </row>
    <row r="339" spans="1:8" x14ac:dyDescent="0.25">
      <c r="A339" s="2">
        <v>45753</v>
      </c>
      <c r="B339" s="1" t="s">
        <v>11</v>
      </c>
      <c r="C339">
        <v>6010</v>
      </c>
      <c r="D339" s="1" t="s">
        <v>35</v>
      </c>
      <c r="E339" s="1" t="s">
        <v>30</v>
      </c>
      <c r="F339">
        <v>8471</v>
      </c>
      <c r="G339" s="1" t="str">
        <f>_xlfn.XLOOKUP(tblActuals[[#This Row],[GL Account]],tblGLMap[GL Account],tblGLMap[Cost Category])</f>
        <v>Labor</v>
      </c>
      <c r="H339" s="1" t="str">
        <f>TEXT(tblActuals[[#This Row],[Date]],"mmm")</f>
        <v>Apr</v>
      </c>
    </row>
    <row r="340" spans="1:8" x14ac:dyDescent="0.25">
      <c r="A340" s="2">
        <v>45754</v>
      </c>
      <c r="B340" s="1" t="s">
        <v>11</v>
      </c>
      <c r="C340">
        <v>6010</v>
      </c>
      <c r="D340" s="1" t="s">
        <v>29</v>
      </c>
      <c r="E340" s="1" t="s">
        <v>30</v>
      </c>
      <c r="F340">
        <v>10517</v>
      </c>
      <c r="G340" s="1" t="str">
        <f>_xlfn.XLOOKUP(tblActuals[[#This Row],[GL Account]],tblGLMap[GL Account],tblGLMap[Cost Category])</f>
        <v>Labor</v>
      </c>
      <c r="H340" s="1" t="str">
        <f>TEXT(tblActuals[[#This Row],[Date]],"mmm")</f>
        <v>Apr</v>
      </c>
    </row>
    <row r="341" spans="1:8" x14ac:dyDescent="0.25">
      <c r="A341" s="2">
        <v>45752</v>
      </c>
      <c r="B341" s="1" t="s">
        <v>11</v>
      </c>
      <c r="C341">
        <v>6020</v>
      </c>
      <c r="D341" s="1" t="s">
        <v>35</v>
      </c>
      <c r="E341" s="1" t="s">
        <v>33</v>
      </c>
      <c r="F341">
        <v>7264</v>
      </c>
      <c r="G341" s="1" t="str">
        <f>_xlfn.XLOOKUP(tblActuals[[#This Row],[GL Account]],tblGLMap[GL Account],tblGLMap[Cost Category])</f>
        <v>Labor</v>
      </c>
      <c r="H341" s="1" t="str">
        <f>TEXT(tblActuals[[#This Row],[Date]],"mmm")</f>
        <v>Apr</v>
      </c>
    </row>
    <row r="342" spans="1:8" x14ac:dyDescent="0.25">
      <c r="A342" s="2">
        <v>45753</v>
      </c>
      <c r="B342" s="1" t="s">
        <v>11</v>
      </c>
      <c r="C342">
        <v>6020</v>
      </c>
      <c r="D342" s="1" t="s">
        <v>29</v>
      </c>
      <c r="E342" s="1" t="s">
        <v>33</v>
      </c>
      <c r="F342">
        <v>8934</v>
      </c>
      <c r="G342" s="1" t="str">
        <f>_xlfn.XLOOKUP(tblActuals[[#This Row],[GL Account]],tblGLMap[GL Account],tblGLMap[Cost Category])</f>
        <v>Labor</v>
      </c>
      <c r="H342" s="1" t="str">
        <f>TEXT(tblActuals[[#This Row],[Date]],"mmm")</f>
        <v>Apr</v>
      </c>
    </row>
    <row r="343" spans="1:8" x14ac:dyDescent="0.25">
      <c r="A343" s="2">
        <v>45754</v>
      </c>
      <c r="B343" s="1" t="s">
        <v>11</v>
      </c>
      <c r="C343">
        <v>6020</v>
      </c>
      <c r="D343" s="1" t="s">
        <v>29</v>
      </c>
      <c r="E343" s="1" t="s">
        <v>33</v>
      </c>
      <c r="F343">
        <v>6523</v>
      </c>
      <c r="G343" s="1" t="str">
        <f>_xlfn.XLOOKUP(tblActuals[[#This Row],[GL Account]],tblGLMap[GL Account],tblGLMap[Cost Category])</f>
        <v>Labor</v>
      </c>
      <c r="H343" s="1" t="str">
        <f>TEXT(tblActuals[[#This Row],[Date]],"mmm")</f>
        <v>Apr</v>
      </c>
    </row>
    <row r="344" spans="1:8" x14ac:dyDescent="0.25">
      <c r="A344" s="2">
        <v>45752</v>
      </c>
      <c r="B344" s="1" t="s">
        <v>11</v>
      </c>
      <c r="C344">
        <v>6110</v>
      </c>
      <c r="D344" s="1" t="s">
        <v>31</v>
      </c>
      <c r="E344" s="1" t="s">
        <v>36</v>
      </c>
      <c r="F344">
        <v>5277</v>
      </c>
      <c r="G344" s="1" t="str">
        <f>_xlfn.XLOOKUP(tblActuals[[#This Row],[GL Account]],tblGLMap[GL Account],tblGLMap[Cost Category])</f>
        <v>Supplies &amp; Inventory</v>
      </c>
      <c r="H344" s="1" t="str">
        <f>TEXT(tblActuals[[#This Row],[Date]],"mmm")</f>
        <v>Apr</v>
      </c>
    </row>
    <row r="345" spans="1:8" x14ac:dyDescent="0.25">
      <c r="A345" s="2">
        <v>45753</v>
      </c>
      <c r="B345" s="1" t="s">
        <v>11</v>
      </c>
      <c r="C345">
        <v>6110</v>
      </c>
      <c r="D345" s="1" t="s">
        <v>29</v>
      </c>
      <c r="E345" s="1" t="s">
        <v>36</v>
      </c>
      <c r="F345">
        <v>4655</v>
      </c>
      <c r="G345" s="1" t="str">
        <f>_xlfn.XLOOKUP(tblActuals[[#This Row],[GL Account]],tblGLMap[GL Account],tblGLMap[Cost Category])</f>
        <v>Supplies &amp; Inventory</v>
      </c>
      <c r="H345" s="1" t="str">
        <f>TEXT(tblActuals[[#This Row],[Date]],"mmm")</f>
        <v>Apr</v>
      </c>
    </row>
    <row r="346" spans="1:8" x14ac:dyDescent="0.25">
      <c r="A346" s="2">
        <v>45754</v>
      </c>
      <c r="B346" s="1" t="s">
        <v>11</v>
      </c>
      <c r="C346">
        <v>6110</v>
      </c>
      <c r="D346" s="1" t="s">
        <v>35</v>
      </c>
      <c r="E346" s="1" t="s">
        <v>36</v>
      </c>
      <c r="F346">
        <v>3458</v>
      </c>
      <c r="G346" s="1" t="str">
        <f>_xlfn.XLOOKUP(tblActuals[[#This Row],[GL Account]],tblGLMap[GL Account],tblGLMap[Cost Category])</f>
        <v>Supplies &amp; Inventory</v>
      </c>
      <c r="H346" s="1" t="str">
        <f>TEXT(tblActuals[[#This Row],[Date]],"mmm")</f>
        <v>Apr</v>
      </c>
    </row>
    <row r="347" spans="1:8" x14ac:dyDescent="0.25">
      <c r="A347" s="2">
        <v>45752</v>
      </c>
      <c r="B347" s="1" t="s">
        <v>11</v>
      </c>
      <c r="C347">
        <v>6120</v>
      </c>
      <c r="D347" s="1" t="s">
        <v>35</v>
      </c>
      <c r="E347" s="1" t="s">
        <v>37</v>
      </c>
      <c r="F347">
        <v>10279</v>
      </c>
      <c r="G347" s="1" t="str">
        <f>_xlfn.XLOOKUP(tblActuals[[#This Row],[GL Account]],tblGLMap[GL Account],tblGLMap[Cost Category])</f>
        <v>Supplies &amp; Inventory</v>
      </c>
      <c r="H347" s="1" t="str">
        <f>TEXT(tblActuals[[#This Row],[Date]],"mmm")</f>
        <v>Apr</v>
      </c>
    </row>
    <row r="348" spans="1:8" x14ac:dyDescent="0.25">
      <c r="A348" s="2">
        <v>45753</v>
      </c>
      <c r="B348" s="1" t="s">
        <v>11</v>
      </c>
      <c r="C348">
        <v>6120</v>
      </c>
      <c r="D348" s="1" t="s">
        <v>34</v>
      </c>
      <c r="E348" s="1" t="s">
        <v>37</v>
      </c>
      <c r="F348">
        <v>4533</v>
      </c>
      <c r="G348" s="1" t="str">
        <f>_xlfn.XLOOKUP(tblActuals[[#This Row],[GL Account]],tblGLMap[GL Account],tblGLMap[Cost Category])</f>
        <v>Supplies &amp; Inventory</v>
      </c>
      <c r="H348" s="1" t="str">
        <f>TEXT(tblActuals[[#This Row],[Date]],"mmm")</f>
        <v>Apr</v>
      </c>
    </row>
    <row r="349" spans="1:8" x14ac:dyDescent="0.25">
      <c r="A349" s="2">
        <v>45754</v>
      </c>
      <c r="B349" s="1" t="s">
        <v>11</v>
      </c>
      <c r="C349">
        <v>6120</v>
      </c>
      <c r="D349" s="1" t="s">
        <v>35</v>
      </c>
      <c r="E349" s="1" t="s">
        <v>37</v>
      </c>
      <c r="F349">
        <v>5045</v>
      </c>
      <c r="G349" s="1" t="str">
        <f>_xlfn.XLOOKUP(tblActuals[[#This Row],[GL Account]],tblGLMap[GL Account],tblGLMap[Cost Category])</f>
        <v>Supplies &amp; Inventory</v>
      </c>
      <c r="H349" s="1" t="str">
        <f>TEXT(tblActuals[[#This Row],[Date]],"mmm")</f>
        <v>Apr</v>
      </c>
    </row>
    <row r="350" spans="1:8" x14ac:dyDescent="0.25">
      <c r="A350" s="2">
        <v>45752</v>
      </c>
      <c r="B350" s="1" t="s">
        <v>11</v>
      </c>
      <c r="C350">
        <v>6210</v>
      </c>
      <c r="D350" s="1" t="s">
        <v>29</v>
      </c>
      <c r="E350" s="1" t="s">
        <v>38</v>
      </c>
      <c r="F350">
        <v>9433</v>
      </c>
      <c r="G350" s="1" t="str">
        <f>_xlfn.XLOOKUP(tblActuals[[#This Row],[GL Account]],tblGLMap[GL Account],tblGLMap[Cost Category])</f>
        <v>Utilities</v>
      </c>
      <c r="H350" s="1" t="str">
        <f>TEXT(tblActuals[[#This Row],[Date]],"mmm")</f>
        <v>Apr</v>
      </c>
    </row>
    <row r="351" spans="1:8" x14ac:dyDescent="0.25">
      <c r="A351" s="2">
        <v>45753</v>
      </c>
      <c r="B351" s="1" t="s">
        <v>11</v>
      </c>
      <c r="C351">
        <v>6210</v>
      </c>
      <c r="D351" s="1" t="s">
        <v>32</v>
      </c>
      <c r="E351" s="1" t="s">
        <v>38</v>
      </c>
      <c r="F351">
        <v>11159</v>
      </c>
      <c r="G351" s="1" t="str">
        <f>_xlfn.XLOOKUP(tblActuals[[#This Row],[GL Account]],tblGLMap[GL Account],tblGLMap[Cost Category])</f>
        <v>Utilities</v>
      </c>
      <c r="H351" s="1" t="str">
        <f>TEXT(tblActuals[[#This Row],[Date]],"mmm")</f>
        <v>Apr</v>
      </c>
    </row>
    <row r="352" spans="1:8" x14ac:dyDescent="0.25">
      <c r="A352" s="2">
        <v>45754</v>
      </c>
      <c r="B352" s="1" t="s">
        <v>11</v>
      </c>
      <c r="C352">
        <v>6210</v>
      </c>
      <c r="D352" s="1" t="s">
        <v>29</v>
      </c>
      <c r="E352" s="1" t="s">
        <v>38</v>
      </c>
      <c r="F352">
        <v>11277</v>
      </c>
      <c r="G352" s="1" t="str">
        <f>_xlfn.XLOOKUP(tblActuals[[#This Row],[GL Account]],tblGLMap[GL Account],tblGLMap[Cost Category])</f>
        <v>Utilities</v>
      </c>
      <c r="H352" s="1" t="str">
        <f>TEXT(tblActuals[[#This Row],[Date]],"mmm")</f>
        <v>Apr</v>
      </c>
    </row>
    <row r="353" spans="1:8" x14ac:dyDescent="0.25">
      <c r="A353" s="2">
        <v>45752</v>
      </c>
      <c r="B353" s="1" t="s">
        <v>11</v>
      </c>
      <c r="C353">
        <v>6220</v>
      </c>
      <c r="D353" s="1" t="s">
        <v>34</v>
      </c>
      <c r="E353" s="1" t="s">
        <v>40</v>
      </c>
      <c r="F353">
        <v>3147</v>
      </c>
      <c r="G353" s="1" t="str">
        <f>_xlfn.XLOOKUP(tblActuals[[#This Row],[GL Account]],tblGLMap[GL Account],tblGLMap[Cost Category])</f>
        <v>Utilities</v>
      </c>
      <c r="H353" s="1" t="str">
        <f>TEXT(tblActuals[[#This Row],[Date]],"mmm")</f>
        <v>Apr</v>
      </c>
    </row>
    <row r="354" spans="1:8" x14ac:dyDescent="0.25">
      <c r="A354" s="2">
        <v>45753</v>
      </c>
      <c r="B354" s="1" t="s">
        <v>11</v>
      </c>
      <c r="C354">
        <v>6220</v>
      </c>
      <c r="D354" s="1" t="s">
        <v>34</v>
      </c>
      <c r="E354" s="1" t="s">
        <v>40</v>
      </c>
      <c r="F354">
        <v>6353</v>
      </c>
      <c r="G354" s="1" t="str">
        <f>_xlfn.XLOOKUP(tblActuals[[#This Row],[GL Account]],tblGLMap[GL Account],tblGLMap[Cost Category])</f>
        <v>Utilities</v>
      </c>
      <c r="H354" s="1" t="str">
        <f>TEXT(tblActuals[[#This Row],[Date]],"mmm")</f>
        <v>Apr</v>
      </c>
    </row>
    <row r="355" spans="1:8" x14ac:dyDescent="0.25">
      <c r="A355" s="2">
        <v>45754</v>
      </c>
      <c r="B355" s="1" t="s">
        <v>11</v>
      </c>
      <c r="C355">
        <v>6220</v>
      </c>
      <c r="D355" s="1" t="s">
        <v>34</v>
      </c>
      <c r="E355" s="1" t="s">
        <v>40</v>
      </c>
      <c r="F355">
        <v>7412</v>
      </c>
      <c r="G355" s="1" t="str">
        <f>_xlfn.XLOOKUP(tblActuals[[#This Row],[GL Account]],tblGLMap[GL Account],tblGLMap[Cost Category])</f>
        <v>Utilities</v>
      </c>
      <c r="H355" s="1" t="str">
        <f>TEXT(tblActuals[[#This Row],[Date]],"mmm")</f>
        <v>Apr</v>
      </c>
    </row>
    <row r="356" spans="1:8" x14ac:dyDescent="0.25">
      <c r="A356" s="2">
        <v>45752</v>
      </c>
      <c r="B356" s="1" t="s">
        <v>11</v>
      </c>
      <c r="C356">
        <v>6310</v>
      </c>
      <c r="D356" s="1" t="s">
        <v>31</v>
      </c>
      <c r="E356" s="1" t="s">
        <v>41</v>
      </c>
      <c r="F356">
        <v>6452</v>
      </c>
      <c r="G356" s="1" t="str">
        <f>_xlfn.XLOOKUP(tblActuals[[#This Row],[GL Account]],tblGLMap[GL Account],tblGLMap[Cost Category])</f>
        <v>Maintenance &amp; Repairs</v>
      </c>
      <c r="H356" s="1" t="str">
        <f>TEXT(tblActuals[[#This Row],[Date]],"mmm")</f>
        <v>Apr</v>
      </c>
    </row>
    <row r="357" spans="1:8" x14ac:dyDescent="0.25">
      <c r="A357" s="2">
        <v>45753</v>
      </c>
      <c r="B357" s="1" t="s">
        <v>11</v>
      </c>
      <c r="C357">
        <v>6310</v>
      </c>
      <c r="D357" s="1" t="s">
        <v>34</v>
      </c>
      <c r="E357" s="1" t="s">
        <v>41</v>
      </c>
      <c r="F357">
        <v>10251</v>
      </c>
      <c r="G357" s="1" t="str">
        <f>_xlfn.XLOOKUP(tblActuals[[#This Row],[GL Account]],tblGLMap[GL Account],tblGLMap[Cost Category])</f>
        <v>Maintenance &amp; Repairs</v>
      </c>
      <c r="H357" s="1" t="str">
        <f>TEXT(tblActuals[[#This Row],[Date]],"mmm")</f>
        <v>Apr</v>
      </c>
    </row>
    <row r="358" spans="1:8" x14ac:dyDescent="0.25">
      <c r="A358" s="2">
        <v>45754</v>
      </c>
      <c r="B358" s="1" t="s">
        <v>11</v>
      </c>
      <c r="C358">
        <v>6310</v>
      </c>
      <c r="D358" s="1" t="s">
        <v>31</v>
      </c>
      <c r="E358" s="1" t="s">
        <v>41</v>
      </c>
      <c r="F358">
        <v>5994</v>
      </c>
      <c r="G358" s="1" t="str">
        <f>_xlfn.XLOOKUP(tblActuals[[#This Row],[GL Account]],tblGLMap[GL Account],tblGLMap[Cost Category])</f>
        <v>Maintenance &amp; Repairs</v>
      </c>
      <c r="H358" s="1" t="str">
        <f>TEXT(tblActuals[[#This Row],[Date]],"mmm")</f>
        <v>Apr</v>
      </c>
    </row>
    <row r="359" spans="1:8" x14ac:dyDescent="0.25">
      <c r="A359" s="2">
        <v>45752</v>
      </c>
      <c r="B359" s="1" t="s">
        <v>11</v>
      </c>
      <c r="C359">
        <v>6320</v>
      </c>
      <c r="D359" s="1" t="s">
        <v>32</v>
      </c>
      <c r="E359" s="1" t="s">
        <v>42</v>
      </c>
      <c r="F359">
        <v>2393</v>
      </c>
      <c r="G359" s="1" t="str">
        <f>_xlfn.XLOOKUP(tblActuals[[#This Row],[GL Account]],tblGLMap[GL Account],tblGLMap[Cost Category])</f>
        <v>Maintenance &amp; Repairs</v>
      </c>
      <c r="H359" s="1" t="str">
        <f>TEXT(tblActuals[[#This Row],[Date]],"mmm")</f>
        <v>Apr</v>
      </c>
    </row>
    <row r="360" spans="1:8" x14ac:dyDescent="0.25">
      <c r="A360" s="2">
        <v>45753</v>
      </c>
      <c r="B360" s="1" t="s">
        <v>11</v>
      </c>
      <c r="C360">
        <v>6320</v>
      </c>
      <c r="D360" s="1" t="s">
        <v>35</v>
      </c>
      <c r="E360" s="1" t="s">
        <v>42</v>
      </c>
      <c r="F360">
        <v>6286</v>
      </c>
      <c r="G360" s="1" t="str">
        <f>_xlfn.XLOOKUP(tblActuals[[#This Row],[GL Account]],tblGLMap[GL Account],tblGLMap[Cost Category])</f>
        <v>Maintenance &amp; Repairs</v>
      </c>
      <c r="H360" s="1" t="str">
        <f>TEXT(tblActuals[[#This Row],[Date]],"mmm")</f>
        <v>Apr</v>
      </c>
    </row>
    <row r="361" spans="1:8" x14ac:dyDescent="0.25">
      <c r="A361" s="2">
        <v>45754</v>
      </c>
      <c r="B361" s="1" t="s">
        <v>11</v>
      </c>
      <c r="C361">
        <v>6320</v>
      </c>
      <c r="D361" s="1" t="s">
        <v>35</v>
      </c>
      <c r="E361" s="1" t="s">
        <v>42</v>
      </c>
      <c r="F361">
        <v>3568</v>
      </c>
      <c r="G361" s="1" t="str">
        <f>_xlfn.XLOOKUP(tblActuals[[#This Row],[GL Account]],tblGLMap[GL Account],tblGLMap[Cost Category])</f>
        <v>Maintenance &amp; Repairs</v>
      </c>
      <c r="H361" s="1" t="str">
        <f>TEXT(tblActuals[[#This Row],[Date]],"mmm")</f>
        <v>Apr</v>
      </c>
    </row>
    <row r="362" spans="1:8" x14ac:dyDescent="0.25">
      <c r="A362" s="2">
        <v>45752</v>
      </c>
      <c r="B362" s="1" t="s">
        <v>12</v>
      </c>
      <c r="C362">
        <v>6010</v>
      </c>
      <c r="D362" s="1" t="s">
        <v>31</v>
      </c>
      <c r="E362" s="1" t="s">
        <v>30</v>
      </c>
      <c r="F362">
        <v>9542</v>
      </c>
      <c r="G362" s="1" t="str">
        <f>_xlfn.XLOOKUP(tblActuals[[#This Row],[GL Account]],tblGLMap[GL Account],tblGLMap[Cost Category])</f>
        <v>Labor</v>
      </c>
      <c r="H362" s="1" t="str">
        <f>TEXT(tblActuals[[#This Row],[Date]],"mmm")</f>
        <v>Apr</v>
      </c>
    </row>
    <row r="363" spans="1:8" x14ac:dyDescent="0.25">
      <c r="A363" s="2">
        <v>45753</v>
      </c>
      <c r="B363" s="1" t="s">
        <v>12</v>
      </c>
      <c r="C363">
        <v>6010</v>
      </c>
      <c r="D363" s="1" t="s">
        <v>32</v>
      </c>
      <c r="E363" s="1" t="s">
        <v>30</v>
      </c>
      <c r="F363">
        <v>1700</v>
      </c>
      <c r="G363" s="1" t="str">
        <f>_xlfn.XLOOKUP(tblActuals[[#This Row],[GL Account]],tblGLMap[GL Account],tblGLMap[Cost Category])</f>
        <v>Labor</v>
      </c>
      <c r="H363" s="1" t="str">
        <f>TEXT(tblActuals[[#This Row],[Date]],"mmm")</f>
        <v>Apr</v>
      </c>
    </row>
    <row r="364" spans="1:8" x14ac:dyDescent="0.25">
      <c r="A364" s="2">
        <v>45754</v>
      </c>
      <c r="B364" s="1" t="s">
        <v>12</v>
      </c>
      <c r="C364">
        <v>6010</v>
      </c>
      <c r="D364" s="1" t="s">
        <v>39</v>
      </c>
      <c r="E364" s="1" t="s">
        <v>30</v>
      </c>
      <c r="F364">
        <v>6158</v>
      </c>
      <c r="G364" s="1" t="str">
        <f>_xlfn.XLOOKUP(tblActuals[[#This Row],[GL Account]],tblGLMap[GL Account],tblGLMap[Cost Category])</f>
        <v>Labor</v>
      </c>
      <c r="H364" s="1" t="str">
        <f>TEXT(tblActuals[[#This Row],[Date]],"mmm")</f>
        <v>Apr</v>
      </c>
    </row>
    <row r="365" spans="1:8" x14ac:dyDescent="0.25">
      <c r="A365" s="2">
        <v>45752</v>
      </c>
      <c r="B365" s="1" t="s">
        <v>12</v>
      </c>
      <c r="C365">
        <v>6020</v>
      </c>
      <c r="D365" s="1" t="s">
        <v>39</v>
      </c>
      <c r="E365" s="1" t="s">
        <v>33</v>
      </c>
      <c r="F365">
        <v>9343</v>
      </c>
      <c r="G365" s="1" t="str">
        <f>_xlfn.XLOOKUP(tblActuals[[#This Row],[GL Account]],tblGLMap[GL Account],tblGLMap[Cost Category])</f>
        <v>Labor</v>
      </c>
      <c r="H365" s="1" t="str">
        <f>TEXT(tblActuals[[#This Row],[Date]],"mmm")</f>
        <v>Apr</v>
      </c>
    </row>
    <row r="366" spans="1:8" x14ac:dyDescent="0.25">
      <c r="A366" s="2">
        <v>45753</v>
      </c>
      <c r="B366" s="1" t="s">
        <v>12</v>
      </c>
      <c r="C366">
        <v>6020</v>
      </c>
      <c r="D366" s="1" t="s">
        <v>34</v>
      </c>
      <c r="E366" s="1" t="s">
        <v>33</v>
      </c>
      <c r="F366">
        <v>7082</v>
      </c>
      <c r="G366" s="1" t="str">
        <f>_xlfn.XLOOKUP(tblActuals[[#This Row],[GL Account]],tblGLMap[GL Account],tblGLMap[Cost Category])</f>
        <v>Labor</v>
      </c>
      <c r="H366" s="1" t="str">
        <f>TEXT(tblActuals[[#This Row],[Date]],"mmm")</f>
        <v>Apr</v>
      </c>
    </row>
    <row r="367" spans="1:8" x14ac:dyDescent="0.25">
      <c r="A367" s="2">
        <v>45754</v>
      </c>
      <c r="B367" s="1" t="s">
        <v>12</v>
      </c>
      <c r="C367">
        <v>6020</v>
      </c>
      <c r="D367" s="1" t="s">
        <v>29</v>
      </c>
      <c r="E367" s="1" t="s">
        <v>33</v>
      </c>
      <c r="F367">
        <v>2341</v>
      </c>
      <c r="G367" s="1" t="str">
        <f>_xlfn.XLOOKUP(tblActuals[[#This Row],[GL Account]],tblGLMap[GL Account],tblGLMap[Cost Category])</f>
        <v>Labor</v>
      </c>
      <c r="H367" s="1" t="str">
        <f>TEXT(tblActuals[[#This Row],[Date]],"mmm")</f>
        <v>Apr</v>
      </c>
    </row>
    <row r="368" spans="1:8" x14ac:dyDescent="0.25">
      <c r="A368" s="2">
        <v>45752</v>
      </c>
      <c r="B368" s="1" t="s">
        <v>12</v>
      </c>
      <c r="C368">
        <v>6110</v>
      </c>
      <c r="D368" s="1" t="s">
        <v>31</v>
      </c>
      <c r="E368" s="1" t="s">
        <v>36</v>
      </c>
      <c r="F368">
        <v>9327</v>
      </c>
      <c r="G368" s="1" t="str">
        <f>_xlfn.XLOOKUP(tblActuals[[#This Row],[GL Account]],tblGLMap[GL Account],tblGLMap[Cost Category])</f>
        <v>Supplies &amp; Inventory</v>
      </c>
      <c r="H368" s="1" t="str">
        <f>TEXT(tblActuals[[#This Row],[Date]],"mmm")</f>
        <v>Apr</v>
      </c>
    </row>
    <row r="369" spans="1:8" x14ac:dyDescent="0.25">
      <c r="A369" s="2">
        <v>45753</v>
      </c>
      <c r="B369" s="1" t="s">
        <v>12</v>
      </c>
      <c r="C369">
        <v>6110</v>
      </c>
      <c r="D369" s="1" t="s">
        <v>39</v>
      </c>
      <c r="E369" s="1" t="s">
        <v>36</v>
      </c>
      <c r="F369">
        <v>2570</v>
      </c>
      <c r="G369" s="1" t="str">
        <f>_xlfn.XLOOKUP(tblActuals[[#This Row],[GL Account]],tblGLMap[GL Account],tblGLMap[Cost Category])</f>
        <v>Supplies &amp; Inventory</v>
      </c>
      <c r="H369" s="1" t="str">
        <f>TEXT(tblActuals[[#This Row],[Date]],"mmm")</f>
        <v>Apr</v>
      </c>
    </row>
    <row r="370" spans="1:8" x14ac:dyDescent="0.25">
      <c r="A370" s="2">
        <v>45754</v>
      </c>
      <c r="B370" s="1" t="s">
        <v>12</v>
      </c>
      <c r="C370">
        <v>6110</v>
      </c>
      <c r="D370" s="1" t="s">
        <v>31</v>
      </c>
      <c r="E370" s="1" t="s">
        <v>36</v>
      </c>
      <c r="F370">
        <v>9556</v>
      </c>
      <c r="G370" s="1" t="str">
        <f>_xlfn.XLOOKUP(tblActuals[[#This Row],[GL Account]],tblGLMap[GL Account],tblGLMap[Cost Category])</f>
        <v>Supplies &amp; Inventory</v>
      </c>
      <c r="H370" s="1" t="str">
        <f>TEXT(tblActuals[[#This Row],[Date]],"mmm")</f>
        <v>Apr</v>
      </c>
    </row>
    <row r="371" spans="1:8" x14ac:dyDescent="0.25">
      <c r="A371" s="2">
        <v>45752</v>
      </c>
      <c r="B371" s="1" t="s">
        <v>12</v>
      </c>
      <c r="C371">
        <v>6120</v>
      </c>
      <c r="D371" s="1" t="s">
        <v>35</v>
      </c>
      <c r="E371" s="1" t="s">
        <v>37</v>
      </c>
      <c r="F371">
        <v>10953</v>
      </c>
      <c r="G371" s="1" t="str">
        <f>_xlfn.XLOOKUP(tblActuals[[#This Row],[GL Account]],tblGLMap[GL Account],tblGLMap[Cost Category])</f>
        <v>Supplies &amp; Inventory</v>
      </c>
      <c r="H371" s="1" t="str">
        <f>TEXT(tblActuals[[#This Row],[Date]],"mmm")</f>
        <v>Apr</v>
      </c>
    </row>
    <row r="372" spans="1:8" x14ac:dyDescent="0.25">
      <c r="A372" s="2">
        <v>45753</v>
      </c>
      <c r="B372" s="1" t="s">
        <v>12</v>
      </c>
      <c r="C372">
        <v>6120</v>
      </c>
      <c r="D372" s="1" t="s">
        <v>34</v>
      </c>
      <c r="E372" s="1" t="s">
        <v>37</v>
      </c>
      <c r="F372">
        <v>2378</v>
      </c>
      <c r="G372" s="1" t="str">
        <f>_xlfn.XLOOKUP(tblActuals[[#This Row],[GL Account]],tblGLMap[GL Account],tblGLMap[Cost Category])</f>
        <v>Supplies &amp; Inventory</v>
      </c>
      <c r="H372" s="1" t="str">
        <f>TEXT(tblActuals[[#This Row],[Date]],"mmm")</f>
        <v>Apr</v>
      </c>
    </row>
    <row r="373" spans="1:8" x14ac:dyDescent="0.25">
      <c r="A373" s="2">
        <v>45754</v>
      </c>
      <c r="B373" s="1" t="s">
        <v>12</v>
      </c>
      <c r="C373">
        <v>6120</v>
      </c>
      <c r="D373" s="1" t="s">
        <v>32</v>
      </c>
      <c r="E373" s="1" t="s">
        <v>37</v>
      </c>
      <c r="F373">
        <v>3944</v>
      </c>
      <c r="G373" s="1" t="str">
        <f>_xlfn.XLOOKUP(tblActuals[[#This Row],[GL Account]],tblGLMap[GL Account],tblGLMap[Cost Category])</f>
        <v>Supplies &amp; Inventory</v>
      </c>
      <c r="H373" s="1" t="str">
        <f>TEXT(tblActuals[[#This Row],[Date]],"mmm")</f>
        <v>Apr</v>
      </c>
    </row>
    <row r="374" spans="1:8" x14ac:dyDescent="0.25">
      <c r="A374" s="2">
        <v>45752</v>
      </c>
      <c r="B374" s="1" t="s">
        <v>12</v>
      </c>
      <c r="C374">
        <v>6210</v>
      </c>
      <c r="D374" s="1" t="s">
        <v>31</v>
      </c>
      <c r="E374" s="1" t="s">
        <v>38</v>
      </c>
      <c r="F374">
        <v>6478</v>
      </c>
      <c r="G374" s="1" t="str">
        <f>_xlfn.XLOOKUP(tblActuals[[#This Row],[GL Account]],tblGLMap[GL Account],tblGLMap[Cost Category])</f>
        <v>Utilities</v>
      </c>
      <c r="H374" s="1" t="str">
        <f>TEXT(tblActuals[[#This Row],[Date]],"mmm")</f>
        <v>Apr</v>
      </c>
    </row>
    <row r="375" spans="1:8" x14ac:dyDescent="0.25">
      <c r="A375" s="2">
        <v>45753</v>
      </c>
      <c r="B375" s="1" t="s">
        <v>12</v>
      </c>
      <c r="C375">
        <v>6210</v>
      </c>
      <c r="D375" s="1" t="s">
        <v>31</v>
      </c>
      <c r="E375" s="1" t="s">
        <v>38</v>
      </c>
      <c r="F375">
        <v>5566</v>
      </c>
      <c r="G375" s="1" t="str">
        <f>_xlfn.XLOOKUP(tblActuals[[#This Row],[GL Account]],tblGLMap[GL Account],tblGLMap[Cost Category])</f>
        <v>Utilities</v>
      </c>
      <c r="H375" s="1" t="str">
        <f>TEXT(tblActuals[[#This Row],[Date]],"mmm")</f>
        <v>Apr</v>
      </c>
    </row>
    <row r="376" spans="1:8" x14ac:dyDescent="0.25">
      <c r="A376" s="2">
        <v>45754</v>
      </c>
      <c r="B376" s="1" t="s">
        <v>12</v>
      </c>
      <c r="C376">
        <v>6210</v>
      </c>
      <c r="D376" s="1" t="s">
        <v>39</v>
      </c>
      <c r="E376" s="1" t="s">
        <v>38</v>
      </c>
      <c r="F376">
        <v>10643</v>
      </c>
      <c r="G376" s="1" t="str">
        <f>_xlfn.XLOOKUP(tblActuals[[#This Row],[GL Account]],tblGLMap[GL Account],tblGLMap[Cost Category])</f>
        <v>Utilities</v>
      </c>
      <c r="H376" s="1" t="str">
        <f>TEXT(tblActuals[[#This Row],[Date]],"mmm")</f>
        <v>Apr</v>
      </c>
    </row>
    <row r="377" spans="1:8" x14ac:dyDescent="0.25">
      <c r="A377" s="2">
        <v>45752</v>
      </c>
      <c r="B377" s="1" t="s">
        <v>12</v>
      </c>
      <c r="C377">
        <v>6220</v>
      </c>
      <c r="D377" s="1" t="s">
        <v>32</v>
      </c>
      <c r="E377" s="1" t="s">
        <v>40</v>
      </c>
      <c r="F377">
        <v>11433</v>
      </c>
      <c r="G377" s="1" t="str">
        <f>_xlfn.XLOOKUP(tblActuals[[#This Row],[GL Account]],tblGLMap[GL Account],tblGLMap[Cost Category])</f>
        <v>Utilities</v>
      </c>
      <c r="H377" s="1" t="str">
        <f>TEXT(tblActuals[[#This Row],[Date]],"mmm")</f>
        <v>Apr</v>
      </c>
    </row>
    <row r="378" spans="1:8" x14ac:dyDescent="0.25">
      <c r="A378" s="2">
        <v>45753</v>
      </c>
      <c r="B378" s="1" t="s">
        <v>12</v>
      </c>
      <c r="C378">
        <v>6220</v>
      </c>
      <c r="D378" s="1" t="s">
        <v>34</v>
      </c>
      <c r="E378" s="1" t="s">
        <v>40</v>
      </c>
      <c r="F378">
        <v>11632</v>
      </c>
      <c r="G378" s="1" t="str">
        <f>_xlfn.XLOOKUP(tblActuals[[#This Row],[GL Account]],tblGLMap[GL Account],tblGLMap[Cost Category])</f>
        <v>Utilities</v>
      </c>
      <c r="H378" s="1" t="str">
        <f>TEXT(tblActuals[[#This Row],[Date]],"mmm")</f>
        <v>Apr</v>
      </c>
    </row>
    <row r="379" spans="1:8" x14ac:dyDescent="0.25">
      <c r="A379" s="2">
        <v>45754</v>
      </c>
      <c r="B379" s="1" t="s">
        <v>12</v>
      </c>
      <c r="C379">
        <v>6220</v>
      </c>
      <c r="D379" s="1" t="s">
        <v>39</v>
      </c>
      <c r="E379" s="1" t="s">
        <v>40</v>
      </c>
      <c r="F379">
        <v>10061</v>
      </c>
      <c r="G379" s="1" t="str">
        <f>_xlfn.XLOOKUP(tblActuals[[#This Row],[GL Account]],tblGLMap[GL Account],tblGLMap[Cost Category])</f>
        <v>Utilities</v>
      </c>
      <c r="H379" s="1" t="str">
        <f>TEXT(tblActuals[[#This Row],[Date]],"mmm")</f>
        <v>Apr</v>
      </c>
    </row>
    <row r="380" spans="1:8" x14ac:dyDescent="0.25">
      <c r="A380" s="2">
        <v>45752</v>
      </c>
      <c r="B380" s="1" t="s">
        <v>12</v>
      </c>
      <c r="C380">
        <v>6310</v>
      </c>
      <c r="D380" s="1" t="s">
        <v>39</v>
      </c>
      <c r="E380" s="1" t="s">
        <v>41</v>
      </c>
      <c r="F380">
        <v>8881</v>
      </c>
      <c r="G380" s="1" t="str">
        <f>_xlfn.XLOOKUP(tblActuals[[#This Row],[GL Account]],tblGLMap[GL Account],tblGLMap[Cost Category])</f>
        <v>Maintenance &amp; Repairs</v>
      </c>
      <c r="H380" s="1" t="str">
        <f>TEXT(tblActuals[[#This Row],[Date]],"mmm")</f>
        <v>Apr</v>
      </c>
    </row>
    <row r="381" spans="1:8" x14ac:dyDescent="0.25">
      <c r="A381" s="2">
        <v>45753</v>
      </c>
      <c r="B381" s="1" t="s">
        <v>12</v>
      </c>
      <c r="C381">
        <v>6310</v>
      </c>
      <c r="D381" s="1" t="s">
        <v>32</v>
      </c>
      <c r="E381" s="1" t="s">
        <v>41</v>
      </c>
      <c r="F381">
        <v>6371</v>
      </c>
      <c r="G381" s="1" t="str">
        <f>_xlfn.XLOOKUP(tblActuals[[#This Row],[GL Account]],tblGLMap[GL Account],tblGLMap[Cost Category])</f>
        <v>Maintenance &amp; Repairs</v>
      </c>
      <c r="H381" s="1" t="str">
        <f>TEXT(tblActuals[[#This Row],[Date]],"mmm")</f>
        <v>Apr</v>
      </c>
    </row>
    <row r="382" spans="1:8" x14ac:dyDescent="0.25">
      <c r="A382" s="2">
        <v>45754</v>
      </c>
      <c r="B382" s="1" t="s">
        <v>12</v>
      </c>
      <c r="C382">
        <v>6310</v>
      </c>
      <c r="D382" s="1" t="s">
        <v>29</v>
      </c>
      <c r="E382" s="1" t="s">
        <v>41</v>
      </c>
      <c r="F382">
        <v>8525</v>
      </c>
      <c r="G382" s="1" t="str">
        <f>_xlfn.XLOOKUP(tblActuals[[#This Row],[GL Account]],tblGLMap[GL Account],tblGLMap[Cost Category])</f>
        <v>Maintenance &amp; Repairs</v>
      </c>
      <c r="H382" s="1" t="str">
        <f>TEXT(tblActuals[[#This Row],[Date]],"mmm")</f>
        <v>Apr</v>
      </c>
    </row>
    <row r="383" spans="1:8" x14ac:dyDescent="0.25">
      <c r="A383" s="2">
        <v>45752</v>
      </c>
      <c r="B383" s="1" t="s">
        <v>12</v>
      </c>
      <c r="C383">
        <v>6320</v>
      </c>
      <c r="D383" s="1" t="s">
        <v>32</v>
      </c>
      <c r="E383" s="1" t="s">
        <v>42</v>
      </c>
      <c r="F383">
        <v>10816</v>
      </c>
      <c r="G383" s="1" t="str">
        <f>_xlfn.XLOOKUP(tblActuals[[#This Row],[GL Account]],tblGLMap[GL Account],tblGLMap[Cost Category])</f>
        <v>Maintenance &amp; Repairs</v>
      </c>
      <c r="H383" s="1" t="str">
        <f>TEXT(tblActuals[[#This Row],[Date]],"mmm")</f>
        <v>Apr</v>
      </c>
    </row>
    <row r="384" spans="1:8" x14ac:dyDescent="0.25">
      <c r="A384" s="2">
        <v>45753</v>
      </c>
      <c r="B384" s="1" t="s">
        <v>12</v>
      </c>
      <c r="C384">
        <v>6320</v>
      </c>
      <c r="D384" s="1" t="s">
        <v>32</v>
      </c>
      <c r="E384" s="1" t="s">
        <v>42</v>
      </c>
      <c r="F384">
        <v>2486</v>
      </c>
      <c r="G384" s="1" t="str">
        <f>_xlfn.XLOOKUP(tblActuals[[#This Row],[GL Account]],tblGLMap[GL Account],tblGLMap[Cost Category])</f>
        <v>Maintenance &amp; Repairs</v>
      </c>
      <c r="H384" s="1" t="str">
        <f>TEXT(tblActuals[[#This Row],[Date]],"mmm")</f>
        <v>Apr</v>
      </c>
    </row>
    <row r="385" spans="1:8" x14ac:dyDescent="0.25">
      <c r="A385" s="2">
        <v>45754</v>
      </c>
      <c r="B385" s="1" t="s">
        <v>12</v>
      </c>
      <c r="C385">
        <v>6320</v>
      </c>
      <c r="D385" s="1" t="s">
        <v>34</v>
      </c>
      <c r="E385" s="1" t="s">
        <v>42</v>
      </c>
      <c r="F385">
        <v>3125</v>
      </c>
      <c r="G385" s="1" t="str">
        <f>_xlfn.XLOOKUP(tblActuals[[#This Row],[GL Account]],tblGLMap[GL Account],tblGLMap[Cost Category])</f>
        <v>Maintenance &amp; Repairs</v>
      </c>
      <c r="H385" s="1" t="str">
        <f>TEXT(tblActuals[[#This Row],[Date]],"mmm")</f>
        <v>Apr</v>
      </c>
    </row>
    <row r="386" spans="1:8" x14ac:dyDescent="0.25">
      <c r="A386" s="2">
        <v>45782</v>
      </c>
      <c r="B386" s="1" t="s">
        <v>5</v>
      </c>
      <c r="C386">
        <v>6010</v>
      </c>
      <c r="D386" s="1" t="s">
        <v>34</v>
      </c>
      <c r="E386" s="1" t="s">
        <v>30</v>
      </c>
      <c r="F386">
        <v>11748</v>
      </c>
      <c r="G386" s="1" t="str">
        <f>_xlfn.XLOOKUP(tblActuals[[#This Row],[GL Account]],tblGLMap[GL Account],tblGLMap[Cost Category])</f>
        <v>Labor</v>
      </c>
      <c r="H386" s="1" t="str">
        <f>TEXT(tblActuals[[#This Row],[Date]],"mmm")</f>
        <v>May</v>
      </c>
    </row>
    <row r="387" spans="1:8" x14ac:dyDescent="0.25">
      <c r="A387" s="2">
        <v>45783</v>
      </c>
      <c r="B387" s="1" t="s">
        <v>5</v>
      </c>
      <c r="C387">
        <v>6010</v>
      </c>
      <c r="D387" s="1" t="s">
        <v>35</v>
      </c>
      <c r="E387" s="1" t="s">
        <v>30</v>
      </c>
      <c r="F387">
        <v>5835</v>
      </c>
      <c r="G387" s="1" t="str">
        <f>_xlfn.XLOOKUP(tblActuals[[#This Row],[GL Account]],tblGLMap[GL Account],tblGLMap[Cost Category])</f>
        <v>Labor</v>
      </c>
      <c r="H387" s="1" t="str">
        <f>TEXT(tblActuals[[#This Row],[Date]],"mmm")</f>
        <v>May</v>
      </c>
    </row>
    <row r="388" spans="1:8" x14ac:dyDescent="0.25">
      <c r="A388" s="2">
        <v>45784</v>
      </c>
      <c r="B388" s="1" t="s">
        <v>5</v>
      </c>
      <c r="C388">
        <v>6010</v>
      </c>
      <c r="D388" s="1" t="s">
        <v>34</v>
      </c>
      <c r="E388" s="1" t="s">
        <v>30</v>
      </c>
      <c r="F388">
        <v>2830</v>
      </c>
      <c r="G388" s="1" t="str">
        <f>_xlfn.XLOOKUP(tblActuals[[#This Row],[GL Account]],tblGLMap[GL Account],tblGLMap[Cost Category])</f>
        <v>Labor</v>
      </c>
      <c r="H388" s="1" t="str">
        <f>TEXT(tblActuals[[#This Row],[Date]],"mmm")</f>
        <v>May</v>
      </c>
    </row>
    <row r="389" spans="1:8" x14ac:dyDescent="0.25">
      <c r="A389" s="2">
        <v>45782</v>
      </c>
      <c r="B389" s="1" t="s">
        <v>5</v>
      </c>
      <c r="C389">
        <v>6020</v>
      </c>
      <c r="D389" s="1" t="s">
        <v>34</v>
      </c>
      <c r="E389" s="1" t="s">
        <v>33</v>
      </c>
      <c r="F389">
        <v>5429</v>
      </c>
      <c r="G389" s="1" t="str">
        <f>_xlfn.XLOOKUP(tblActuals[[#This Row],[GL Account]],tblGLMap[GL Account],tblGLMap[Cost Category])</f>
        <v>Labor</v>
      </c>
      <c r="H389" s="1" t="str">
        <f>TEXT(tblActuals[[#This Row],[Date]],"mmm")</f>
        <v>May</v>
      </c>
    </row>
    <row r="390" spans="1:8" x14ac:dyDescent="0.25">
      <c r="A390" s="2">
        <v>45783</v>
      </c>
      <c r="B390" s="1" t="s">
        <v>5</v>
      </c>
      <c r="C390">
        <v>6020</v>
      </c>
      <c r="D390" s="1" t="s">
        <v>31</v>
      </c>
      <c r="E390" s="1" t="s">
        <v>33</v>
      </c>
      <c r="F390">
        <v>10543</v>
      </c>
      <c r="G390" s="1" t="str">
        <f>_xlfn.XLOOKUP(tblActuals[[#This Row],[GL Account]],tblGLMap[GL Account],tblGLMap[Cost Category])</f>
        <v>Labor</v>
      </c>
      <c r="H390" s="1" t="str">
        <f>TEXT(tblActuals[[#This Row],[Date]],"mmm")</f>
        <v>May</v>
      </c>
    </row>
    <row r="391" spans="1:8" x14ac:dyDescent="0.25">
      <c r="A391" s="2">
        <v>45784</v>
      </c>
      <c r="B391" s="1" t="s">
        <v>5</v>
      </c>
      <c r="C391">
        <v>6020</v>
      </c>
      <c r="D391" s="1" t="s">
        <v>31</v>
      </c>
      <c r="E391" s="1" t="s">
        <v>33</v>
      </c>
      <c r="F391">
        <v>4064</v>
      </c>
      <c r="G391" s="1" t="str">
        <f>_xlfn.XLOOKUP(tblActuals[[#This Row],[GL Account]],tblGLMap[GL Account],tblGLMap[Cost Category])</f>
        <v>Labor</v>
      </c>
      <c r="H391" s="1" t="str">
        <f>TEXT(tblActuals[[#This Row],[Date]],"mmm")</f>
        <v>May</v>
      </c>
    </row>
    <row r="392" spans="1:8" x14ac:dyDescent="0.25">
      <c r="A392" s="2">
        <v>45782</v>
      </c>
      <c r="B392" s="1" t="s">
        <v>5</v>
      </c>
      <c r="C392">
        <v>6110</v>
      </c>
      <c r="D392" s="1" t="s">
        <v>39</v>
      </c>
      <c r="E392" s="1" t="s">
        <v>36</v>
      </c>
      <c r="F392">
        <v>8193</v>
      </c>
      <c r="G392" s="1" t="str">
        <f>_xlfn.XLOOKUP(tblActuals[[#This Row],[GL Account]],tblGLMap[GL Account],tblGLMap[Cost Category])</f>
        <v>Supplies &amp; Inventory</v>
      </c>
      <c r="H392" s="1" t="str">
        <f>TEXT(tblActuals[[#This Row],[Date]],"mmm")</f>
        <v>May</v>
      </c>
    </row>
    <row r="393" spans="1:8" x14ac:dyDescent="0.25">
      <c r="A393" s="2">
        <v>45783</v>
      </c>
      <c r="B393" s="1" t="s">
        <v>5</v>
      </c>
      <c r="C393">
        <v>6110</v>
      </c>
      <c r="D393" s="1" t="s">
        <v>39</v>
      </c>
      <c r="E393" s="1" t="s">
        <v>36</v>
      </c>
      <c r="F393">
        <v>11229</v>
      </c>
      <c r="G393" s="1" t="str">
        <f>_xlfn.XLOOKUP(tblActuals[[#This Row],[GL Account]],tblGLMap[GL Account],tblGLMap[Cost Category])</f>
        <v>Supplies &amp; Inventory</v>
      </c>
      <c r="H393" s="1" t="str">
        <f>TEXT(tblActuals[[#This Row],[Date]],"mmm")</f>
        <v>May</v>
      </c>
    </row>
    <row r="394" spans="1:8" x14ac:dyDescent="0.25">
      <c r="A394" s="2">
        <v>45784</v>
      </c>
      <c r="B394" s="1" t="s">
        <v>5</v>
      </c>
      <c r="C394">
        <v>6110</v>
      </c>
      <c r="D394" s="1" t="s">
        <v>31</v>
      </c>
      <c r="E394" s="1" t="s">
        <v>36</v>
      </c>
      <c r="F394">
        <v>6271</v>
      </c>
      <c r="G394" s="1" t="str">
        <f>_xlfn.XLOOKUP(tblActuals[[#This Row],[GL Account]],tblGLMap[GL Account],tblGLMap[Cost Category])</f>
        <v>Supplies &amp; Inventory</v>
      </c>
      <c r="H394" s="1" t="str">
        <f>TEXT(tblActuals[[#This Row],[Date]],"mmm")</f>
        <v>May</v>
      </c>
    </row>
    <row r="395" spans="1:8" x14ac:dyDescent="0.25">
      <c r="A395" s="2">
        <v>45782</v>
      </c>
      <c r="B395" s="1" t="s">
        <v>5</v>
      </c>
      <c r="C395">
        <v>6120</v>
      </c>
      <c r="D395" s="1" t="s">
        <v>29</v>
      </c>
      <c r="E395" s="1" t="s">
        <v>37</v>
      </c>
      <c r="F395">
        <v>5292</v>
      </c>
      <c r="G395" s="1" t="str">
        <f>_xlfn.XLOOKUP(tblActuals[[#This Row],[GL Account]],tblGLMap[GL Account],tblGLMap[Cost Category])</f>
        <v>Supplies &amp; Inventory</v>
      </c>
      <c r="H395" s="1" t="str">
        <f>TEXT(tblActuals[[#This Row],[Date]],"mmm")</f>
        <v>May</v>
      </c>
    </row>
    <row r="396" spans="1:8" x14ac:dyDescent="0.25">
      <c r="A396" s="2">
        <v>45783</v>
      </c>
      <c r="B396" s="1" t="s">
        <v>5</v>
      </c>
      <c r="C396">
        <v>6120</v>
      </c>
      <c r="D396" s="1" t="s">
        <v>35</v>
      </c>
      <c r="E396" s="1" t="s">
        <v>37</v>
      </c>
      <c r="F396">
        <v>6132</v>
      </c>
      <c r="G396" s="1" t="str">
        <f>_xlfn.XLOOKUP(tblActuals[[#This Row],[GL Account]],tblGLMap[GL Account],tblGLMap[Cost Category])</f>
        <v>Supplies &amp; Inventory</v>
      </c>
      <c r="H396" s="1" t="str">
        <f>TEXT(tblActuals[[#This Row],[Date]],"mmm")</f>
        <v>May</v>
      </c>
    </row>
    <row r="397" spans="1:8" x14ac:dyDescent="0.25">
      <c r="A397" s="2">
        <v>45784</v>
      </c>
      <c r="B397" s="1" t="s">
        <v>5</v>
      </c>
      <c r="C397">
        <v>6120</v>
      </c>
      <c r="D397" s="1" t="s">
        <v>31</v>
      </c>
      <c r="E397" s="1" t="s">
        <v>37</v>
      </c>
      <c r="F397">
        <v>8938</v>
      </c>
      <c r="G397" s="1" t="str">
        <f>_xlfn.XLOOKUP(tblActuals[[#This Row],[GL Account]],tblGLMap[GL Account],tblGLMap[Cost Category])</f>
        <v>Supplies &amp; Inventory</v>
      </c>
      <c r="H397" s="1" t="str">
        <f>TEXT(tblActuals[[#This Row],[Date]],"mmm")</f>
        <v>May</v>
      </c>
    </row>
    <row r="398" spans="1:8" x14ac:dyDescent="0.25">
      <c r="A398" s="2">
        <v>45782</v>
      </c>
      <c r="B398" s="1" t="s">
        <v>5</v>
      </c>
      <c r="C398">
        <v>6210</v>
      </c>
      <c r="D398" s="1" t="s">
        <v>29</v>
      </c>
      <c r="E398" s="1" t="s">
        <v>38</v>
      </c>
      <c r="F398">
        <v>5324</v>
      </c>
      <c r="G398" s="1" t="str">
        <f>_xlfn.XLOOKUP(tblActuals[[#This Row],[GL Account]],tblGLMap[GL Account],tblGLMap[Cost Category])</f>
        <v>Utilities</v>
      </c>
      <c r="H398" s="1" t="str">
        <f>TEXT(tblActuals[[#This Row],[Date]],"mmm")</f>
        <v>May</v>
      </c>
    </row>
    <row r="399" spans="1:8" x14ac:dyDescent="0.25">
      <c r="A399" s="2">
        <v>45783</v>
      </c>
      <c r="B399" s="1" t="s">
        <v>5</v>
      </c>
      <c r="C399">
        <v>6210</v>
      </c>
      <c r="D399" s="1" t="s">
        <v>32</v>
      </c>
      <c r="E399" s="1" t="s">
        <v>38</v>
      </c>
      <c r="F399">
        <v>11740</v>
      </c>
      <c r="G399" s="1" t="str">
        <f>_xlfn.XLOOKUP(tblActuals[[#This Row],[GL Account]],tblGLMap[GL Account],tblGLMap[Cost Category])</f>
        <v>Utilities</v>
      </c>
      <c r="H399" s="1" t="str">
        <f>TEXT(tblActuals[[#This Row],[Date]],"mmm")</f>
        <v>May</v>
      </c>
    </row>
    <row r="400" spans="1:8" x14ac:dyDescent="0.25">
      <c r="A400" s="2">
        <v>45784</v>
      </c>
      <c r="B400" s="1" t="s">
        <v>5</v>
      </c>
      <c r="C400">
        <v>6210</v>
      </c>
      <c r="D400" s="1" t="s">
        <v>39</v>
      </c>
      <c r="E400" s="1" t="s">
        <v>38</v>
      </c>
      <c r="F400">
        <v>4741</v>
      </c>
      <c r="G400" s="1" t="str">
        <f>_xlfn.XLOOKUP(tblActuals[[#This Row],[GL Account]],tblGLMap[GL Account],tblGLMap[Cost Category])</f>
        <v>Utilities</v>
      </c>
      <c r="H400" s="1" t="str">
        <f>TEXT(tblActuals[[#This Row],[Date]],"mmm")</f>
        <v>May</v>
      </c>
    </row>
    <row r="401" spans="1:8" x14ac:dyDescent="0.25">
      <c r="A401" s="2">
        <v>45782</v>
      </c>
      <c r="B401" s="1" t="s">
        <v>5</v>
      </c>
      <c r="C401">
        <v>6220</v>
      </c>
      <c r="D401" s="1" t="s">
        <v>32</v>
      </c>
      <c r="E401" s="1" t="s">
        <v>40</v>
      </c>
      <c r="F401">
        <v>3380</v>
      </c>
      <c r="G401" s="1" t="str">
        <f>_xlfn.XLOOKUP(tblActuals[[#This Row],[GL Account]],tblGLMap[GL Account],tblGLMap[Cost Category])</f>
        <v>Utilities</v>
      </c>
      <c r="H401" s="1" t="str">
        <f>TEXT(tblActuals[[#This Row],[Date]],"mmm")</f>
        <v>May</v>
      </c>
    </row>
    <row r="402" spans="1:8" x14ac:dyDescent="0.25">
      <c r="A402" s="2">
        <v>45783</v>
      </c>
      <c r="B402" s="1" t="s">
        <v>5</v>
      </c>
      <c r="C402">
        <v>6220</v>
      </c>
      <c r="D402" s="1" t="s">
        <v>35</v>
      </c>
      <c r="E402" s="1" t="s">
        <v>40</v>
      </c>
      <c r="F402">
        <v>5183</v>
      </c>
      <c r="G402" s="1" t="str">
        <f>_xlfn.XLOOKUP(tblActuals[[#This Row],[GL Account]],tblGLMap[GL Account],tblGLMap[Cost Category])</f>
        <v>Utilities</v>
      </c>
      <c r="H402" s="1" t="str">
        <f>TEXT(tblActuals[[#This Row],[Date]],"mmm")</f>
        <v>May</v>
      </c>
    </row>
    <row r="403" spans="1:8" x14ac:dyDescent="0.25">
      <c r="A403" s="2">
        <v>45784</v>
      </c>
      <c r="B403" s="1" t="s">
        <v>5</v>
      </c>
      <c r="C403">
        <v>6220</v>
      </c>
      <c r="D403" s="1" t="s">
        <v>29</v>
      </c>
      <c r="E403" s="1" t="s">
        <v>40</v>
      </c>
      <c r="F403">
        <v>3941</v>
      </c>
      <c r="G403" s="1" t="str">
        <f>_xlfn.XLOOKUP(tblActuals[[#This Row],[GL Account]],tblGLMap[GL Account],tblGLMap[Cost Category])</f>
        <v>Utilities</v>
      </c>
      <c r="H403" s="1" t="str">
        <f>TEXT(tblActuals[[#This Row],[Date]],"mmm")</f>
        <v>May</v>
      </c>
    </row>
    <row r="404" spans="1:8" x14ac:dyDescent="0.25">
      <c r="A404" s="2">
        <v>45782</v>
      </c>
      <c r="B404" s="1" t="s">
        <v>5</v>
      </c>
      <c r="C404">
        <v>6310</v>
      </c>
      <c r="D404" s="1" t="s">
        <v>31</v>
      </c>
      <c r="E404" s="1" t="s">
        <v>41</v>
      </c>
      <c r="F404">
        <v>3830</v>
      </c>
      <c r="G404" s="1" t="str">
        <f>_xlfn.XLOOKUP(tblActuals[[#This Row],[GL Account]],tblGLMap[GL Account],tblGLMap[Cost Category])</f>
        <v>Maintenance &amp; Repairs</v>
      </c>
      <c r="H404" s="1" t="str">
        <f>TEXT(tblActuals[[#This Row],[Date]],"mmm")</f>
        <v>May</v>
      </c>
    </row>
    <row r="405" spans="1:8" x14ac:dyDescent="0.25">
      <c r="A405" s="2">
        <v>45783</v>
      </c>
      <c r="B405" s="1" t="s">
        <v>5</v>
      </c>
      <c r="C405">
        <v>6310</v>
      </c>
      <c r="D405" s="1" t="s">
        <v>34</v>
      </c>
      <c r="E405" s="1" t="s">
        <v>41</v>
      </c>
      <c r="F405">
        <v>2477</v>
      </c>
      <c r="G405" s="1" t="str">
        <f>_xlfn.XLOOKUP(tblActuals[[#This Row],[GL Account]],tblGLMap[GL Account],tblGLMap[Cost Category])</f>
        <v>Maintenance &amp; Repairs</v>
      </c>
      <c r="H405" s="1" t="str">
        <f>TEXT(tblActuals[[#This Row],[Date]],"mmm")</f>
        <v>May</v>
      </c>
    </row>
    <row r="406" spans="1:8" x14ac:dyDescent="0.25">
      <c r="A406" s="2">
        <v>45784</v>
      </c>
      <c r="B406" s="1" t="s">
        <v>5</v>
      </c>
      <c r="C406">
        <v>6310</v>
      </c>
      <c r="D406" s="1" t="s">
        <v>32</v>
      </c>
      <c r="E406" s="1" t="s">
        <v>41</v>
      </c>
      <c r="F406">
        <v>6539</v>
      </c>
      <c r="G406" s="1" t="str">
        <f>_xlfn.XLOOKUP(tblActuals[[#This Row],[GL Account]],tblGLMap[GL Account],tblGLMap[Cost Category])</f>
        <v>Maintenance &amp; Repairs</v>
      </c>
      <c r="H406" s="1" t="str">
        <f>TEXT(tblActuals[[#This Row],[Date]],"mmm")</f>
        <v>May</v>
      </c>
    </row>
    <row r="407" spans="1:8" x14ac:dyDescent="0.25">
      <c r="A407" s="2">
        <v>45782</v>
      </c>
      <c r="B407" s="1" t="s">
        <v>5</v>
      </c>
      <c r="C407">
        <v>6320</v>
      </c>
      <c r="D407" s="1" t="s">
        <v>29</v>
      </c>
      <c r="E407" s="1" t="s">
        <v>42</v>
      </c>
      <c r="F407">
        <v>10825</v>
      </c>
      <c r="G407" s="1" t="str">
        <f>_xlfn.XLOOKUP(tblActuals[[#This Row],[GL Account]],tblGLMap[GL Account],tblGLMap[Cost Category])</f>
        <v>Maintenance &amp; Repairs</v>
      </c>
      <c r="H407" s="1" t="str">
        <f>TEXT(tblActuals[[#This Row],[Date]],"mmm")</f>
        <v>May</v>
      </c>
    </row>
    <row r="408" spans="1:8" x14ac:dyDescent="0.25">
      <c r="A408" s="2">
        <v>45783</v>
      </c>
      <c r="B408" s="1" t="s">
        <v>5</v>
      </c>
      <c r="C408">
        <v>6320</v>
      </c>
      <c r="D408" s="1" t="s">
        <v>31</v>
      </c>
      <c r="E408" s="1" t="s">
        <v>42</v>
      </c>
      <c r="F408">
        <v>8695</v>
      </c>
      <c r="G408" s="1" t="str">
        <f>_xlfn.XLOOKUP(tblActuals[[#This Row],[GL Account]],tblGLMap[GL Account],tblGLMap[Cost Category])</f>
        <v>Maintenance &amp; Repairs</v>
      </c>
      <c r="H408" s="1" t="str">
        <f>TEXT(tblActuals[[#This Row],[Date]],"mmm")</f>
        <v>May</v>
      </c>
    </row>
    <row r="409" spans="1:8" x14ac:dyDescent="0.25">
      <c r="A409" s="2">
        <v>45784</v>
      </c>
      <c r="B409" s="1" t="s">
        <v>5</v>
      </c>
      <c r="C409">
        <v>6320</v>
      </c>
      <c r="D409" s="1" t="s">
        <v>35</v>
      </c>
      <c r="E409" s="1" t="s">
        <v>42</v>
      </c>
      <c r="F409">
        <v>9179</v>
      </c>
      <c r="G409" s="1" t="str">
        <f>_xlfn.XLOOKUP(tblActuals[[#This Row],[GL Account]],tblGLMap[GL Account],tblGLMap[Cost Category])</f>
        <v>Maintenance &amp; Repairs</v>
      </c>
      <c r="H409" s="1" t="str">
        <f>TEXT(tblActuals[[#This Row],[Date]],"mmm")</f>
        <v>May</v>
      </c>
    </row>
    <row r="410" spans="1:8" x14ac:dyDescent="0.25">
      <c r="A410" s="2">
        <v>45782</v>
      </c>
      <c r="B410" s="1" t="s">
        <v>10</v>
      </c>
      <c r="C410">
        <v>6010</v>
      </c>
      <c r="D410" s="1" t="s">
        <v>35</v>
      </c>
      <c r="E410" s="1" t="s">
        <v>30</v>
      </c>
      <c r="F410">
        <v>6482</v>
      </c>
      <c r="G410" s="1" t="str">
        <f>_xlfn.XLOOKUP(tblActuals[[#This Row],[GL Account]],tblGLMap[GL Account],tblGLMap[Cost Category])</f>
        <v>Labor</v>
      </c>
      <c r="H410" s="1" t="str">
        <f>TEXT(tblActuals[[#This Row],[Date]],"mmm")</f>
        <v>May</v>
      </c>
    </row>
    <row r="411" spans="1:8" x14ac:dyDescent="0.25">
      <c r="A411" s="2">
        <v>45783</v>
      </c>
      <c r="B411" s="1" t="s">
        <v>10</v>
      </c>
      <c r="C411">
        <v>6010</v>
      </c>
      <c r="D411" s="1" t="s">
        <v>29</v>
      </c>
      <c r="E411" s="1" t="s">
        <v>30</v>
      </c>
      <c r="F411">
        <v>8094</v>
      </c>
      <c r="G411" s="1" t="str">
        <f>_xlfn.XLOOKUP(tblActuals[[#This Row],[GL Account]],tblGLMap[GL Account],tblGLMap[Cost Category])</f>
        <v>Labor</v>
      </c>
      <c r="H411" s="1" t="str">
        <f>TEXT(tblActuals[[#This Row],[Date]],"mmm")</f>
        <v>May</v>
      </c>
    </row>
    <row r="412" spans="1:8" x14ac:dyDescent="0.25">
      <c r="A412" s="2">
        <v>45784</v>
      </c>
      <c r="B412" s="1" t="s">
        <v>10</v>
      </c>
      <c r="C412">
        <v>6010</v>
      </c>
      <c r="D412" s="1" t="s">
        <v>32</v>
      </c>
      <c r="E412" s="1" t="s">
        <v>30</v>
      </c>
      <c r="F412">
        <v>9699</v>
      </c>
      <c r="G412" s="1" t="str">
        <f>_xlfn.XLOOKUP(tblActuals[[#This Row],[GL Account]],tblGLMap[GL Account],tblGLMap[Cost Category])</f>
        <v>Labor</v>
      </c>
      <c r="H412" s="1" t="str">
        <f>TEXT(tblActuals[[#This Row],[Date]],"mmm")</f>
        <v>May</v>
      </c>
    </row>
    <row r="413" spans="1:8" x14ac:dyDescent="0.25">
      <c r="A413" s="2">
        <v>45782</v>
      </c>
      <c r="B413" s="1" t="s">
        <v>10</v>
      </c>
      <c r="C413">
        <v>6020</v>
      </c>
      <c r="D413" s="1" t="s">
        <v>39</v>
      </c>
      <c r="E413" s="1" t="s">
        <v>33</v>
      </c>
      <c r="F413">
        <v>9590</v>
      </c>
      <c r="G413" s="1" t="str">
        <f>_xlfn.XLOOKUP(tblActuals[[#This Row],[GL Account]],tblGLMap[GL Account],tblGLMap[Cost Category])</f>
        <v>Labor</v>
      </c>
      <c r="H413" s="1" t="str">
        <f>TEXT(tblActuals[[#This Row],[Date]],"mmm")</f>
        <v>May</v>
      </c>
    </row>
    <row r="414" spans="1:8" x14ac:dyDescent="0.25">
      <c r="A414" s="2">
        <v>45783</v>
      </c>
      <c r="B414" s="1" t="s">
        <v>10</v>
      </c>
      <c r="C414">
        <v>6020</v>
      </c>
      <c r="D414" s="1" t="s">
        <v>32</v>
      </c>
      <c r="E414" s="1" t="s">
        <v>33</v>
      </c>
      <c r="F414">
        <v>2817</v>
      </c>
      <c r="G414" s="1" t="str">
        <f>_xlfn.XLOOKUP(tblActuals[[#This Row],[GL Account]],tblGLMap[GL Account],tblGLMap[Cost Category])</f>
        <v>Labor</v>
      </c>
      <c r="H414" s="1" t="str">
        <f>TEXT(tblActuals[[#This Row],[Date]],"mmm")</f>
        <v>May</v>
      </c>
    </row>
    <row r="415" spans="1:8" x14ac:dyDescent="0.25">
      <c r="A415" s="2">
        <v>45784</v>
      </c>
      <c r="B415" s="1" t="s">
        <v>10</v>
      </c>
      <c r="C415">
        <v>6020</v>
      </c>
      <c r="D415" s="1" t="s">
        <v>39</v>
      </c>
      <c r="E415" s="1" t="s">
        <v>33</v>
      </c>
      <c r="F415">
        <v>2153</v>
      </c>
      <c r="G415" s="1" t="str">
        <f>_xlfn.XLOOKUP(tblActuals[[#This Row],[GL Account]],tblGLMap[GL Account],tblGLMap[Cost Category])</f>
        <v>Labor</v>
      </c>
      <c r="H415" s="1" t="str">
        <f>TEXT(tblActuals[[#This Row],[Date]],"mmm")</f>
        <v>May</v>
      </c>
    </row>
    <row r="416" spans="1:8" x14ac:dyDescent="0.25">
      <c r="A416" s="2">
        <v>45782</v>
      </c>
      <c r="B416" s="1" t="s">
        <v>10</v>
      </c>
      <c r="C416">
        <v>6110</v>
      </c>
      <c r="D416" s="1" t="s">
        <v>32</v>
      </c>
      <c r="E416" s="1" t="s">
        <v>36</v>
      </c>
      <c r="F416">
        <v>6780</v>
      </c>
      <c r="G416" s="1" t="str">
        <f>_xlfn.XLOOKUP(tblActuals[[#This Row],[GL Account]],tblGLMap[GL Account],tblGLMap[Cost Category])</f>
        <v>Supplies &amp; Inventory</v>
      </c>
      <c r="H416" s="1" t="str">
        <f>TEXT(tblActuals[[#This Row],[Date]],"mmm")</f>
        <v>May</v>
      </c>
    </row>
    <row r="417" spans="1:8" x14ac:dyDescent="0.25">
      <c r="A417" s="2">
        <v>45783</v>
      </c>
      <c r="B417" s="1" t="s">
        <v>10</v>
      </c>
      <c r="C417">
        <v>6110</v>
      </c>
      <c r="D417" s="1" t="s">
        <v>31</v>
      </c>
      <c r="E417" s="1" t="s">
        <v>36</v>
      </c>
      <c r="F417">
        <v>5602</v>
      </c>
      <c r="G417" s="1" t="str">
        <f>_xlfn.XLOOKUP(tblActuals[[#This Row],[GL Account]],tblGLMap[GL Account],tblGLMap[Cost Category])</f>
        <v>Supplies &amp; Inventory</v>
      </c>
      <c r="H417" s="1" t="str">
        <f>TEXT(tblActuals[[#This Row],[Date]],"mmm")</f>
        <v>May</v>
      </c>
    </row>
    <row r="418" spans="1:8" x14ac:dyDescent="0.25">
      <c r="A418" s="2">
        <v>45784</v>
      </c>
      <c r="B418" s="1" t="s">
        <v>10</v>
      </c>
      <c r="C418">
        <v>6110</v>
      </c>
      <c r="D418" s="1" t="s">
        <v>34</v>
      </c>
      <c r="E418" s="1" t="s">
        <v>36</v>
      </c>
      <c r="F418">
        <v>2996</v>
      </c>
      <c r="G418" s="1" t="str">
        <f>_xlfn.XLOOKUP(tblActuals[[#This Row],[GL Account]],tblGLMap[GL Account],tblGLMap[Cost Category])</f>
        <v>Supplies &amp; Inventory</v>
      </c>
      <c r="H418" s="1" t="str">
        <f>TEXT(tblActuals[[#This Row],[Date]],"mmm")</f>
        <v>May</v>
      </c>
    </row>
    <row r="419" spans="1:8" x14ac:dyDescent="0.25">
      <c r="A419" s="2">
        <v>45782</v>
      </c>
      <c r="B419" s="1" t="s">
        <v>10</v>
      </c>
      <c r="C419">
        <v>6120</v>
      </c>
      <c r="D419" s="1" t="s">
        <v>32</v>
      </c>
      <c r="E419" s="1" t="s">
        <v>37</v>
      </c>
      <c r="F419">
        <v>10924</v>
      </c>
      <c r="G419" s="1" t="str">
        <f>_xlfn.XLOOKUP(tblActuals[[#This Row],[GL Account]],tblGLMap[GL Account],tblGLMap[Cost Category])</f>
        <v>Supplies &amp; Inventory</v>
      </c>
      <c r="H419" s="1" t="str">
        <f>TEXT(tblActuals[[#This Row],[Date]],"mmm")</f>
        <v>May</v>
      </c>
    </row>
    <row r="420" spans="1:8" x14ac:dyDescent="0.25">
      <c r="A420" s="2">
        <v>45783</v>
      </c>
      <c r="B420" s="1" t="s">
        <v>10</v>
      </c>
      <c r="C420">
        <v>6120</v>
      </c>
      <c r="D420" s="1" t="s">
        <v>35</v>
      </c>
      <c r="E420" s="1" t="s">
        <v>37</v>
      </c>
      <c r="F420">
        <v>1839</v>
      </c>
      <c r="G420" s="1" t="str">
        <f>_xlfn.XLOOKUP(tblActuals[[#This Row],[GL Account]],tblGLMap[GL Account],tblGLMap[Cost Category])</f>
        <v>Supplies &amp; Inventory</v>
      </c>
      <c r="H420" s="1" t="str">
        <f>TEXT(tblActuals[[#This Row],[Date]],"mmm")</f>
        <v>May</v>
      </c>
    </row>
    <row r="421" spans="1:8" x14ac:dyDescent="0.25">
      <c r="A421" s="2">
        <v>45784</v>
      </c>
      <c r="B421" s="1" t="s">
        <v>10</v>
      </c>
      <c r="C421">
        <v>6120</v>
      </c>
      <c r="D421" s="1" t="s">
        <v>32</v>
      </c>
      <c r="E421" s="1" t="s">
        <v>37</v>
      </c>
      <c r="F421">
        <v>5915</v>
      </c>
      <c r="G421" s="1" t="str">
        <f>_xlfn.XLOOKUP(tblActuals[[#This Row],[GL Account]],tblGLMap[GL Account],tblGLMap[Cost Category])</f>
        <v>Supplies &amp; Inventory</v>
      </c>
      <c r="H421" s="1" t="str">
        <f>TEXT(tblActuals[[#This Row],[Date]],"mmm")</f>
        <v>May</v>
      </c>
    </row>
    <row r="422" spans="1:8" x14ac:dyDescent="0.25">
      <c r="A422" s="2">
        <v>45782</v>
      </c>
      <c r="B422" s="1" t="s">
        <v>10</v>
      </c>
      <c r="C422">
        <v>6210</v>
      </c>
      <c r="D422" s="1" t="s">
        <v>34</v>
      </c>
      <c r="E422" s="1" t="s">
        <v>38</v>
      </c>
      <c r="F422">
        <v>2159</v>
      </c>
      <c r="G422" s="1" t="str">
        <f>_xlfn.XLOOKUP(tblActuals[[#This Row],[GL Account]],tblGLMap[GL Account],tblGLMap[Cost Category])</f>
        <v>Utilities</v>
      </c>
      <c r="H422" s="1" t="str">
        <f>TEXT(tblActuals[[#This Row],[Date]],"mmm")</f>
        <v>May</v>
      </c>
    </row>
    <row r="423" spans="1:8" x14ac:dyDescent="0.25">
      <c r="A423" s="2">
        <v>45783</v>
      </c>
      <c r="B423" s="1" t="s">
        <v>10</v>
      </c>
      <c r="C423">
        <v>6210</v>
      </c>
      <c r="D423" s="1" t="s">
        <v>32</v>
      </c>
      <c r="E423" s="1" t="s">
        <v>38</v>
      </c>
      <c r="F423">
        <v>9208</v>
      </c>
      <c r="G423" s="1" t="str">
        <f>_xlfn.XLOOKUP(tblActuals[[#This Row],[GL Account]],tblGLMap[GL Account],tblGLMap[Cost Category])</f>
        <v>Utilities</v>
      </c>
      <c r="H423" s="1" t="str">
        <f>TEXT(tblActuals[[#This Row],[Date]],"mmm")</f>
        <v>May</v>
      </c>
    </row>
    <row r="424" spans="1:8" x14ac:dyDescent="0.25">
      <c r="A424" s="2">
        <v>45784</v>
      </c>
      <c r="B424" s="1" t="s">
        <v>10</v>
      </c>
      <c r="C424">
        <v>6210</v>
      </c>
      <c r="D424" s="1" t="s">
        <v>29</v>
      </c>
      <c r="E424" s="1" t="s">
        <v>38</v>
      </c>
      <c r="F424">
        <v>8745</v>
      </c>
      <c r="G424" s="1" t="str">
        <f>_xlfn.XLOOKUP(tblActuals[[#This Row],[GL Account]],tblGLMap[GL Account],tblGLMap[Cost Category])</f>
        <v>Utilities</v>
      </c>
      <c r="H424" s="1" t="str">
        <f>TEXT(tblActuals[[#This Row],[Date]],"mmm")</f>
        <v>May</v>
      </c>
    </row>
    <row r="425" spans="1:8" x14ac:dyDescent="0.25">
      <c r="A425" s="2">
        <v>45782</v>
      </c>
      <c r="B425" s="1" t="s">
        <v>10</v>
      </c>
      <c r="C425">
        <v>6220</v>
      </c>
      <c r="D425" s="1" t="s">
        <v>32</v>
      </c>
      <c r="E425" s="1" t="s">
        <v>40</v>
      </c>
      <c r="F425">
        <v>4473</v>
      </c>
      <c r="G425" s="1" t="str">
        <f>_xlfn.XLOOKUP(tblActuals[[#This Row],[GL Account]],tblGLMap[GL Account],tblGLMap[Cost Category])</f>
        <v>Utilities</v>
      </c>
      <c r="H425" s="1" t="str">
        <f>TEXT(tblActuals[[#This Row],[Date]],"mmm")</f>
        <v>May</v>
      </c>
    </row>
    <row r="426" spans="1:8" x14ac:dyDescent="0.25">
      <c r="A426" s="2">
        <v>45783</v>
      </c>
      <c r="B426" s="1" t="s">
        <v>10</v>
      </c>
      <c r="C426">
        <v>6220</v>
      </c>
      <c r="D426" s="1" t="s">
        <v>35</v>
      </c>
      <c r="E426" s="1" t="s">
        <v>40</v>
      </c>
      <c r="F426">
        <v>8641</v>
      </c>
      <c r="G426" s="1" t="str">
        <f>_xlfn.XLOOKUP(tblActuals[[#This Row],[GL Account]],tblGLMap[GL Account],tblGLMap[Cost Category])</f>
        <v>Utilities</v>
      </c>
      <c r="H426" s="1" t="str">
        <f>TEXT(tblActuals[[#This Row],[Date]],"mmm")</f>
        <v>May</v>
      </c>
    </row>
    <row r="427" spans="1:8" x14ac:dyDescent="0.25">
      <c r="A427" s="2">
        <v>45784</v>
      </c>
      <c r="B427" s="1" t="s">
        <v>10</v>
      </c>
      <c r="C427">
        <v>6220</v>
      </c>
      <c r="D427" s="1" t="s">
        <v>31</v>
      </c>
      <c r="E427" s="1" t="s">
        <v>40</v>
      </c>
      <c r="F427">
        <v>9556</v>
      </c>
      <c r="G427" s="1" t="str">
        <f>_xlfn.XLOOKUP(tblActuals[[#This Row],[GL Account]],tblGLMap[GL Account],tblGLMap[Cost Category])</f>
        <v>Utilities</v>
      </c>
      <c r="H427" s="1" t="str">
        <f>TEXT(tblActuals[[#This Row],[Date]],"mmm")</f>
        <v>May</v>
      </c>
    </row>
    <row r="428" spans="1:8" x14ac:dyDescent="0.25">
      <c r="A428" s="2">
        <v>45782</v>
      </c>
      <c r="B428" s="1" t="s">
        <v>10</v>
      </c>
      <c r="C428">
        <v>6310</v>
      </c>
      <c r="D428" s="1" t="s">
        <v>29</v>
      </c>
      <c r="E428" s="1" t="s">
        <v>41</v>
      </c>
      <c r="F428">
        <v>9200</v>
      </c>
      <c r="G428" s="1" t="str">
        <f>_xlfn.XLOOKUP(tblActuals[[#This Row],[GL Account]],tblGLMap[GL Account],tblGLMap[Cost Category])</f>
        <v>Maintenance &amp; Repairs</v>
      </c>
      <c r="H428" s="1" t="str">
        <f>TEXT(tblActuals[[#This Row],[Date]],"mmm")</f>
        <v>May</v>
      </c>
    </row>
    <row r="429" spans="1:8" x14ac:dyDescent="0.25">
      <c r="A429" s="2">
        <v>45783</v>
      </c>
      <c r="B429" s="1" t="s">
        <v>10</v>
      </c>
      <c r="C429">
        <v>6310</v>
      </c>
      <c r="D429" s="1" t="s">
        <v>29</v>
      </c>
      <c r="E429" s="1" t="s">
        <v>41</v>
      </c>
      <c r="F429">
        <v>8190</v>
      </c>
      <c r="G429" s="1" t="str">
        <f>_xlfn.XLOOKUP(tblActuals[[#This Row],[GL Account]],tblGLMap[GL Account],tblGLMap[Cost Category])</f>
        <v>Maintenance &amp; Repairs</v>
      </c>
      <c r="H429" s="1" t="str">
        <f>TEXT(tblActuals[[#This Row],[Date]],"mmm")</f>
        <v>May</v>
      </c>
    </row>
    <row r="430" spans="1:8" x14ac:dyDescent="0.25">
      <c r="A430" s="2">
        <v>45784</v>
      </c>
      <c r="B430" s="1" t="s">
        <v>10</v>
      </c>
      <c r="C430">
        <v>6310</v>
      </c>
      <c r="D430" s="1" t="s">
        <v>35</v>
      </c>
      <c r="E430" s="1" t="s">
        <v>41</v>
      </c>
      <c r="F430">
        <v>6760</v>
      </c>
      <c r="G430" s="1" t="str">
        <f>_xlfn.XLOOKUP(tblActuals[[#This Row],[GL Account]],tblGLMap[GL Account],tblGLMap[Cost Category])</f>
        <v>Maintenance &amp; Repairs</v>
      </c>
      <c r="H430" s="1" t="str">
        <f>TEXT(tblActuals[[#This Row],[Date]],"mmm")</f>
        <v>May</v>
      </c>
    </row>
    <row r="431" spans="1:8" x14ac:dyDescent="0.25">
      <c r="A431" s="2">
        <v>45782</v>
      </c>
      <c r="B431" s="1" t="s">
        <v>10</v>
      </c>
      <c r="C431">
        <v>6320</v>
      </c>
      <c r="D431" s="1" t="s">
        <v>34</v>
      </c>
      <c r="E431" s="1" t="s">
        <v>42</v>
      </c>
      <c r="F431">
        <v>3213</v>
      </c>
      <c r="G431" s="1" t="str">
        <f>_xlfn.XLOOKUP(tblActuals[[#This Row],[GL Account]],tblGLMap[GL Account],tblGLMap[Cost Category])</f>
        <v>Maintenance &amp; Repairs</v>
      </c>
      <c r="H431" s="1" t="str">
        <f>TEXT(tblActuals[[#This Row],[Date]],"mmm")</f>
        <v>May</v>
      </c>
    </row>
    <row r="432" spans="1:8" x14ac:dyDescent="0.25">
      <c r="A432" s="2">
        <v>45783</v>
      </c>
      <c r="B432" s="1" t="s">
        <v>10</v>
      </c>
      <c r="C432">
        <v>6320</v>
      </c>
      <c r="D432" s="1" t="s">
        <v>39</v>
      </c>
      <c r="E432" s="1" t="s">
        <v>42</v>
      </c>
      <c r="F432">
        <v>6903</v>
      </c>
      <c r="G432" s="1" t="str">
        <f>_xlfn.XLOOKUP(tblActuals[[#This Row],[GL Account]],tblGLMap[GL Account],tblGLMap[Cost Category])</f>
        <v>Maintenance &amp; Repairs</v>
      </c>
      <c r="H432" s="1" t="str">
        <f>TEXT(tblActuals[[#This Row],[Date]],"mmm")</f>
        <v>May</v>
      </c>
    </row>
    <row r="433" spans="1:8" x14ac:dyDescent="0.25">
      <c r="A433" s="2">
        <v>45784</v>
      </c>
      <c r="B433" s="1" t="s">
        <v>10</v>
      </c>
      <c r="C433">
        <v>6320</v>
      </c>
      <c r="D433" s="1" t="s">
        <v>29</v>
      </c>
      <c r="E433" s="1" t="s">
        <v>42</v>
      </c>
      <c r="F433">
        <v>9617</v>
      </c>
      <c r="G433" s="1" t="str">
        <f>_xlfn.XLOOKUP(tblActuals[[#This Row],[GL Account]],tblGLMap[GL Account],tblGLMap[Cost Category])</f>
        <v>Maintenance &amp; Repairs</v>
      </c>
      <c r="H433" s="1" t="str">
        <f>TEXT(tblActuals[[#This Row],[Date]],"mmm")</f>
        <v>May</v>
      </c>
    </row>
    <row r="434" spans="1:8" x14ac:dyDescent="0.25">
      <c r="A434" s="2">
        <v>45782</v>
      </c>
      <c r="B434" s="1" t="s">
        <v>11</v>
      </c>
      <c r="C434">
        <v>6010</v>
      </c>
      <c r="D434" s="1" t="s">
        <v>32</v>
      </c>
      <c r="E434" s="1" t="s">
        <v>30</v>
      </c>
      <c r="F434">
        <v>8061</v>
      </c>
      <c r="G434" s="1" t="str">
        <f>_xlfn.XLOOKUP(tblActuals[[#This Row],[GL Account]],tblGLMap[GL Account],tblGLMap[Cost Category])</f>
        <v>Labor</v>
      </c>
      <c r="H434" s="1" t="str">
        <f>TEXT(tblActuals[[#This Row],[Date]],"mmm")</f>
        <v>May</v>
      </c>
    </row>
    <row r="435" spans="1:8" x14ac:dyDescent="0.25">
      <c r="A435" s="2">
        <v>45783</v>
      </c>
      <c r="B435" s="1" t="s">
        <v>11</v>
      </c>
      <c r="C435">
        <v>6010</v>
      </c>
      <c r="D435" s="1" t="s">
        <v>39</v>
      </c>
      <c r="E435" s="1" t="s">
        <v>30</v>
      </c>
      <c r="F435">
        <v>2101</v>
      </c>
      <c r="G435" s="1" t="str">
        <f>_xlfn.XLOOKUP(tblActuals[[#This Row],[GL Account]],tblGLMap[GL Account],tblGLMap[Cost Category])</f>
        <v>Labor</v>
      </c>
      <c r="H435" s="1" t="str">
        <f>TEXT(tblActuals[[#This Row],[Date]],"mmm")</f>
        <v>May</v>
      </c>
    </row>
    <row r="436" spans="1:8" x14ac:dyDescent="0.25">
      <c r="A436" s="2">
        <v>45784</v>
      </c>
      <c r="B436" s="1" t="s">
        <v>11</v>
      </c>
      <c r="C436">
        <v>6010</v>
      </c>
      <c r="D436" s="1" t="s">
        <v>29</v>
      </c>
      <c r="E436" s="1" t="s">
        <v>30</v>
      </c>
      <c r="F436">
        <v>2942</v>
      </c>
      <c r="G436" s="1" t="str">
        <f>_xlfn.XLOOKUP(tblActuals[[#This Row],[GL Account]],tblGLMap[GL Account],tblGLMap[Cost Category])</f>
        <v>Labor</v>
      </c>
      <c r="H436" s="1" t="str">
        <f>TEXT(tblActuals[[#This Row],[Date]],"mmm")</f>
        <v>May</v>
      </c>
    </row>
    <row r="437" spans="1:8" x14ac:dyDescent="0.25">
      <c r="A437" s="2">
        <v>45782</v>
      </c>
      <c r="B437" s="1" t="s">
        <v>11</v>
      </c>
      <c r="C437">
        <v>6020</v>
      </c>
      <c r="D437" s="1" t="s">
        <v>29</v>
      </c>
      <c r="E437" s="1" t="s">
        <v>33</v>
      </c>
      <c r="F437">
        <v>5635</v>
      </c>
      <c r="G437" s="1" t="str">
        <f>_xlfn.XLOOKUP(tblActuals[[#This Row],[GL Account]],tblGLMap[GL Account],tblGLMap[Cost Category])</f>
        <v>Labor</v>
      </c>
      <c r="H437" s="1" t="str">
        <f>TEXT(tblActuals[[#This Row],[Date]],"mmm")</f>
        <v>May</v>
      </c>
    </row>
    <row r="438" spans="1:8" x14ac:dyDescent="0.25">
      <c r="A438" s="2">
        <v>45783</v>
      </c>
      <c r="B438" s="1" t="s">
        <v>11</v>
      </c>
      <c r="C438">
        <v>6020</v>
      </c>
      <c r="D438" s="1" t="s">
        <v>39</v>
      </c>
      <c r="E438" s="1" t="s">
        <v>33</v>
      </c>
      <c r="F438">
        <v>3399</v>
      </c>
      <c r="G438" s="1" t="str">
        <f>_xlfn.XLOOKUP(tblActuals[[#This Row],[GL Account]],tblGLMap[GL Account],tblGLMap[Cost Category])</f>
        <v>Labor</v>
      </c>
      <c r="H438" s="1" t="str">
        <f>TEXT(tblActuals[[#This Row],[Date]],"mmm")</f>
        <v>May</v>
      </c>
    </row>
    <row r="439" spans="1:8" x14ac:dyDescent="0.25">
      <c r="A439" s="2">
        <v>45784</v>
      </c>
      <c r="B439" s="1" t="s">
        <v>11</v>
      </c>
      <c r="C439">
        <v>6020</v>
      </c>
      <c r="D439" s="1" t="s">
        <v>31</v>
      </c>
      <c r="E439" s="1" t="s">
        <v>33</v>
      </c>
      <c r="F439">
        <v>9931</v>
      </c>
      <c r="G439" s="1" t="str">
        <f>_xlfn.XLOOKUP(tblActuals[[#This Row],[GL Account]],tblGLMap[GL Account],tblGLMap[Cost Category])</f>
        <v>Labor</v>
      </c>
      <c r="H439" s="1" t="str">
        <f>TEXT(tblActuals[[#This Row],[Date]],"mmm")</f>
        <v>May</v>
      </c>
    </row>
    <row r="440" spans="1:8" x14ac:dyDescent="0.25">
      <c r="A440" s="2">
        <v>45782</v>
      </c>
      <c r="B440" s="1" t="s">
        <v>11</v>
      </c>
      <c r="C440">
        <v>6110</v>
      </c>
      <c r="D440" s="1" t="s">
        <v>39</v>
      </c>
      <c r="E440" s="1" t="s">
        <v>36</v>
      </c>
      <c r="F440">
        <v>10389</v>
      </c>
      <c r="G440" s="1" t="str">
        <f>_xlfn.XLOOKUP(tblActuals[[#This Row],[GL Account]],tblGLMap[GL Account],tblGLMap[Cost Category])</f>
        <v>Supplies &amp; Inventory</v>
      </c>
      <c r="H440" s="1" t="str">
        <f>TEXT(tblActuals[[#This Row],[Date]],"mmm")</f>
        <v>May</v>
      </c>
    </row>
    <row r="441" spans="1:8" x14ac:dyDescent="0.25">
      <c r="A441" s="2">
        <v>45783</v>
      </c>
      <c r="B441" s="1" t="s">
        <v>11</v>
      </c>
      <c r="C441">
        <v>6110</v>
      </c>
      <c r="D441" s="1" t="s">
        <v>31</v>
      </c>
      <c r="E441" s="1" t="s">
        <v>36</v>
      </c>
      <c r="F441">
        <v>8270</v>
      </c>
      <c r="G441" s="1" t="str">
        <f>_xlfn.XLOOKUP(tblActuals[[#This Row],[GL Account]],tblGLMap[GL Account],tblGLMap[Cost Category])</f>
        <v>Supplies &amp; Inventory</v>
      </c>
      <c r="H441" s="1" t="str">
        <f>TEXT(tblActuals[[#This Row],[Date]],"mmm")</f>
        <v>May</v>
      </c>
    </row>
    <row r="442" spans="1:8" x14ac:dyDescent="0.25">
      <c r="A442" s="2">
        <v>45784</v>
      </c>
      <c r="B442" s="1" t="s">
        <v>11</v>
      </c>
      <c r="C442">
        <v>6110</v>
      </c>
      <c r="D442" s="1" t="s">
        <v>32</v>
      </c>
      <c r="E442" s="1" t="s">
        <v>36</v>
      </c>
      <c r="F442">
        <v>4573</v>
      </c>
      <c r="G442" s="1" t="str">
        <f>_xlfn.XLOOKUP(tblActuals[[#This Row],[GL Account]],tblGLMap[GL Account],tblGLMap[Cost Category])</f>
        <v>Supplies &amp; Inventory</v>
      </c>
      <c r="H442" s="1" t="str">
        <f>TEXT(tblActuals[[#This Row],[Date]],"mmm")</f>
        <v>May</v>
      </c>
    </row>
    <row r="443" spans="1:8" x14ac:dyDescent="0.25">
      <c r="A443" s="2">
        <v>45782</v>
      </c>
      <c r="B443" s="1" t="s">
        <v>11</v>
      </c>
      <c r="C443">
        <v>6120</v>
      </c>
      <c r="D443" s="1" t="s">
        <v>32</v>
      </c>
      <c r="E443" s="1" t="s">
        <v>37</v>
      </c>
      <c r="F443">
        <v>7427</v>
      </c>
      <c r="G443" s="1" t="str">
        <f>_xlfn.XLOOKUP(tblActuals[[#This Row],[GL Account]],tblGLMap[GL Account],tblGLMap[Cost Category])</f>
        <v>Supplies &amp; Inventory</v>
      </c>
      <c r="H443" s="1" t="str">
        <f>TEXT(tblActuals[[#This Row],[Date]],"mmm")</f>
        <v>May</v>
      </c>
    </row>
    <row r="444" spans="1:8" x14ac:dyDescent="0.25">
      <c r="A444" s="2">
        <v>45783</v>
      </c>
      <c r="B444" s="1" t="s">
        <v>11</v>
      </c>
      <c r="C444">
        <v>6120</v>
      </c>
      <c r="D444" s="1" t="s">
        <v>35</v>
      </c>
      <c r="E444" s="1" t="s">
        <v>37</v>
      </c>
      <c r="F444">
        <v>9667</v>
      </c>
      <c r="G444" s="1" t="str">
        <f>_xlfn.XLOOKUP(tblActuals[[#This Row],[GL Account]],tblGLMap[GL Account],tblGLMap[Cost Category])</f>
        <v>Supplies &amp; Inventory</v>
      </c>
      <c r="H444" s="1" t="str">
        <f>TEXT(tblActuals[[#This Row],[Date]],"mmm")</f>
        <v>May</v>
      </c>
    </row>
    <row r="445" spans="1:8" x14ac:dyDescent="0.25">
      <c r="A445" s="2">
        <v>45784</v>
      </c>
      <c r="B445" s="1" t="s">
        <v>11</v>
      </c>
      <c r="C445">
        <v>6120</v>
      </c>
      <c r="D445" s="1" t="s">
        <v>31</v>
      </c>
      <c r="E445" s="1" t="s">
        <v>37</v>
      </c>
      <c r="F445">
        <v>8742</v>
      </c>
      <c r="G445" s="1" t="str">
        <f>_xlfn.XLOOKUP(tblActuals[[#This Row],[GL Account]],tblGLMap[GL Account],tblGLMap[Cost Category])</f>
        <v>Supplies &amp; Inventory</v>
      </c>
      <c r="H445" s="1" t="str">
        <f>TEXT(tblActuals[[#This Row],[Date]],"mmm")</f>
        <v>May</v>
      </c>
    </row>
    <row r="446" spans="1:8" x14ac:dyDescent="0.25">
      <c r="A446" s="2">
        <v>45782</v>
      </c>
      <c r="B446" s="1" t="s">
        <v>11</v>
      </c>
      <c r="C446">
        <v>6210</v>
      </c>
      <c r="D446" s="1" t="s">
        <v>29</v>
      </c>
      <c r="E446" s="1" t="s">
        <v>38</v>
      </c>
      <c r="F446">
        <v>4835</v>
      </c>
      <c r="G446" s="1" t="str">
        <f>_xlfn.XLOOKUP(tblActuals[[#This Row],[GL Account]],tblGLMap[GL Account],tblGLMap[Cost Category])</f>
        <v>Utilities</v>
      </c>
      <c r="H446" s="1" t="str">
        <f>TEXT(tblActuals[[#This Row],[Date]],"mmm")</f>
        <v>May</v>
      </c>
    </row>
    <row r="447" spans="1:8" x14ac:dyDescent="0.25">
      <c r="A447" s="2">
        <v>45783</v>
      </c>
      <c r="B447" s="1" t="s">
        <v>11</v>
      </c>
      <c r="C447">
        <v>6210</v>
      </c>
      <c r="D447" s="1" t="s">
        <v>34</v>
      </c>
      <c r="E447" s="1" t="s">
        <v>38</v>
      </c>
      <c r="F447">
        <v>10498</v>
      </c>
      <c r="G447" s="1" t="str">
        <f>_xlfn.XLOOKUP(tblActuals[[#This Row],[GL Account]],tblGLMap[GL Account],tblGLMap[Cost Category])</f>
        <v>Utilities</v>
      </c>
      <c r="H447" s="1" t="str">
        <f>TEXT(tblActuals[[#This Row],[Date]],"mmm")</f>
        <v>May</v>
      </c>
    </row>
    <row r="448" spans="1:8" x14ac:dyDescent="0.25">
      <c r="A448" s="2">
        <v>45784</v>
      </c>
      <c r="B448" s="1" t="s">
        <v>11</v>
      </c>
      <c r="C448">
        <v>6210</v>
      </c>
      <c r="D448" s="1" t="s">
        <v>39</v>
      </c>
      <c r="E448" s="1" t="s">
        <v>38</v>
      </c>
      <c r="F448">
        <v>6219</v>
      </c>
      <c r="G448" s="1" t="str">
        <f>_xlfn.XLOOKUP(tblActuals[[#This Row],[GL Account]],tblGLMap[GL Account],tblGLMap[Cost Category])</f>
        <v>Utilities</v>
      </c>
      <c r="H448" s="1" t="str">
        <f>TEXT(tblActuals[[#This Row],[Date]],"mmm")</f>
        <v>May</v>
      </c>
    </row>
    <row r="449" spans="1:8" x14ac:dyDescent="0.25">
      <c r="A449" s="2">
        <v>45782</v>
      </c>
      <c r="B449" s="1" t="s">
        <v>11</v>
      </c>
      <c r="C449">
        <v>6220</v>
      </c>
      <c r="D449" s="1" t="s">
        <v>31</v>
      </c>
      <c r="E449" s="1" t="s">
        <v>40</v>
      </c>
      <c r="F449">
        <v>9441</v>
      </c>
      <c r="G449" s="1" t="str">
        <f>_xlfn.XLOOKUP(tblActuals[[#This Row],[GL Account]],tblGLMap[GL Account],tblGLMap[Cost Category])</f>
        <v>Utilities</v>
      </c>
      <c r="H449" s="1" t="str">
        <f>TEXT(tblActuals[[#This Row],[Date]],"mmm")</f>
        <v>May</v>
      </c>
    </row>
    <row r="450" spans="1:8" x14ac:dyDescent="0.25">
      <c r="A450" s="2">
        <v>45783</v>
      </c>
      <c r="B450" s="1" t="s">
        <v>11</v>
      </c>
      <c r="C450">
        <v>6220</v>
      </c>
      <c r="D450" s="1" t="s">
        <v>35</v>
      </c>
      <c r="E450" s="1" t="s">
        <v>40</v>
      </c>
      <c r="F450">
        <v>1972</v>
      </c>
      <c r="G450" s="1" t="str">
        <f>_xlfn.XLOOKUP(tblActuals[[#This Row],[GL Account]],tblGLMap[GL Account],tblGLMap[Cost Category])</f>
        <v>Utilities</v>
      </c>
      <c r="H450" s="1" t="str">
        <f>TEXT(tblActuals[[#This Row],[Date]],"mmm")</f>
        <v>May</v>
      </c>
    </row>
    <row r="451" spans="1:8" x14ac:dyDescent="0.25">
      <c r="A451" s="2">
        <v>45784</v>
      </c>
      <c r="B451" s="1" t="s">
        <v>11</v>
      </c>
      <c r="C451">
        <v>6220</v>
      </c>
      <c r="D451" s="1" t="s">
        <v>34</v>
      </c>
      <c r="E451" s="1" t="s">
        <v>40</v>
      </c>
      <c r="F451">
        <v>11475</v>
      </c>
      <c r="G451" s="1" t="str">
        <f>_xlfn.XLOOKUP(tblActuals[[#This Row],[GL Account]],tblGLMap[GL Account],tblGLMap[Cost Category])</f>
        <v>Utilities</v>
      </c>
      <c r="H451" s="1" t="str">
        <f>TEXT(tblActuals[[#This Row],[Date]],"mmm")</f>
        <v>May</v>
      </c>
    </row>
    <row r="452" spans="1:8" x14ac:dyDescent="0.25">
      <c r="A452" s="2">
        <v>45782</v>
      </c>
      <c r="B452" s="1" t="s">
        <v>11</v>
      </c>
      <c r="C452">
        <v>6310</v>
      </c>
      <c r="D452" s="1" t="s">
        <v>29</v>
      </c>
      <c r="E452" s="1" t="s">
        <v>41</v>
      </c>
      <c r="F452">
        <v>4094</v>
      </c>
      <c r="G452" s="1" t="str">
        <f>_xlfn.XLOOKUP(tblActuals[[#This Row],[GL Account]],tblGLMap[GL Account],tblGLMap[Cost Category])</f>
        <v>Maintenance &amp; Repairs</v>
      </c>
      <c r="H452" s="1" t="str">
        <f>TEXT(tblActuals[[#This Row],[Date]],"mmm")</f>
        <v>May</v>
      </c>
    </row>
    <row r="453" spans="1:8" x14ac:dyDescent="0.25">
      <c r="A453" s="2">
        <v>45783</v>
      </c>
      <c r="B453" s="1" t="s">
        <v>11</v>
      </c>
      <c r="C453">
        <v>6310</v>
      </c>
      <c r="D453" s="1" t="s">
        <v>31</v>
      </c>
      <c r="E453" s="1" t="s">
        <v>41</v>
      </c>
      <c r="F453">
        <v>10524</v>
      </c>
      <c r="G453" s="1" t="str">
        <f>_xlfn.XLOOKUP(tblActuals[[#This Row],[GL Account]],tblGLMap[GL Account],tblGLMap[Cost Category])</f>
        <v>Maintenance &amp; Repairs</v>
      </c>
      <c r="H453" s="1" t="str">
        <f>TEXT(tblActuals[[#This Row],[Date]],"mmm")</f>
        <v>May</v>
      </c>
    </row>
    <row r="454" spans="1:8" x14ac:dyDescent="0.25">
      <c r="A454" s="2">
        <v>45784</v>
      </c>
      <c r="B454" s="1" t="s">
        <v>11</v>
      </c>
      <c r="C454">
        <v>6310</v>
      </c>
      <c r="D454" s="1" t="s">
        <v>39</v>
      </c>
      <c r="E454" s="1" t="s">
        <v>41</v>
      </c>
      <c r="F454">
        <v>10548</v>
      </c>
      <c r="G454" s="1" t="str">
        <f>_xlfn.XLOOKUP(tblActuals[[#This Row],[GL Account]],tblGLMap[GL Account],tblGLMap[Cost Category])</f>
        <v>Maintenance &amp; Repairs</v>
      </c>
      <c r="H454" s="1" t="str">
        <f>TEXT(tblActuals[[#This Row],[Date]],"mmm")</f>
        <v>May</v>
      </c>
    </row>
    <row r="455" spans="1:8" x14ac:dyDescent="0.25">
      <c r="A455" s="2">
        <v>45782</v>
      </c>
      <c r="B455" s="1" t="s">
        <v>11</v>
      </c>
      <c r="C455">
        <v>6320</v>
      </c>
      <c r="D455" s="1" t="s">
        <v>34</v>
      </c>
      <c r="E455" s="1" t="s">
        <v>42</v>
      </c>
      <c r="F455">
        <v>3027</v>
      </c>
      <c r="G455" s="1" t="str">
        <f>_xlfn.XLOOKUP(tblActuals[[#This Row],[GL Account]],tblGLMap[GL Account],tblGLMap[Cost Category])</f>
        <v>Maintenance &amp; Repairs</v>
      </c>
      <c r="H455" s="1" t="str">
        <f>TEXT(tblActuals[[#This Row],[Date]],"mmm")</f>
        <v>May</v>
      </c>
    </row>
    <row r="456" spans="1:8" x14ac:dyDescent="0.25">
      <c r="A456" s="2">
        <v>45783</v>
      </c>
      <c r="B456" s="1" t="s">
        <v>11</v>
      </c>
      <c r="C456">
        <v>6320</v>
      </c>
      <c r="D456" s="1" t="s">
        <v>39</v>
      </c>
      <c r="E456" s="1" t="s">
        <v>42</v>
      </c>
      <c r="F456">
        <v>3358</v>
      </c>
      <c r="G456" s="1" t="str">
        <f>_xlfn.XLOOKUP(tblActuals[[#This Row],[GL Account]],tblGLMap[GL Account],tblGLMap[Cost Category])</f>
        <v>Maintenance &amp; Repairs</v>
      </c>
      <c r="H456" s="1" t="str">
        <f>TEXT(tblActuals[[#This Row],[Date]],"mmm")</f>
        <v>May</v>
      </c>
    </row>
    <row r="457" spans="1:8" x14ac:dyDescent="0.25">
      <c r="A457" s="2">
        <v>45784</v>
      </c>
      <c r="B457" s="1" t="s">
        <v>11</v>
      </c>
      <c r="C457">
        <v>6320</v>
      </c>
      <c r="D457" s="1" t="s">
        <v>35</v>
      </c>
      <c r="E457" s="1" t="s">
        <v>42</v>
      </c>
      <c r="F457">
        <v>3424</v>
      </c>
      <c r="G457" s="1" t="str">
        <f>_xlfn.XLOOKUP(tblActuals[[#This Row],[GL Account]],tblGLMap[GL Account],tblGLMap[Cost Category])</f>
        <v>Maintenance &amp; Repairs</v>
      </c>
      <c r="H457" s="1" t="str">
        <f>TEXT(tblActuals[[#This Row],[Date]],"mmm")</f>
        <v>May</v>
      </c>
    </row>
    <row r="458" spans="1:8" x14ac:dyDescent="0.25">
      <c r="A458" s="2">
        <v>45782</v>
      </c>
      <c r="B458" s="1" t="s">
        <v>12</v>
      </c>
      <c r="C458">
        <v>6010</v>
      </c>
      <c r="D458" s="1" t="s">
        <v>39</v>
      </c>
      <c r="E458" s="1" t="s">
        <v>30</v>
      </c>
      <c r="F458">
        <v>4022</v>
      </c>
      <c r="G458" s="1" t="str">
        <f>_xlfn.XLOOKUP(tblActuals[[#This Row],[GL Account]],tblGLMap[GL Account],tblGLMap[Cost Category])</f>
        <v>Labor</v>
      </c>
      <c r="H458" s="1" t="str">
        <f>TEXT(tblActuals[[#This Row],[Date]],"mmm")</f>
        <v>May</v>
      </c>
    </row>
    <row r="459" spans="1:8" x14ac:dyDescent="0.25">
      <c r="A459" s="2">
        <v>45783</v>
      </c>
      <c r="B459" s="1" t="s">
        <v>12</v>
      </c>
      <c r="C459">
        <v>6010</v>
      </c>
      <c r="D459" s="1" t="s">
        <v>32</v>
      </c>
      <c r="E459" s="1" t="s">
        <v>30</v>
      </c>
      <c r="F459">
        <v>6281</v>
      </c>
      <c r="G459" s="1" t="str">
        <f>_xlfn.XLOOKUP(tblActuals[[#This Row],[GL Account]],tblGLMap[GL Account],tblGLMap[Cost Category])</f>
        <v>Labor</v>
      </c>
      <c r="H459" s="1" t="str">
        <f>TEXT(tblActuals[[#This Row],[Date]],"mmm")</f>
        <v>May</v>
      </c>
    </row>
    <row r="460" spans="1:8" x14ac:dyDescent="0.25">
      <c r="A460" s="2">
        <v>45784</v>
      </c>
      <c r="B460" s="1" t="s">
        <v>12</v>
      </c>
      <c r="C460">
        <v>6010</v>
      </c>
      <c r="D460" s="1" t="s">
        <v>39</v>
      </c>
      <c r="E460" s="1" t="s">
        <v>30</v>
      </c>
      <c r="F460">
        <v>5979</v>
      </c>
      <c r="G460" s="1" t="str">
        <f>_xlfn.XLOOKUP(tblActuals[[#This Row],[GL Account]],tblGLMap[GL Account],tblGLMap[Cost Category])</f>
        <v>Labor</v>
      </c>
      <c r="H460" s="1" t="str">
        <f>TEXT(tblActuals[[#This Row],[Date]],"mmm")</f>
        <v>May</v>
      </c>
    </row>
    <row r="461" spans="1:8" x14ac:dyDescent="0.25">
      <c r="A461" s="2">
        <v>45782</v>
      </c>
      <c r="B461" s="1" t="s">
        <v>12</v>
      </c>
      <c r="C461">
        <v>6020</v>
      </c>
      <c r="D461" s="1" t="s">
        <v>39</v>
      </c>
      <c r="E461" s="1" t="s">
        <v>33</v>
      </c>
      <c r="F461">
        <v>9405</v>
      </c>
      <c r="G461" s="1" t="str">
        <f>_xlfn.XLOOKUP(tblActuals[[#This Row],[GL Account]],tblGLMap[GL Account],tblGLMap[Cost Category])</f>
        <v>Labor</v>
      </c>
      <c r="H461" s="1" t="str">
        <f>TEXT(tblActuals[[#This Row],[Date]],"mmm")</f>
        <v>May</v>
      </c>
    </row>
    <row r="462" spans="1:8" x14ac:dyDescent="0.25">
      <c r="A462" s="2">
        <v>45783</v>
      </c>
      <c r="B462" s="1" t="s">
        <v>12</v>
      </c>
      <c r="C462">
        <v>6020</v>
      </c>
      <c r="D462" s="1" t="s">
        <v>39</v>
      </c>
      <c r="E462" s="1" t="s">
        <v>33</v>
      </c>
      <c r="F462">
        <v>5493</v>
      </c>
      <c r="G462" s="1" t="str">
        <f>_xlfn.XLOOKUP(tblActuals[[#This Row],[GL Account]],tblGLMap[GL Account],tblGLMap[Cost Category])</f>
        <v>Labor</v>
      </c>
      <c r="H462" s="1" t="str">
        <f>TEXT(tblActuals[[#This Row],[Date]],"mmm")</f>
        <v>May</v>
      </c>
    </row>
    <row r="463" spans="1:8" x14ac:dyDescent="0.25">
      <c r="A463" s="2">
        <v>45784</v>
      </c>
      <c r="B463" s="1" t="s">
        <v>12</v>
      </c>
      <c r="C463">
        <v>6020</v>
      </c>
      <c r="D463" s="1" t="s">
        <v>34</v>
      </c>
      <c r="E463" s="1" t="s">
        <v>33</v>
      </c>
      <c r="F463">
        <v>10531</v>
      </c>
      <c r="G463" s="1" t="str">
        <f>_xlfn.XLOOKUP(tblActuals[[#This Row],[GL Account]],tblGLMap[GL Account],tblGLMap[Cost Category])</f>
        <v>Labor</v>
      </c>
      <c r="H463" s="1" t="str">
        <f>TEXT(tblActuals[[#This Row],[Date]],"mmm")</f>
        <v>May</v>
      </c>
    </row>
    <row r="464" spans="1:8" x14ac:dyDescent="0.25">
      <c r="A464" s="2">
        <v>45782</v>
      </c>
      <c r="B464" s="1" t="s">
        <v>12</v>
      </c>
      <c r="C464">
        <v>6110</v>
      </c>
      <c r="D464" s="1" t="s">
        <v>34</v>
      </c>
      <c r="E464" s="1" t="s">
        <v>36</v>
      </c>
      <c r="F464">
        <v>7784</v>
      </c>
      <c r="G464" s="1" t="str">
        <f>_xlfn.XLOOKUP(tblActuals[[#This Row],[GL Account]],tblGLMap[GL Account],tblGLMap[Cost Category])</f>
        <v>Supplies &amp; Inventory</v>
      </c>
      <c r="H464" s="1" t="str">
        <f>TEXT(tblActuals[[#This Row],[Date]],"mmm")</f>
        <v>May</v>
      </c>
    </row>
    <row r="465" spans="1:8" x14ac:dyDescent="0.25">
      <c r="A465" s="2">
        <v>45783</v>
      </c>
      <c r="B465" s="1" t="s">
        <v>12</v>
      </c>
      <c r="C465">
        <v>6110</v>
      </c>
      <c r="D465" s="1" t="s">
        <v>32</v>
      </c>
      <c r="E465" s="1" t="s">
        <v>36</v>
      </c>
      <c r="F465">
        <v>11320</v>
      </c>
      <c r="G465" s="1" t="str">
        <f>_xlfn.XLOOKUP(tblActuals[[#This Row],[GL Account]],tblGLMap[GL Account],tblGLMap[Cost Category])</f>
        <v>Supplies &amp; Inventory</v>
      </c>
      <c r="H465" s="1" t="str">
        <f>TEXT(tblActuals[[#This Row],[Date]],"mmm")</f>
        <v>May</v>
      </c>
    </row>
    <row r="466" spans="1:8" x14ac:dyDescent="0.25">
      <c r="A466" s="2">
        <v>45784</v>
      </c>
      <c r="B466" s="1" t="s">
        <v>12</v>
      </c>
      <c r="C466">
        <v>6110</v>
      </c>
      <c r="D466" s="1" t="s">
        <v>31</v>
      </c>
      <c r="E466" s="1" t="s">
        <v>36</v>
      </c>
      <c r="F466">
        <v>3736</v>
      </c>
      <c r="G466" s="1" t="str">
        <f>_xlfn.XLOOKUP(tblActuals[[#This Row],[GL Account]],tblGLMap[GL Account],tblGLMap[Cost Category])</f>
        <v>Supplies &amp; Inventory</v>
      </c>
      <c r="H466" s="1" t="str">
        <f>TEXT(tblActuals[[#This Row],[Date]],"mmm")</f>
        <v>May</v>
      </c>
    </row>
    <row r="467" spans="1:8" x14ac:dyDescent="0.25">
      <c r="A467" s="2">
        <v>45782</v>
      </c>
      <c r="B467" s="1" t="s">
        <v>12</v>
      </c>
      <c r="C467">
        <v>6120</v>
      </c>
      <c r="D467" s="1" t="s">
        <v>39</v>
      </c>
      <c r="E467" s="1" t="s">
        <v>37</v>
      </c>
      <c r="F467">
        <v>6026</v>
      </c>
      <c r="G467" s="1" t="str">
        <f>_xlfn.XLOOKUP(tblActuals[[#This Row],[GL Account]],tblGLMap[GL Account],tblGLMap[Cost Category])</f>
        <v>Supplies &amp; Inventory</v>
      </c>
      <c r="H467" s="1" t="str">
        <f>TEXT(tblActuals[[#This Row],[Date]],"mmm")</f>
        <v>May</v>
      </c>
    </row>
    <row r="468" spans="1:8" x14ac:dyDescent="0.25">
      <c r="A468" s="2">
        <v>45783</v>
      </c>
      <c r="B468" s="1" t="s">
        <v>12</v>
      </c>
      <c r="C468">
        <v>6120</v>
      </c>
      <c r="D468" s="1" t="s">
        <v>32</v>
      </c>
      <c r="E468" s="1" t="s">
        <v>37</v>
      </c>
      <c r="F468">
        <v>7068</v>
      </c>
      <c r="G468" s="1" t="str">
        <f>_xlfn.XLOOKUP(tblActuals[[#This Row],[GL Account]],tblGLMap[GL Account],tblGLMap[Cost Category])</f>
        <v>Supplies &amp; Inventory</v>
      </c>
      <c r="H468" s="1" t="str">
        <f>TEXT(tblActuals[[#This Row],[Date]],"mmm")</f>
        <v>May</v>
      </c>
    </row>
    <row r="469" spans="1:8" x14ac:dyDescent="0.25">
      <c r="A469" s="2">
        <v>45784</v>
      </c>
      <c r="B469" s="1" t="s">
        <v>12</v>
      </c>
      <c r="C469">
        <v>6120</v>
      </c>
      <c r="D469" s="1" t="s">
        <v>31</v>
      </c>
      <c r="E469" s="1" t="s">
        <v>37</v>
      </c>
      <c r="F469">
        <v>5877</v>
      </c>
      <c r="G469" s="1" t="str">
        <f>_xlfn.XLOOKUP(tblActuals[[#This Row],[GL Account]],tblGLMap[GL Account],tblGLMap[Cost Category])</f>
        <v>Supplies &amp; Inventory</v>
      </c>
      <c r="H469" s="1" t="str">
        <f>TEXT(tblActuals[[#This Row],[Date]],"mmm")</f>
        <v>May</v>
      </c>
    </row>
    <row r="470" spans="1:8" x14ac:dyDescent="0.25">
      <c r="A470" s="2">
        <v>45782</v>
      </c>
      <c r="B470" s="1" t="s">
        <v>12</v>
      </c>
      <c r="C470">
        <v>6210</v>
      </c>
      <c r="D470" s="1" t="s">
        <v>35</v>
      </c>
      <c r="E470" s="1" t="s">
        <v>38</v>
      </c>
      <c r="F470">
        <v>6134</v>
      </c>
      <c r="G470" s="1" t="str">
        <f>_xlfn.XLOOKUP(tblActuals[[#This Row],[GL Account]],tblGLMap[GL Account],tblGLMap[Cost Category])</f>
        <v>Utilities</v>
      </c>
      <c r="H470" s="1" t="str">
        <f>TEXT(tblActuals[[#This Row],[Date]],"mmm")</f>
        <v>May</v>
      </c>
    </row>
    <row r="471" spans="1:8" x14ac:dyDescent="0.25">
      <c r="A471" s="2">
        <v>45783</v>
      </c>
      <c r="B471" s="1" t="s">
        <v>12</v>
      </c>
      <c r="C471">
        <v>6210</v>
      </c>
      <c r="D471" s="1" t="s">
        <v>32</v>
      </c>
      <c r="E471" s="1" t="s">
        <v>38</v>
      </c>
      <c r="F471">
        <v>6391</v>
      </c>
      <c r="G471" s="1" t="str">
        <f>_xlfn.XLOOKUP(tblActuals[[#This Row],[GL Account]],tblGLMap[GL Account],tblGLMap[Cost Category])</f>
        <v>Utilities</v>
      </c>
      <c r="H471" s="1" t="str">
        <f>TEXT(tblActuals[[#This Row],[Date]],"mmm")</f>
        <v>May</v>
      </c>
    </row>
    <row r="472" spans="1:8" x14ac:dyDescent="0.25">
      <c r="A472" s="2">
        <v>45784</v>
      </c>
      <c r="B472" s="1" t="s">
        <v>12</v>
      </c>
      <c r="C472">
        <v>6210</v>
      </c>
      <c r="D472" s="1" t="s">
        <v>35</v>
      </c>
      <c r="E472" s="1" t="s">
        <v>38</v>
      </c>
      <c r="F472">
        <v>11001</v>
      </c>
      <c r="G472" s="1" t="str">
        <f>_xlfn.XLOOKUP(tblActuals[[#This Row],[GL Account]],tblGLMap[GL Account],tblGLMap[Cost Category])</f>
        <v>Utilities</v>
      </c>
      <c r="H472" s="1" t="str">
        <f>TEXT(tblActuals[[#This Row],[Date]],"mmm")</f>
        <v>May</v>
      </c>
    </row>
    <row r="473" spans="1:8" x14ac:dyDescent="0.25">
      <c r="A473" s="2">
        <v>45782</v>
      </c>
      <c r="B473" s="1" t="s">
        <v>12</v>
      </c>
      <c r="C473">
        <v>6220</v>
      </c>
      <c r="D473" s="1" t="s">
        <v>34</v>
      </c>
      <c r="E473" s="1" t="s">
        <v>40</v>
      </c>
      <c r="F473">
        <v>9522</v>
      </c>
      <c r="G473" s="1" t="str">
        <f>_xlfn.XLOOKUP(tblActuals[[#This Row],[GL Account]],tblGLMap[GL Account],tblGLMap[Cost Category])</f>
        <v>Utilities</v>
      </c>
      <c r="H473" s="1" t="str">
        <f>TEXT(tblActuals[[#This Row],[Date]],"mmm")</f>
        <v>May</v>
      </c>
    </row>
    <row r="474" spans="1:8" x14ac:dyDescent="0.25">
      <c r="A474" s="2">
        <v>45783</v>
      </c>
      <c r="B474" s="1" t="s">
        <v>12</v>
      </c>
      <c r="C474">
        <v>6220</v>
      </c>
      <c r="D474" s="1" t="s">
        <v>32</v>
      </c>
      <c r="E474" s="1" t="s">
        <v>40</v>
      </c>
      <c r="F474">
        <v>8816</v>
      </c>
      <c r="G474" s="1" t="str">
        <f>_xlfn.XLOOKUP(tblActuals[[#This Row],[GL Account]],tblGLMap[GL Account],tblGLMap[Cost Category])</f>
        <v>Utilities</v>
      </c>
      <c r="H474" s="1" t="str">
        <f>TEXT(tblActuals[[#This Row],[Date]],"mmm")</f>
        <v>May</v>
      </c>
    </row>
    <row r="475" spans="1:8" x14ac:dyDescent="0.25">
      <c r="A475" s="2">
        <v>45784</v>
      </c>
      <c r="B475" s="1" t="s">
        <v>12</v>
      </c>
      <c r="C475">
        <v>6220</v>
      </c>
      <c r="D475" s="1" t="s">
        <v>29</v>
      </c>
      <c r="E475" s="1" t="s">
        <v>40</v>
      </c>
      <c r="F475">
        <v>9435</v>
      </c>
      <c r="G475" s="1" t="str">
        <f>_xlfn.XLOOKUP(tblActuals[[#This Row],[GL Account]],tblGLMap[GL Account],tblGLMap[Cost Category])</f>
        <v>Utilities</v>
      </c>
      <c r="H475" s="1" t="str">
        <f>TEXT(tblActuals[[#This Row],[Date]],"mmm")</f>
        <v>May</v>
      </c>
    </row>
    <row r="476" spans="1:8" x14ac:dyDescent="0.25">
      <c r="A476" s="2">
        <v>45782</v>
      </c>
      <c r="B476" s="1" t="s">
        <v>12</v>
      </c>
      <c r="C476">
        <v>6310</v>
      </c>
      <c r="D476" s="1" t="s">
        <v>32</v>
      </c>
      <c r="E476" s="1" t="s">
        <v>41</v>
      </c>
      <c r="F476">
        <v>6946</v>
      </c>
      <c r="G476" s="1" t="str">
        <f>_xlfn.XLOOKUP(tblActuals[[#This Row],[GL Account]],tblGLMap[GL Account],tblGLMap[Cost Category])</f>
        <v>Maintenance &amp; Repairs</v>
      </c>
      <c r="H476" s="1" t="str">
        <f>TEXT(tblActuals[[#This Row],[Date]],"mmm")</f>
        <v>May</v>
      </c>
    </row>
    <row r="477" spans="1:8" x14ac:dyDescent="0.25">
      <c r="A477" s="2">
        <v>45783</v>
      </c>
      <c r="B477" s="1" t="s">
        <v>12</v>
      </c>
      <c r="C477">
        <v>6310</v>
      </c>
      <c r="D477" s="1" t="s">
        <v>39</v>
      </c>
      <c r="E477" s="1" t="s">
        <v>41</v>
      </c>
      <c r="F477">
        <v>10403</v>
      </c>
      <c r="G477" s="1" t="str">
        <f>_xlfn.XLOOKUP(tblActuals[[#This Row],[GL Account]],tblGLMap[GL Account],tblGLMap[Cost Category])</f>
        <v>Maintenance &amp; Repairs</v>
      </c>
      <c r="H477" s="1" t="str">
        <f>TEXT(tblActuals[[#This Row],[Date]],"mmm")</f>
        <v>May</v>
      </c>
    </row>
    <row r="478" spans="1:8" x14ac:dyDescent="0.25">
      <c r="A478" s="2">
        <v>45784</v>
      </c>
      <c r="B478" s="1" t="s">
        <v>12</v>
      </c>
      <c r="C478">
        <v>6310</v>
      </c>
      <c r="D478" s="1" t="s">
        <v>29</v>
      </c>
      <c r="E478" s="1" t="s">
        <v>41</v>
      </c>
      <c r="F478">
        <v>8960</v>
      </c>
      <c r="G478" s="1" t="str">
        <f>_xlfn.XLOOKUP(tblActuals[[#This Row],[GL Account]],tblGLMap[GL Account],tblGLMap[Cost Category])</f>
        <v>Maintenance &amp; Repairs</v>
      </c>
      <c r="H478" s="1" t="str">
        <f>TEXT(tblActuals[[#This Row],[Date]],"mmm")</f>
        <v>May</v>
      </c>
    </row>
    <row r="479" spans="1:8" x14ac:dyDescent="0.25">
      <c r="A479" s="2">
        <v>45782</v>
      </c>
      <c r="B479" s="1" t="s">
        <v>12</v>
      </c>
      <c r="C479">
        <v>6320</v>
      </c>
      <c r="D479" s="1" t="s">
        <v>35</v>
      </c>
      <c r="E479" s="1" t="s">
        <v>42</v>
      </c>
      <c r="F479">
        <v>4590</v>
      </c>
      <c r="G479" s="1" t="str">
        <f>_xlfn.XLOOKUP(tblActuals[[#This Row],[GL Account]],tblGLMap[GL Account],tblGLMap[Cost Category])</f>
        <v>Maintenance &amp; Repairs</v>
      </c>
      <c r="H479" s="1" t="str">
        <f>TEXT(tblActuals[[#This Row],[Date]],"mmm")</f>
        <v>May</v>
      </c>
    </row>
    <row r="480" spans="1:8" x14ac:dyDescent="0.25">
      <c r="A480" s="2">
        <v>45783</v>
      </c>
      <c r="B480" s="1" t="s">
        <v>12</v>
      </c>
      <c r="C480">
        <v>6320</v>
      </c>
      <c r="D480" s="1" t="s">
        <v>32</v>
      </c>
      <c r="E480" s="1" t="s">
        <v>42</v>
      </c>
      <c r="F480">
        <v>5412</v>
      </c>
      <c r="G480" s="1" t="str">
        <f>_xlfn.XLOOKUP(tblActuals[[#This Row],[GL Account]],tblGLMap[GL Account],tblGLMap[Cost Category])</f>
        <v>Maintenance &amp; Repairs</v>
      </c>
      <c r="H480" s="1" t="str">
        <f>TEXT(tblActuals[[#This Row],[Date]],"mmm")</f>
        <v>May</v>
      </c>
    </row>
    <row r="481" spans="1:8" x14ac:dyDescent="0.25">
      <c r="A481" s="2">
        <v>45784</v>
      </c>
      <c r="B481" s="1" t="s">
        <v>12</v>
      </c>
      <c r="C481">
        <v>6320</v>
      </c>
      <c r="D481" s="1" t="s">
        <v>34</v>
      </c>
      <c r="E481" s="1" t="s">
        <v>42</v>
      </c>
      <c r="F481">
        <v>7774</v>
      </c>
      <c r="G481" s="1" t="str">
        <f>_xlfn.XLOOKUP(tblActuals[[#This Row],[GL Account]],tblGLMap[GL Account],tblGLMap[Cost Category])</f>
        <v>Maintenance &amp; Repairs</v>
      </c>
      <c r="H481" s="1" t="str">
        <f>TEXT(tblActuals[[#This Row],[Date]],"mmm")</f>
        <v>May</v>
      </c>
    </row>
    <row r="482" spans="1:8" x14ac:dyDescent="0.25">
      <c r="A482" s="2">
        <v>45813</v>
      </c>
      <c r="B482" s="1" t="s">
        <v>5</v>
      </c>
      <c r="C482">
        <v>6010</v>
      </c>
      <c r="D482" s="1" t="s">
        <v>31</v>
      </c>
      <c r="E482" s="1" t="s">
        <v>30</v>
      </c>
      <c r="F482">
        <v>8230</v>
      </c>
      <c r="G482" s="1" t="str">
        <f>_xlfn.XLOOKUP(tblActuals[[#This Row],[GL Account]],tblGLMap[GL Account],tblGLMap[Cost Category])</f>
        <v>Labor</v>
      </c>
      <c r="H482" s="1" t="str">
        <f>TEXT(tblActuals[[#This Row],[Date]],"mmm")</f>
        <v>Jun</v>
      </c>
    </row>
    <row r="483" spans="1:8" x14ac:dyDescent="0.25">
      <c r="A483" s="2">
        <v>45814</v>
      </c>
      <c r="B483" s="1" t="s">
        <v>5</v>
      </c>
      <c r="C483">
        <v>6010</v>
      </c>
      <c r="D483" s="1" t="s">
        <v>35</v>
      </c>
      <c r="E483" s="1" t="s">
        <v>30</v>
      </c>
      <c r="F483">
        <v>6713</v>
      </c>
      <c r="G483" s="1" t="str">
        <f>_xlfn.XLOOKUP(tblActuals[[#This Row],[GL Account]],tblGLMap[GL Account],tblGLMap[Cost Category])</f>
        <v>Labor</v>
      </c>
      <c r="H483" s="1" t="str">
        <f>TEXT(tblActuals[[#This Row],[Date]],"mmm")</f>
        <v>Jun</v>
      </c>
    </row>
    <row r="484" spans="1:8" x14ac:dyDescent="0.25">
      <c r="A484" s="2">
        <v>45815</v>
      </c>
      <c r="B484" s="1" t="s">
        <v>5</v>
      </c>
      <c r="C484">
        <v>6010</v>
      </c>
      <c r="D484" s="1" t="s">
        <v>35</v>
      </c>
      <c r="E484" s="1" t="s">
        <v>30</v>
      </c>
      <c r="F484">
        <v>9249</v>
      </c>
      <c r="G484" s="1" t="str">
        <f>_xlfn.XLOOKUP(tblActuals[[#This Row],[GL Account]],tblGLMap[GL Account],tblGLMap[Cost Category])</f>
        <v>Labor</v>
      </c>
      <c r="H484" s="1" t="str">
        <f>TEXT(tblActuals[[#This Row],[Date]],"mmm")</f>
        <v>Jun</v>
      </c>
    </row>
    <row r="485" spans="1:8" x14ac:dyDescent="0.25">
      <c r="A485" s="2">
        <v>45813</v>
      </c>
      <c r="B485" s="1" t="s">
        <v>5</v>
      </c>
      <c r="C485">
        <v>6020</v>
      </c>
      <c r="D485" s="1" t="s">
        <v>39</v>
      </c>
      <c r="E485" s="1" t="s">
        <v>33</v>
      </c>
      <c r="F485">
        <v>7746</v>
      </c>
      <c r="G485" s="1" t="str">
        <f>_xlfn.XLOOKUP(tblActuals[[#This Row],[GL Account]],tblGLMap[GL Account],tblGLMap[Cost Category])</f>
        <v>Labor</v>
      </c>
      <c r="H485" s="1" t="str">
        <f>TEXT(tblActuals[[#This Row],[Date]],"mmm")</f>
        <v>Jun</v>
      </c>
    </row>
    <row r="486" spans="1:8" x14ac:dyDescent="0.25">
      <c r="A486" s="2">
        <v>45814</v>
      </c>
      <c r="B486" s="1" t="s">
        <v>5</v>
      </c>
      <c r="C486">
        <v>6020</v>
      </c>
      <c r="D486" s="1" t="s">
        <v>39</v>
      </c>
      <c r="E486" s="1" t="s">
        <v>33</v>
      </c>
      <c r="F486">
        <v>3992</v>
      </c>
      <c r="G486" s="1" t="str">
        <f>_xlfn.XLOOKUP(tblActuals[[#This Row],[GL Account]],tblGLMap[GL Account],tblGLMap[Cost Category])</f>
        <v>Labor</v>
      </c>
      <c r="H486" s="1" t="str">
        <f>TEXT(tblActuals[[#This Row],[Date]],"mmm")</f>
        <v>Jun</v>
      </c>
    </row>
    <row r="487" spans="1:8" x14ac:dyDescent="0.25">
      <c r="A487" s="2">
        <v>45815</v>
      </c>
      <c r="B487" s="1" t="s">
        <v>5</v>
      </c>
      <c r="C487">
        <v>6020</v>
      </c>
      <c r="D487" s="1" t="s">
        <v>34</v>
      </c>
      <c r="E487" s="1" t="s">
        <v>33</v>
      </c>
      <c r="F487">
        <v>2106</v>
      </c>
      <c r="G487" s="1" t="str">
        <f>_xlfn.XLOOKUP(tblActuals[[#This Row],[GL Account]],tblGLMap[GL Account],tblGLMap[Cost Category])</f>
        <v>Labor</v>
      </c>
      <c r="H487" s="1" t="str">
        <f>TEXT(tblActuals[[#This Row],[Date]],"mmm")</f>
        <v>Jun</v>
      </c>
    </row>
    <row r="488" spans="1:8" x14ac:dyDescent="0.25">
      <c r="A488" s="2">
        <v>45813</v>
      </c>
      <c r="B488" s="1" t="s">
        <v>5</v>
      </c>
      <c r="C488">
        <v>6110</v>
      </c>
      <c r="D488" s="1" t="s">
        <v>32</v>
      </c>
      <c r="E488" s="1" t="s">
        <v>36</v>
      </c>
      <c r="F488">
        <v>9729</v>
      </c>
      <c r="G488" s="1" t="str">
        <f>_xlfn.XLOOKUP(tblActuals[[#This Row],[GL Account]],tblGLMap[GL Account],tblGLMap[Cost Category])</f>
        <v>Supplies &amp; Inventory</v>
      </c>
      <c r="H488" s="1" t="str">
        <f>TEXT(tblActuals[[#This Row],[Date]],"mmm")</f>
        <v>Jun</v>
      </c>
    </row>
    <row r="489" spans="1:8" x14ac:dyDescent="0.25">
      <c r="A489" s="2">
        <v>45814</v>
      </c>
      <c r="B489" s="1" t="s">
        <v>5</v>
      </c>
      <c r="C489">
        <v>6110</v>
      </c>
      <c r="D489" s="1" t="s">
        <v>31</v>
      </c>
      <c r="E489" s="1" t="s">
        <v>36</v>
      </c>
      <c r="F489">
        <v>6939</v>
      </c>
      <c r="G489" s="1" t="str">
        <f>_xlfn.XLOOKUP(tblActuals[[#This Row],[GL Account]],tblGLMap[GL Account],tblGLMap[Cost Category])</f>
        <v>Supplies &amp; Inventory</v>
      </c>
      <c r="H489" s="1" t="str">
        <f>TEXT(tblActuals[[#This Row],[Date]],"mmm")</f>
        <v>Jun</v>
      </c>
    </row>
    <row r="490" spans="1:8" x14ac:dyDescent="0.25">
      <c r="A490" s="2">
        <v>45815</v>
      </c>
      <c r="B490" s="1" t="s">
        <v>5</v>
      </c>
      <c r="C490">
        <v>6110</v>
      </c>
      <c r="D490" s="1" t="s">
        <v>31</v>
      </c>
      <c r="E490" s="1" t="s">
        <v>36</v>
      </c>
      <c r="F490">
        <v>8713</v>
      </c>
      <c r="G490" s="1" t="str">
        <f>_xlfn.XLOOKUP(tblActuals[[#This Row],[GL Account]],tblGLMap[GL Account],tblGLMap[Cost Category])</f>
        <v>Supplies &amp; Inventory</v>
      </c>
      <c r="H490" s="1" t="str">
        <f>TEXT(tblActuals[[#This Row],[Date]],"mmm")</f>
        <v>Jun</v>
      </c>
    </row>
    <row r="491" spans="1:8" x14ac:dyDescent="0.25">
      <c r="A491" s="2">
        <v>45813</v>
      </c>
      <c r="B491" s="1" t="s">
        <v>5</v>
      </c>
      <c r="C491">
        <v>6120</v>
      </c>
      <c r="D491" s="1" t="s">
        <v>39</v>
      </c>
      <c r="E491" s="1" t="s">
        <v>37</v>
      </c>
      <c r="F491">
        <v>10117</v>
      </c>
      <c r="G491" s="1" t="str">
        <f>_xlfn.XLOOKUP(tblActuals[[#This Row],[GL Account]],tblGLMap[GL Account],tblGLMap[Cost Category])</f>
        <v>Supplies &amp; Inventory</v>
      </c>
      <c r="H491" s="1" t="str">
        <f>TEXT(tblActuals[[#This Row],[Date]],"mmm")</f>
        <v>Jun</v>
      </c>
    </row>
    <row r="492" spans="1:8" x14ac:dyDescent="0.25">
      <c r="A492" s="2">
        <v>45814</v>
      </c>
      <c r="B492" s="1" t="s">
        <v>5</v>
      </c>
      <c r="C492">
        <v>6120</v>
      </c>
      <c r="D492" s="1" t="s">
        <v>35</v>
      </c>
      <c r="E492" s="1" t="s">
        <v>37</v>
      </c>
      <c r="F492">
        <v>1751</v>
      </c>
      <c r="G492" s="1" t="str">
        <f>_xlfn.XLOOKUP(tblActuals[[#This Row],[GL Account]],tblGLMap[GL Account],tblGLMap[Cost Category])</f>
        <v>Supplies &amp; Inventory</v>
      </c>
      <c r="H492" s="1" t="str">
        <f>TEXT(tblActuals[[#This Row],[Date]],"mmm")</f>
        <v>Jun</v>
      </c>
    </row>
    <row r="493" spans="1:8" x14ac:dyDescent="0.25">
      <c r="A493" s="2">
        <v>45815</v>
      </c>
      <c r="B493" s="1" t="s">
        <v>5</v>
      </c>
      <c r="C493">
        <v>6120</v>
      </c>
      <c r="D493" s="1" t="s">
        <v>39</v>
      </c>
      <c r="E493" s="1" t="s">
        <v>37</v>
      </c>
      <c r="F493">
        <v>3861</v>
      </c>
      <c r="G493" s="1" t="str">
        <f>_xlfn.XLOOKUP(tblActuals[[#This Row],[GL Account]],tblGLMap[GL Account],tblGLMap[Cost Category])</f>
        <v>Supplies &amp; Inventory</v>
      </c>
      <c r="H493" s="1" t="str">
        <f>TEXT(tblActuals[[#This Row],[Date]],"mmm")</f>
        <v>Jun</v>
      </c>
    </row>
    <row r="494" spans="1:8" x14ac:dyDescent="0.25">
      <c r="A494" s="2">
        <v>45813</v>
      </c>
      <c r="B494" s="1" t="s">
        <v>5</v>
      </c>
      <c r="C494">
        <v>6210</v>
      </c>
      <c r="D494" s="1" t="s">
        <v>31</v>
      </c>
      <c r="E494" s="1" t="s">
        <v>38</v>
      </c>
      <c r="F494">
        <v>4029</v>
      </c>
      <c r="G494" s="1" t="str">
        <f>_xlfn.XLOOKUP(tblActuals[[#This Row],[GL Account]],tblGLMap[GL Account],tblGLMap[Cost Category])</f>
        <v>Utilities</v>
      </c>
      <c r="H494" s="1" t="str">
        <f>TEXT(tblActuals[[#This Row],[Date]],"mmm")</f>
        <v>Jun</v>
      </c>
    </row>
    <row r="495" spans="1:8" x14ac:dyDescent="0.25">
      <c r="A495" s="2">
        <v>45814</v>
      </c>
      <c r="B495" s="1" t="s">
        <v>5</v>
      </c>
      <c r="C495">
        <v>6210</v>
      </c>
      <c r="D495" s="1" t="s">
        <v>29</v>
      </c>
      <c r="E495" s="1" t="s">
        <v>38</v>
      </c>
      <c r="F495">
        <v>9192</v>
      </c>
      <c r="G495" s="1" t="str">
        <f>_xlfn.XLOOKUP(tblActuals[[#This Row],[GL Account]],tblGLMap[GL Account],tblGLMap[Cost Category])</f>
        <v>Utilities</v>
      </c>
      <c r="H495" s="1" t="str">
        <f>TEXT(tblActuals[[#This Row],[Date]],"mmm")</f>
        <v>Jun</v>
      </c>
    </row>
    <row r="496" spans="1:8" x14ac:dyDescent="0.25">
      <c r="A496" s="2">
        <v>45815</v>
      </c>
      <c r="B496" s="1" t="s">
        <v>5</v>
      </c>
      <c r="C496">
        <v>6210</v>
      </c>
      <c r="D496" s="1" t="s">
        <v>32</v>
      </c>
      <c r="E496" s="1" t="s">
        <v>38</v>
      </c>
      <c r="F496">
        <v>7046</v>
      </c>
      <c r="G496" s="1" t="str">
        <f>_xlfn.XLOOKUP(tblActuals[[#This Row],[GL Account]],tblGLMap[GL Account],tblGLMap[Cost Category])</f>
        <v>Utilities</v>
      </c>
      <c r="H496" s="1" t="str">
        <f>TEXT(tblActuals[[#This Row],[Date]],"mmm")</f>
        <v>Jun</v>
      </c>
    </row>
    <row r="497" spans="1:8" x14ac:dyDescent="0.25">
      <c r="A497" s="2">
        <v>45813</v>
      </c>
      <c r="B497" s="1" t="s">
        <v>5</v>
      </c>
      <c r="C497">
        <v>6220</v>
      </c>
      <c r="D497" s="1" t="s">
        <v>35</v>
      </c>
      <c r="E497" s="1" t="s">
        <v>40</v>
      </c>
      <c r="F497">
        <v>8012</v>
      </c>
      <c r="G497" s="1" t="str">
        <f>_xlfn.XLOOKUP(tblActuals[[#This Row],[GL Account]],tblGLMap[GL Account],tblGLMap[Cost Category])</f>
        <v>Utilities</v>
      </c>
      <c r="H497" s="1" t="str">
        <f>TEXT(tblActuals[[#This Row],[Date]],"mmm")</f>
        <v>Jun</v>
      </c>
    </row>
    <row r="498" spans="1:8" x14ac:dyDescent="0.25">
      <c r="A498" s="2">
        <v>45814</v>
      </c>
      <c r="B498" s="1" t="s">
        <v>5</v>
      </c>
      <c r="C498">
        <v>6220</v>
      </c>
      <c r="D498" s="1" t="s">
        <v>29</v>
      </c>
      <c r="E498" s="1" t="s">
        <v>40</v>
      </c>
      <c r="F498">
        <v>2815</v>
      </c>
      <c r="G498" s="1" t="str">
        <f>_xlfn.XLOOKUP(tblActuals[[#This Row],[GL Account]],tblGLMap[GL Account],tblGLMap[Cost Category])</f>
        <v>Utilities</v>
      </c>
      <c r="H498" s="1" t="str">
        <f>TEXT(tblActuals[[#This Row],[Date]],"mmm")</f>
        <v>Jun</v>
      </c>
    </row>
    <row r="499" spans="1:8" x14ac:dyDescent="0.25">
      <c r="A499" s="2">
        <v>45815</v>
      </c>
      <c r="B499" s="1" t="s">
        <v>5</v>
      </c>
      <c r="C499">
        <v>6220</v>
      </c>
      <c r="D499" s="1" t="s">
        <v>39</v>
      </c>
      <c r="E499" s="1" t="s">
        <v>40</v>
      </c>
      <c r="F499">
        <v>10242</v>
      </c>
      <c r="G499" s="1" t="str">
        <f>_xlfn.XLOOKUP(tblActuals[[#This Row],[GL Account]],tblGLMap[GL Account],tblGLMap[Cost Category])</f>
        <v>Utilities</v>
      </c>
      <c r="H499" s="1" t="str">
        <f>TEXT(tblActuals[[#This Row],[Date]],"mmm")</f>
        <v>Jun</v>
      </c>
    </row>
    <row r="500" spans="1:8" x14ac:dyDescent="0.25">
      <c r="A500" s="2">
        <v>45813</v>
      </c>
      <c r="B500" s="1" t="s">
        <v>5</v>
      </c>
      <c r="C500">
        <v>6310</v>
      </c>
      <c r="D500" s="1" t="s">
        <v>35</v>
      </c>
      <c r="E500" s="1" t="s">
        <v>41</v>
      </c>
      <c r="F500">
        <v>6688</v>
      </c>
      <c r="G500" s="1" t="str">
        <f>_xlfn.XLOOKUP(tblActuals[[#This Row],[GL Account]],tblGLMap[GL Account],tblGLMap[Cost Category])</f>
        <v>Maintenance &amp; Repairs</v>
      </c>
      <c r="H500" s="1" t="str">
        <f>TEXT(tblActuals[[#This Row],[Date]],"mmm")</f>
        <v>Jun</v>
      </c>
    </row>
    <row r="501" spans="1:8" x14ac:dyDescent="0.25">
      <c r="A501" s="2">
        <v>45814</v>
      </c>
      <c r="B501" s="1" t="s">
        <v>5</v>
      </c>
      <c r="C501">
        <v>6310</v>
      </c>
      <c r="D501" s="1" t="s">
        <v>32</v>
      </c>
      <c r="E501" s="1" t="s">
        <v>41</v>
      </c>
      <c r="F501">
        <v>9494</v>
      </c>
      <c r="G501" s="1" t="str">
        <f>_xlfn.XLOOKUP(tblActuals[[#This Row],[GL Account]],tblGLMap[GL Account],tblGLMap[Cost Category])</f>
        <v>Maintenance &amp; Repairs</v>
      </c>
      <c r="H501" s="1" t="str">
        <f>TEXT(tblActuals[[#This Row],[Date]],"mmm")</f>
        <v>Jun</v>
      </c>
    </row>
    <row r="502" spans="1:8" x14ac:dyDescent="0.25">
      <c r="A502" s="2">
        <v>45815</v>
      </c>
      <c r="B502" s="1" t="s">
        <v>5</v>
      </c>
      <c r="C502">
        <v>6310</v>
      </c>
      <c r="D502" s="1" t="s">
        <v>32</v>
      </c>
      <c r="E502" s="1" t="s">
        <v>41</v>
      </c>
      <c r="F502">
        <v>2088</v>
      </c>
      <c r="G502" s="1" t="str">
        <f>_xlfn.XLOOKUP(tblActuals[[#This Row],[GL Account]],tblGLMap[GL Account],tblGLMap[Cost Category])</f>
        <v>Maintenance &amp; Repairs</v>
      </c>
      <c r="H502" s="1" t="str">
        <f>TEXT(tblActuals[[#This Row],[Date]],"mmm")</f>
        <v>Jun</v>
      </c>
    </row>
    <row r="503" spans="1:8" x14ac:dyDescent="0.25">
      <c r="A503" s="2">
        <v>45813</v>
      </c>
      <c r="B503" s="1" t="s">
        <v>5</v>
      </c>
      <c r="C503">
        <v>6320</v>
      </c>
      <c r="D503" s="1" t="s">
        <v>34</v>
      </c>
      <c r="E503" s="1" t="s">
        <v>42</v>
      </c>
      <c r="F503">
        <v>2621</v>
      </c>
      <c r="G503" s="1" t="str">
        <f>_xlfn.XLOOKUP(tblActuals[[#This Row],[GL Account]],tblGLMap[GL Account],tblGLMap[Cost Category])</f>
        <v>Maintenance &amp; Repairs</v>
      </c>
      <c r="H503" s="1" t="str">
        <f>TEXT(tblActuals[[#This Row],[Date]],"mmm")</f>
        <v>Jun</v>
      </c>
    </row>
    <row r="504" spans="1:8" x14ac:dyDescent="0.25">
      <c r="A504" s="2">
        <v>45814</v>
      </c>
      <c r="B504" s="1" t="s">
        <v>5</v>
      </c>
      <c r="C504">
        <v>6320</v>
      </c>
      <c r="D504" s="1" t="s">
        <v>35</v>
      </c>
      <c r="E504" s="1" t="s">
        <v>42</v>
      </c>
      <c r="F504">
        <v>11840</v>
      </c>
      <c r="G504" s="1" t="str">
        <f>_xlfn.XLOOKUP(tblActuals[[#This Row],[GL Account]],tblGLMap[GL Account],tblGLMap[Cost Category])</f>
        <v>Maintenance &amp; Repairs</v>
      </c>
      <c r="H504" s="1" t="str">
        <f>TEXT(tblActuals[[#This Row],[Date]],"mmm")</f>
        <v>Jun</v>
      </c>
    </row>
    <row r="505" spans="1:8" x14ac:dyDescent="0.25">
      <c r="A505" s="2">
        <v>45815</v>
      </c>
      <c r="B505" s="1" t="s">
        <v>5</v>
      </c>
      <c r="C505">
        <v>6320</v>
      </c>
      <c r="D505" s="1" t="s">
        <v>34</v>
      </c>
      <c r="E505" s="1" t="s">
        <v>42</v>
      </c>
      <c r="F505">
        <v>6208</v>
      </c>
      <c r="G505" s="1" t="str">
        <f>_xlfn.XLOOKUP(tblActuals[[#This Row],[GL Account]],tblGLMap[GL Account],tblGLMap[Cost Category])</f>
        <v>Maintenance &amp; Repairs</v>
      </c>
      <c r="H505" s="1" t="str">
        <f>TEXT(tblActuals[[#This Row],[Date]],"mmm")</f>
        <v>Jun</v>
      </c>
    </row>
    <row r="506" spans="1:8" x14ac:dyDescent="0.25">
      <c r="A506" s="2">
        <v>45813</v>
      </c>
      <c r="B506" s="1" t="s">
        <v>10</v>
      </c>
      <c r="C506">
        <v>6010</v>
      </c>
      <c r="D506" s="1" t="s">
        <v>39</v>
      </c>
      <c r="E506" s="1" t="s">
        <v>30</v>
      </c>
      <c r="F506">
        <v>2980</v>
      </c>
      <c r="G506" s="1" t="str">
        <f>_xlfn.XLOOKUP(tblActuals[[#This Row],[GL Account]],tblGLMap[GL Account],tblGLMap[Cost Category])</f>
        <v>Labor</v>
      </c>
      <c r="H506" s="1" t="str">
        <f>TEXT(tblActuals[[#This Row],[Date]],"mmm")</f>
        <v>Jun</v>
      </c>
    </row>
    <row r="507" spans="1:8" x14ac:dyDescent="0.25">
      <c r="A507" s="2">
        <v>45814</v>
      </c>
      <c r="B507" s="1" t="s">
        <v>10</v>
      </c>
      <c r="C507">
        <v>6010</v>
      </c>
      <c r="D507" s="1" t="s">
        <v>35</v>
      </c>
      <c r="E507" s="1" t="s">
        <v>30</v>
      </c>
      <c r="F507">
        <v>3112</v>
      </c>
      <c r="G507" s="1" t="str">
        <f>_xlfn.XLOOKUP(tblActuals[[#This Row],[GL Account]],tblGLMap[GL Account],tblGLMap[Cost Category])</f>
        <v>Labor</v>
      </c>
      <c r="H507" s="1" t="str">
        <f>TEXT(tblActuals[[#This Row],[Date]],"mmm")</f>
        <v>Jun</v>
      </c>
    </row>
    <row r="508" spans="1:8" x14ac:dyDescent="0.25">
      <c r="A508" s="2">
        <v>45815</v>
      </c>
      <c r="B508" s="1" t="s">
        <v>10</v>
      </c>
      <c r="C508">
        <v>6010</v>
      </c>
      <c r="D508" s="1" t="s">
        <v>39</v>
      </c>
      <c r="E508" s="1" t="s">
        <v>30</v>
      </c>
      <c r="F508">
        <v>3146</v>
      </c>
      <c r="G508" s="1" t="str">
        <f>_xlfn.XLOOKUP(tblActuals[[#This Row],[GL Account]],tblGLMap[GL Account],tblGLMap[Cost Category])</f>
        <v>Labor</v>
      </c>
      <c r="H508" s="1" t="str">
        <f>TEXT(tblActuals[[#This Row],[Date]],"mmm")</f>
        <v>Jun</v>
      </c>
    </row>
    <row r="509" spans="1:8" x14ac:dyDescent="0.25">
      <c r="A509" s="2">
        <v>45813</v>
      </c>
      <c r="B509" s="1" t="s">
        <v>10</v>
      </c>
      <c r="C509">
        <v>6020</v>
      </c>
      <c r="D509" s="1" t="s">
        <v>35</v>
      </c>
      <c r="E509" s="1" t="s">
        <v>33</v>
      </c>
      <c r="F509">
        <v>4225</v>
      </c>
      <c r="G509" s="1" t="str">
        <f>_xlfn.XLOOKUP(tblActuals[[#This Row],[GL Account]],tblGLMap[GL Account],tblGLMap[Cost Category])</f>
        <v>Labor</v>
      </c>
      <c r="H509" s="1" t="str">
        <f>TEXT(tblActuals[[#This Row],[Date]],"mmm")</f>
        <v>Jun</v>
      </c>
    </row>
    <row r="510" spans="1:8" x14ac:dyDescent="0.25">
      <c r="A510" s="2">
        <v>45814</v>
      </c>
      <c r="B510" s="1" t="s">
        <v>10</v>
      </c>
      <c r="C510">
        <v>6020</v>
      </c>
      <c r="D510" s="1" t="s">
        <v>31</v>
      </c>
      <c r="E510" s="1" t="s">
        <v>33</v>
      </c>
      <c r="F510">
        <v>6406</v>
      </c>
      <c r="G510" s="1" t="str">
        <f>_xlfn.XLOOKUP(tblActuals[[#This Row],[GL Account]],tblGLMap[GL Account],tblGLMap[Cost Category])</f>
        <v>Labor</v>
      </c>
      <c r="H510" s="1" t="str">
        <f>TEXT(tblActuals[[#This Row],[Date]],"mmm")</f>
        <v>Jun</v>
      </c>
    </row>
    <row r="511" spans="1:8" x14ac:dyDescent="0.25">
      <c r="A511" s="2">
        <v>45815</v>
      </c>
      <c r="B511" s="1" t="s">
        <v>10</v>
      </c>
      <c r="C511">
        <v>6020</v>
      </c>
      <c r="D511" s="1" t="s">
        <v>29</v>
      </c>
      <c r="E511" s="1" t="s">
        <v>33</v>
      </c>
      <c r="F511">
        <v>2253</v>
      </c>
      <c r="G511" s="1" t="str">
        <f>_xlfn.XLOOKUP(tblActuals[[#This Row],[GL Account]],tblGLMap[GL Account],tblGLMap[Cost Category])</f>
        <v>Labor</v>
      </c>
      <c r="H511" s="1" t="str">
        <f>TEXT(tblActuals[[#This Row],[Date]],"mmm")</f>
        <v>Jun</v>
      </c>
    </row>
    <row r="512" spans="1:8" x14ac:dyDescent="0.25">
      <c r="A512" s="2">
        <v>45813</v>
      </c>
      <c r="B512" s="1" t="s">
        <v>10</v>
      </c>
      <c r="C512">
        <v>6110</v>
      </c>
      <c r="D512" s="1" t="s">
        <v>29</v>
      </c>
      <c r="E512" s="1" t="s">
        <v>36</v>
      </c>
      <c r="F512">
        <v>2419</v>
      </c>
      <c r="G512" s="1" t="str">
        <f>_xlfn.XLOOKUP(tblActuals[[#This Row],[GL Account]],tblGLMap[GL Account],tblGLMap[Cost Category])</f>
        <v>Supplies &amp; Inventory</v>
      </c>
      <c r="H512" s="1" t="str">
        <f>TEXT(tblActuals[[#This Row],[Date]],"mmm")</f>
        <v>Jun</v>
      </c>
    </row>
    <row r="513" spans="1:8" x14ac:dyDescent="0.25">
      <c r="A513" s="2">
        <v>45814</v>
      </c>
      <c r="B513" s="1" t="s">
        <v>10</v>
      </c>
      <c r="C513">
        <v>6110</v>
      </c>
      <c r="D513" s="1" t="s">
        <v>29</v>
      </c>
      <c r="E513" s="1" t="s">
        <v>36</v>
      </c>
      <c r="F513">
        <v>7373</v>
      </c>
      <c r="G513" s="1" t="str">
        <f>_xlfn.XLOOKUP(tblActuals[[#This Row],[GL Account]],tblGLMap[GL Account],tblGLMap[Cost Category])</f>
        <v>Supplies &amp; Inventory</v>
      </c>
      <c r="H513" s="1" t="str">
        <f>TEXT(tblActuals[[#This Row],[Date]],"mmm")</f>
        <v>Jun</v>
      </c>
    </row>
    <row r="514" spans="1:8" x14ac:dyDescent="0.25">
      <c r="A514" s="2">
        <v>45815</v>
      </c>
      <c r="B514" s="1" t="s">
        <v>10</v>
      </c>
      <c r="C514">
        <v>6110</v>
      </c>
      <c r="D514" s="1" t="s">
        <v>34</v>
      </c>
      <c r="E514" s="1" t="s">
        <v>36</v>
      </c>
      <c r="F514">
        <v>8556</v>
      </c>
      <c r="G514" s="1" t="str">
        <f>_xlfn.XLOOKUP(tblActuals[[#This Row],[GL Account]],tblGLMap[GL Account],tblGLMap[Cost Category])</f>
        <v>Supplies &amp; Inventory</v>
      </c>
      <c r="H514" s="1" t="str">
        <f>TEXT(tblActuals[[#This Row],[Date]],"mmm")</f>
        <v>Jun</v>
      </c>
    </row>
    <row r="515" spans="1:8" x14ac:dyDescent="0.25">
      <c r="A515" s="2">
        <v>45813</v>
      </c>
      <c r="B515" s="1" t="s">
        <v>10</v>
      </c>
      <c r="C515">
        <v>6120</v>
      </c>
      <c r="D515" s="1" t="s">
        <v>32</v>
      </c>
      <c r="E515" s="1" t="s">
        <v>37</v>
      </c>
      <c r="F515">
        <v>5500</v>
      </c>
      <c r="G515" s="1" t="str">
        <f>_xlfn.XLOOKUP(tblActuals[[#This Row],[GL Account]],tblGLMap[GL Account],tblGLMap[Cost Category])</f>
        <v>Supplies &amp; Inventory</v>
      </c>
      <c r="H515" s="1" t="str">
        <f>TEXT(tblActuals[[#This Row],[Date]],"mmm")</f>
        <v>Jun</v>
      </c>
    </row>
    <row r="516" spans="1:8" x14ac:dyDescent="0.25">
      <c r="A516" s="2">
        <v>45814</v>
      </c>
      <c r="B516" s="1" t="s">
        <v>10</v>
      </c>
      <c r="C516">
        <v>6120</v>
      </c>
      <c r="D516" s="1" t="s">
        <v>32</v>
      </c>
      <c r="E516" s="1" t="s">
        <v>37</v>
      </c>
      <c r="F516">
        <v>8251</v>
      </c>
      <c r="G516" s="1" t="str">
        <f>_xlfn.XLOOKUP(tblActuals[[#This Row],[GL Account]],tblGLMap[GL Account],tblGLMap[Cost Category])</f>
        <v>Supplies &amp; Inventory</v>
      </c>
      <c r="H516" s="1" t="str">
        <f>TEXT(tblActuals[[#This Row],[Date]],"mmm")</f>
        <v>Jun</v>
      </c>
    </row>
    <row r="517" spans="1:8" x14ac:dyDescent="0.25">
      <c r="A517" s="2">
        <v>45815</v>
      </c>
      <c r="B517" s="1" t="s">
        <v>10</v>
      </c>
      <c r="C517">
        <v>6120</v>
      </c>
      <c r="D517" s="1" t="s">
        <v>34</v>
      </c>
      <c r="E517" s="1" t="s">
        <v>37</v>
      </c>
      <c r="F517">
        <v>4450</v>
      </c>
      <c r="G517" s="1" t="str">
        <f>_xlfn.XLOOKUP(tblActuals[[#This Row],[GL Account]],tblGLMap[GL Account],tblGLMap[Cost Category])</f>
        <v>Supplies &amp; Inventory</v>
      </c>
      <c r="H517" s="1" t="str">
        <f>TEXT(tblActuals[[#This Row],[Date]],"mmm")</f>
        <v>Jun</v>
      </c>
    </row>
    <row r="518" spans="1:8" x14ac:dyDescent="0.25">
      <c r="A518" s="2">
        <v>45813</v>
      </c>
      <c r="B518" s="1" t="s">
        <v>10</v>
      </c>
      <c r="C518">
        <v>6210</v>
      </c>
      <c r="D518" s="1" t="s">
        <v>31</v>
      </c>
      <c r="E518" s="1" t="s">
        <v>38</v>
      </c>
      <c r="F518">
        <v>4368</v>
      </c>
      <c r="G518" s="1" t="str">
        <f>_xlfn.XLOOKUP(tblActuals[[#This Row],[GL Account]],tblGLMap[GL Account],tblGLMap[Cost Category])</f>
        <v>Utilities</v>
      </c>
      <c r="H518" s="1" t="str">
        <f>TEXT(tblActuals[[#This Row],[Date]],"mmm")</f>
        <v>Jun</v>
      </c>
    </row>
    <row r="519" spans="1:8" x14ac:dyDescent="0.25">
      <c r="A519" s="2">
        <v>45814</v>
      </c>
      <c r="B519" s="1" t="s">
        <v>10</v>
      </c>
      <c r="C519">
        <v>6210</v>
      </c>
      <c r="D519" s="1" t="s">
        <v>39</v>
      </c>
      <c r="E519" s="1" t="s">
        <v>38</v>
      </c>
      <c r="F519">
        <v>11485</v>
      </c>
      <c r="G519" s="1" t="str">
        <f>_xlfn.XLOOKUP(tblActuals[[#This Row],[GL Account]],tblGLMap[GL Account],tblGLMap[Cost Category])</f>
        <v>Utilities</v>
      </c>
      <c r="H519" s="1" t="str">
        <f>TEXT(tblActuals[[#This Row],[Date]],"mmm")</f>
        <v>Jun</v>
      </c>
    </row>
    <row r="520" spans="1:8" x14ac:dyDescent="0.25">
      <c r="A520" s="2">
        <v>45815</v>
      </c>
      <c r="B520" s="1" t="s">
        <v>10</v>
      </c>
      <c r="C520">
        <v>6210</v>
      </c>
      <c r="D520" s="1" t="s">
        <v>35</v>
      </c>
      <c r="E520" s="1" t="s">
        <v>38</v>
      </c>
      <c r="F520">
        <v>11653</v>
      </c>
      <c r="G520" s="1" t="str">
        <f>_xlfn.XLOOKUP(tblActuals[[#This Row],[GL Account]],tblGLMap[GL Account],tblGLMap[Cost Category])</f>
        <v>Utilities</v>
      </c>
      <c r="H520" s="1" t="str">
        <f>TEXT(tblActuals[[#This Row],[Date]],"mmm")</f>
        <v>Jun</v>
      </c>
    </row>
    <row r="521" spans="1:8" x14ac:dyDescent="0.25">
      <c r="A521" s="2">
        <v>45813</v>
      </c>
      <c r="B521" s="1" t="s">
        <v>10</v>
      </c>
      <c r="C521">
        <v>6220</v>
      </c>
      <c r="D521" s="1" t="s">
        <v>39</v>
      </c>
      <c r="E521" s="1" t="s">
        <v>40</v>
      </c>
      <c r="F521">
        <v>5445</v>
      </c>
      <c r="G521" s="1" t="str">
        <f>_xlfn.XLOOKUP(tblActuals[[#This Row],[GL Account]],tblGLMap[GL Account],tblGLMap[Cost Category])</f>
        <v>Utilities</v>
      </c>
      <c r="H521" s="1" t="str">
        <f>TEXT(tblActuals[[#This Row],[Date]],"mmm")</f>
        <v>Jun</v>
      </c>
    </row>
    <row r="522" spans="1:8" x14ac:dyDescent="0.25">
      <c r="A522" s="2">
        <v>45814</v>
      </c>
      <c r="B522" s="1" t="s">
        <v>10</v>
      </c>
      <c r="C522">
        <v>6220</v>
      </c>
      <c r="D522" s="1" t="s">
        <v>34</v>
      </c>
      <c r="E522" s="1" t="s">
        <v>40</v>
      </c>
      <c r="F522">
        <v>11054</v>
      </c>
      <c r="G522" s="1" t="str">
        <f>_xlfn.XLOOKUP(tblActuals[[#This Row],[GL Account]],tblGLMap[GL Account],tblGLMap[Cost Category])</f>
        <v>Utilities</v>
      </c>
      <c r="H522" s="1" t="str">
        <f>TEXT(tblActuals[[#This Row],[Date]],"mmm")</f>
        <v>Jun</v>
      </c>
    </row>
    <row r="523" spans="1:8" x14ac:dyDescent="0.25">
      <c r="A523" s="2">
        <v>45815</v>
      </c>
      <c r="B523" s="1" t="s">
        <v>10</v>
      </c>
      <c r="C523">
        <v>6220</v>
      </c>
      <c r="D523" s="1" t="s">
        <v>39</v>
      </c>
      <c r="E523" s="1" t="s">
        <v>40</v>
      </c>
      <c r="F523">
        <v>5304</v>
      </c>
      <c r="G523" s="1" t="str">
        <f>_xlfn.XLOOKUP(tblActuals[[#This Row],[GL Account]],tblGLMap[GL Account],tblGLMap[Cost Category])</f>
        <v>Utilities</v>
      </c>
      <c r="H523" s="1" t="str">
        <f>TEXT(tblActuals[[#This Row],[Date]],"mmm")</f>
        <v>Jun</v>
      </c>
    </row>
    <row r="524" spans="1:8" x14ac:dyDescent="0.25">
      <c r="A524" s="2">
        <v>45813</v>
      </c>
      <c r="B524" s="1" t="s">
        <v>10</v>
      </c>
      <c r="C524">
        <v>6310</v>
      </c>
      <c r="D524" s="1" t="s">
        <v>29</v>
      </c>
      <c r="E524" s="1" t="s">
        <v>41</v>
      </c>
      <c r="F524">
        <v>11951</v>
      </c>
      <c r="G524" s="1" t="str">
        <f>_xlfn.XLOOKUP(tblActuals[[#This Row],[GL Account]],tblGLMap[GL Account],tblGLMap[Cost Category])</f>
        <v>Maintenance &amp; Repairs</v>
      </c>
      <c r="H524" s="1" t="str">
        <f>TEXT(tblActuals[[#This Row],[Date]],"mmm")</f>
        <v>Jun</v>
      </c>
    </row>
    <row r="525" spans="1:8" x14ac:dyDescent="0.25">
      <c r="A525" s="2">
        <v>45814</v>
      </c>
      <c r="B525" s="1" t="s">
        <v>10</v>
      </c>
      <c r="C525">
        <v>6310</v>
      </c>
      <c r="D525" s="1" t="s">
        <v>29</v>
      </c>
      <c r="E525" s="1" t="s">
        <v>41</v>
      </c>
      <c r="F525">
        <v>9029</v>
      </c>
      <c r="G525" s="1" t="str">
        <f>_xlfn.XLOOKUP(tblActuals[[#This Row],[GL Account]],tblGLMap[GL Account],tblGLMap[Cost Category])</f>
        <v>Maintenance &amp; Repairs</v>
      </c>
      <c r="H525" s="1" t="str">
        <f>TEXT(tblActuals[[#This Row],[Date]],"mmm")</f>
        <v>Jun</v>
      </c>
    </row>
    <row r="526" spans="1:8" x14ac:dyDescent="0.25">
      <c r="A526" s="2">
        <v>45815</v>
      </c>
      <c r="B526" s="1" t="s">
        <v>10</v>
      </c>
      <c r="C526">
        <v>6310</v>
      </c>
      <c r="D526" s="1" t="s">
        <v>39</v>
      </c>
      <c r="E526" s="1" t="s">
        <v>41</v>
      </c>
      <c r="F526">
        <v>1653</v>
      </c>
      <c r="G526" s="1" t="str">
        <f>_xlfn.XLOOKUP(tblActuals[[#This Row],[GL Account]],tblGLMap[GL Account],tblGLMap[Cost Category])</f>
        <v>Maintenance &amp; Repairs</v>
      </c>
      <c r="H526" s="1" t="str">
        <f>TEXT(tblActuals[[#This Row],[Date]],"mmm")</f>
        <v>Jun</v>
      </c>
    </row>
    <row r="527" spans="1:8" x14ac:dyDescent="0.25">
      <c r="A527" s="2">
        <v>45813</v>
      </c>
      <c r="B527" s="1" t="s">
        <v>10</v>
      </c>
      <c r="C527">
        <v>6320</v>
      </c>
      <c r="D527" s="1" t="s">
        <v>35</v>
      </c>
      <c r="E527" s="1" t="s">
        <v>42</v>
      </c>
      <c r="F527">
        <v>6212</v>
      </c>
      <c r="G527" s="1" t="str">
        <f>_xlfn.XLOOKUP(tblActuals[[#This Row],[GL Account]],tblGLMap[GL Account],tblGLMap[Cost Category])</f>
        <v>Maintenance &amp; Repairs</v>
      </c>
      <c r="H527" s="1" t="str">
        <f>TEXT(tblActuals[[#This Row],[Date]],"mmm")</f>
        <v>Jun</v>
      </c>
    </row>
    <row r="528" spans="1:8" x14ac:dyDescent="0.25">
      <c r="A528" s="2">
        <v>45814</v>
      </c>
      <c r="B528" s="1" t="s">
        <v>10</v>
      </c>
      <c r="C528">
        <v>6320</v>
      </c>
      <c r="D528" s="1" t="s">
        <v>34</v>
      </c>
      <c r="E528" s="1" t="s">
        <v>42</v>
      </c>
      <c r="F528">
        <v>10455</v>
      </c>
      <c r="G528" s="1" t="str">
        <f>_xlfn.XLOOKUP(tblActuals[[#This Row],[GL Account]],tblGLMap[GL Account],tblGLMap[Cost Category])</f>
        <v>Maintenance &amp; Repairs</v>
      </c>
      <c r="H528" s="1" t="str">
        <f>TEXT(tblActuals[[#This Row],[Date]],"mmm")</f>
        <v>Jun</v>
      </c>
    </row>
    <row r="529" spans="1:8" x14ac:dyDescent="0.25">
      <c r="A529" s="2">
        <v>45815</v>
      </c>
      <c r="B529" s="1" t="s">
        <v>10</v>
      </c>
      <c r="C529">
        <v>6320</v>
      </c>
      <c r="D529" s="1" t="s">
        <v>39</v>
      </c>
      <c r="E529" s="1" t="s">
        <v>42</v>
      </c>
      <c r="F529">
        <v>2710</v>
      </c>
      <c r="G529" s="1" t="str">
        <f>_xlfn.XLOOKUP(tblActuals[[#This Row],[GL Account]],tblGLMap[GL Account],tblGLMap[Cost Category])</f>
        <v>Maintenance &amp; Repairs</v>
      </c>
      <c r="H529" s="1" t="str">
        <f>TEXT(tblActuals[[#This Row],[Date]],"mmm")</f>
        <v>Jun</v>
      </c>
    </row>
    <row r="530" spans="1:8" x14ac:dyDescent="0.25">
      <c r="A530" s="2">
        <v>45813</v>
      </c>
      <c r="B530" s="1" t="s">
        <v>11</v>
      </c>
      <c r="C530">
        <v>6010</v>
      </c>
      <c r="D530" s="1" t="s">
        <v>32</v>
      </c>
      <c r="E530" s="1" t="s">
        <v>30</v>
      </c>
      <c r="F530">
        <v>7161</v>
      </c>
      <c r="G530" s="1" t="str">
        <f>_xlfn.XLOOKUP(tblActuals[[#This Row],[GL Account]],tblGLMap[GL Account],tblGLMap[Cost Category])</f>
        <v>Labor</v>
      </c>
      <c r="H530" s="1" t="str">
        <f>TEXT(tblActuals[[#This Row],[Date]],"mmm")</f>
        <v>Jun</v>
      </c>
    </row>
    <row r="531" spans="1:8" x14ac:dyDescent="0.25">
      <c r="A531" s="2">
        <v>45814</v>
      </c>
      <c r="B531" s="1" t="s">
        <v>11</v>
      </c>
      <c r="C531">
        <v>6010</v>
      </c>
      <c r="D531" s="1" t="s">
        <v>35</v>
      </c>
      <c r="E531" s="1" t="s">
        <v>30</v>
      </c>
      <c r="F531">
        <v>6401</v>
      </c>
      <c r="G531" s="1" t="str">
        <f>_xlfn.XLOOKUP(tblActuals[[#This Row],[GL Account]],tblGLMap[GL Account],tblGLMap[Cost Category])</f>
        <v>Labor</v>
      </c>
      <c r="H531" s="1" t="str">
        <f>TEXT(tblActuals[[#This Row],[Date]],"mmm")</f>
        <v>Jun</v>
      </c>
    </row>
    <row r="532" spans="1:8" x14ac:dyDescent="0.25">
      <c r="A532" s="2">
        <v>45815</v>
      </c>
      <c r="B532" s="1" t="s">
        <v>11</v>
      </c>
      <c r="C532">
        <v>6010</v>
      </c>
      <c r="D532" s="1" t="s">
        <v>35</v>
      </c>
      <c r="E532" s="1" t="s">
        <v>30</v>
      </c>
      <c r="F532">
        <v>8451</v>
      </c>
      <c r="G532" s="1" t="str">
        <f>_xlfn.XLOOKUP(tblActuals[[#This Row],[GL Account]],tblGLMap[GL Account],tblGLMap[Cost Category])</f>
        <v>Labor</v>
      </c>
      <c r="H532" s="1" t="str">
        <f>TEXT(tblActuals[[#This Row],[Date]],"mmm")</f>
        <v>Jun</v>
      </c>
    </row>
    <row r="533" spans="1:8" x14ac:dyDescent="0.25">
      <c r="A533" s="2">
        <v>45813</v>
      </c>
      <c r="B533" s="1" t="s">
        <v>11</v>
      </c>
      <c r="C533">
        <v>6020</v>
      </c>
      <c r="D533" s="1" t="s">
        <v>39</v>
      </c>
      <c r="E533" s="1" t="s">
        <v>33</v>
      </c>
      <c r="F533">
        <v>5597</v>
      </c>
      <c r="G533" s="1" t="str">
        <f>_xlfn.XLOOKUP(tblActuals[[#This Row],[GL Account]],tblGLMap[GL Account],tblGLMap[Cost Category])</f>
        <v>Labor</v>
      </c>
      <c r="H533" s="1" t="str">
        <f>TEXT(tblActuals[[#This Row],[Date]],"mmm")</f>
        <v>Jun</v>
      </c>
    </row>
    <row r="534" spans="1:8" x14ac:dyDescent="0.25">
      <c r="A534" s="2">
        <v>45814</v>
      </c>
      <c r="B534" s="1" t="s">
        <v>11</v>
      </c>
      <c r="C534">
        <v>6020</v>
      </c>
      <c r="D534" s="1" t="s">
        <v>34</v>
      </c>
      <c r="E534" s="1" t="s">
        <v>33</v>
      </c>
      <c r="F534">
        <v>6449</v>
      </c>
      <c r="G534" s="1" t="str">
        <f>_xlfn.XLOOKUP(tblActuals[[#This Row],[GL Account]],tblGLMap[GL Account],tblGLMap[Cost Category])</f>
        <v>Labor</v>
      </c>
      <c r="H534" s="1" t="str">
        <f>TEXT(tblActuals[[#This Row],[Date]],"mmm")</f>
        <v>Jun</v>
      </c>
    </row>
    <row r="535" spans="1:8" x14ac:dyDescent="0.25">
      <c r="A535" s="2">
        <v>45815</v>
      </c>
      <c r="B535" s="1" t="s">
        <v>11</v>
      </c>
      <c r="C535">
        <v>6020</v>
      </c>
      <c r="D535" s="1" t="s">
        <v>39</v>
      </c>
      <c r="E535" s="1" t="s">
        <v>33</v>
      </c>
      <c r="F535">
        <v>7802</v>
      </c>
      <c r="G535" s="1" t="str">
        <f>_xlfn.XLOOKUP(tblActuals[[#This Row],[GL Account]],tblGLMap[GL Account],tblGLMap[Cost Category])</f>
        <v>Labor</v>
      </c>
      <c r="H535" s="1" t="str">
        <f>TEXT(tblActuals[[#This Row],[Date]],"mmm")</f>
        <v>Jun</v>
      </c>
    </row>
    <row r="536" spans="1:8" x14ac:dyDescent="0.25">
      <c r="A536" s="2">
        <v>45813</v>
      </c>
      <c r="B536" s="1" t="s">
        <v>11</v>
      </c>
      <c r="C536">
        <v>6110</v>
      </c>
      <c r="D536" s="1" t="s">
        <v>34</v>
      </c>
      <c r="E536" s="1" t="s">
        <v>36</v>
      </c>
      <c r="F536">
        <v>3247</v>
      </c>
      <c r="G536" s="1" t="str">
        <f>_xlfn.XLOOKUP(tblActuals[[#This Row],[GL Account]],tblGLMap[GL Account],tblGLMap[Cost Category])</f>
        <v>Supplies &amp; Inventory</v>
      </c>
      <c r="H536" s="1" t="str">
        <f>TEXT(tblActuals[[#This Row],[Date]],"mmm")</f>
        <v>Jun</v>
      </c>
    </row>
    <row r="537" spans="1:8" x14ac:dyDescent="0.25">
      <c r="A537" s="2">
        <v>45814</v>
      </c>
      <c r="B537" s="1" t="s">
        <v>11</v>
      </c>
      <c r="C537">
        <v>6110</v>
      </c>
      <c r="D537" s="1" t="s">
        <v>32</v>
      </c>
      <c r="E537" s="1" t="s">
        <v>36</v>
      </c>
      <c r="F537">
        <v>7748</v>
      </c>
      <c r="G537" s="1" t="str">
        <f>_xlfn.XLOOKUP(tblActuals[[#This Row],[GL Account]],tblGLMap[GL Account],tblGLMap[Cost Category])</f>
        <v>Supplies &amp; Inventory</v>
      </c>
      <c r="H537" s="1" t="str">
        <f>TEXT(tblActuals[[#This Row],[Date]],"mmm")</f>
        <v>Jun</v>
      </c>
    </row>
    <row r="538" spans="1:8" x14ac:dyDescent="0.25">
      <c r="A538" s="2">
        <v>45815</v>
      </c>
      <c r="B538" s="1" t="s">
        <v>11</v>
      </c>
      <c r="C538">
        <v>6110</v>
      </c>
      <c r="D538" s="1" t="s">
        <v>32</v>
      </c>
      <c r="E538" s="1" t="s">
        <v>36</v>
      </c>
      <c r="F538">
        <v>7381</v>
      </c>
      <c r="G538" s="1" t="str">
        <f>_xlfn.XLOOKUP(tblActuals[[#This Row],[GL Account]],tblGLMap[GL Account],tblGLMap[Cost Category])</f>
        <v>Supplies &amp; Inventory</v>
      </c>
      <c r="H538" s="1" t="str">
        <f>TEXT(tblActuals[[#This Row],[Date]],"mmm")</f>
        <v>Jun</v>
      </c>
    </row>
    <row r="539" spans="1:8" x14ac:dyDescent="0.25">
      <c r="A539" s="2">
        <v>45813</v>
      </c>
      <c r="B539" s="1" t="s">
        <v>11</v>
      </c>
      <c r="C539">
        <v>6120</v>
      </c>
      <c r="D539" s="1" t="s">
        <v>35</v>
      </c>
      <c r="E539" s="1" t="s">
        <v>37</v>
      </c>
      <c r="F539">
        <v>6347</v>
      </c>
      <c r="G539" s="1" t="str">
        <f>_xlfn.XLOOKUP(tblActuals[[#This Row],[GL Account]],tblGLMap[GL Account],tblGLMap[Cost Category])</f>
        <v>Supplies &amp; Inventory</v>
      </c>
      <c r="H539" s="1" t="str">
        <f>TEXT(tblActuals[[#This Row],[Date]],"mmm")</f>
        <v>Jun</v>
      </c>
    </row>
    <row r="540" spans="1:8" x14ac:dyDescent="0.25">
      <c r="A540" s="2">
        <v>45814</v>
      </c>
      <c r="B540" s="1" t="s">
        <v>11</v>
      </c>
      <c r="C540">
        <v>6120</v>
      </c>
      <c r="D540" s="1" t="s">
        <v>31</v>
      </c>
      <c r="E540" s="1" t="s">
        <v>37</v>
      </c>
      <c r="F540">
        <v>6337</v>
      </c>
      <c r="G540" s="1" t="str">
        <f>_xlfn.XLOOKUP(tblActuals[[#This Row],[GL Account]],tblGLMap[GL Account],tblGLMap[Cost Category])</f>
        <v>Supplies &amp; Inventory</v>
      </c>
      <c r="H540" s="1" t="str">
        <f>TEXT(tblActuals[[#This Row],[Date]],"mmm")</f>
        <v>Jun</v>
      </c>
    </row>
    <row r="541" spans="1:8" x14ac:dyDescent="0.25">
      <c r="A541" s="2">
        <v>45815</v>
      </c>
      <c r="B541" s="1" t="s">
        <v>11</v>
      </c>
      <c r="C541">
        <v>6120</v>
      </c>
      <c r="D541" s="1" t="s">
        <v>29</v>
      </c>
      <c r="E541" s="1" t="s">
        <v>37</v>
      </c>
      <c r="F541">
        <v>7984</v>
      </c>
      <c r="G541" s="1" t="str">
        <f>_xlfn.XLOOKUP(tblActuals[[#This Row],[GL Account]],tblGLMap[GL Account],tblGLMap[Cost Category])</f>
        <v>Supplies &amp; Inventory</v>
      </c>
      <c r="H541" s="1" t="str">
        <f>TEXT(tblActuals[[#This Row],[Date]],"mmm")</f>
        <v>Jun</v>
      </c>
    </row>
    <row r="542" spans="1:8" x14ac:dyDescent="0.25">
      <c r="A542" s="2">
        <v>45813</v>
      </c>
      <c r="B542" s="1" t="s">
        <v>11</v>
      </c>
      <c r="C542">
        <v>6210</v>
      </c>
      <c r="D542" s="1" t="s">
        <v>32</v>
      </c>
      <c r="E542" s="1" t="s">
        <v>38</v>
      </c>
      <c r="F542">
        <v>1632</v>
      </c>
      <c r="G542" s="1" t="str">
        <f>_xlfn.XLOOKUP(tblActuals[[#This Row],[GL Account]],tblGLMap[GL Account],tblGLMap[Cost Category])</f>
        <v>Utilities</v>
      </c>
      <c r="H542" s="1" t="str">
        <f>TEXT(tblActuals[[#This Row],[Date]],"mmm")</f>
        <v>Jun</v>
      </c>
    </row>
    <row r="543" spans="1:8" x14ac:dyDescent="0.25">
      <c r="A543" s="2">
        <v>45814</v>
      </c>
      <c r="B543" s="1" t="s">
        <v>11</v>
      </c>
      <c r="C543">
        <v>6210</v>
      </c>
      <c r="D543" s="1" t="s">
        <v>32</v>
      </c>
      <c r="E543" s="1" t="s">
        <v>38</v>
      </c>
      <c r="F543">
        <v>2303</v>
      </c>
      <c r="G543" s="1" t="str">
        <f>_xlfn.XLOOKUP(tblActuals[[#This Row],[GL Account]],tblGLMap[GL Account],tblGLMap[Cost Category])</f>
        <v>Utilities</v>
      </c>
      <c r="H543" s="1" t="str">
        <f>TEXT(tblActuals[[#This Row],[Date]],"mmm")</f>
        <v>Jun</v>
      </c>
    </row>
    <row r="544" spans="1:8" x14ac:dyDescent="0.25">
      <c r="A544" s="2">
        <v>45815</v>
      </c>
      <c r="B544" s="1" t="s">
        <v>11</v>
      </c>
      <c r="C544">
        <v>6210</v>
      </c>
      <c r="D544" s="1" t="s">
        <v>29</v>
      </c>
      <c r="E544" s="1" t="s">
        <v>38</v>
      </c>
      <c r="F544">
        <v>9638</v>
      </c>
      <c r="G544" s="1" t="str">
        <f>_xlfn.XLOOKUP(tblActuals[[#This Row],[GL Account]],tblGLMap[GL Account],tblGLMap[Cost Category])</f>
        <v>Utilities</v>
      </c>
      <c r="H544" s="1" t="str">
        <f>TEXT(tblActuals[[#This Row],[Date]],"mmm")</f>
        <v>Jun</v>
      </c>
    </row>
    <row r="545" spans="1:8" x14ac:dyDescent="0.25">
      <c r="A545" s="2">
        <v>45813</v>
      </c>
      <c r="B545" s="1" t="s">
        <v>11</v>
      </c>
      <c r="C545">
        <v>6220</v>
      </c>
      <c r="D545" s="1" t="s">
        <v>32</v>
      </c>
      <c r="E545" s="1" t="s">
        <v>40</v>
      </c>
      <c r="F545">
        <v>5270</v>
      </c>
      <c r="G545" s="1" t="str">
        <f>_xlfn.XLOOKUP(tblActuals[[#This Row],[GL Account]],tblGLMap[GL Account],tblGLMap[Cost Category])</f>
        <v>Utilities</v>
      </c>
      <c r="H545" s="1" t="str">
        <f>TEXT(tblActuals[[#This Row],[Date]],"mmm")</f>
        <v>Jun</v>
      </c>
    </row>
    <row r="546" spans="1:8" x14ac:dyDescent="0.25">
      <c r="A546" s="2">
        <v>45814</v>
      </c>
      <c r="B546" s="1" t="s">
        <v>11</v>
      </c>
      <c r="C546">
        <v>6220</v>
      </c>
      <c r="D546" s="1" t="s">
        <v>34</v>
      </c>
      <c r="E546" s="1" t="s">
        <v>40</v>
      </c>
      <c r="F546">
        <v>7272</v>
      </c>
      <c r="G546" s="1" t="str">
        <f>_xlfn.XLOOKUP(tblActuals[[#This Row],[GL Account]],tblGLMap[GL Account],tblGLMap[Cost Category])</f>
        <v>Utilities</v>
      </c>
      <c r="H546" s="1" t="str">
        <f>TEXT(tblActuals[[#This Row],[Date]],"mmm")</f>
        <v>Jun</v>
      </c>
    </row>
    <row r="547" spans="1:8" x14ac:dyDescent="0.25">
      <c r="A547" s="2">
        <v>45815</v>
      </c>
      <c r="B547" s="1" t="s">
        <v>11</v>
      </c>
      <c r="C547">
        <v>6220</v>
      </c>
      <c r="D547" s="1" t="s">
        <v>34</v>
      </c>
      <c r="E547" s="1" t="s">
        <v>40</v>
      </c>
      <c r="F547">
        <v>11930</v>
      </c>
      <c r="G547" s="1" t="str">
        <f>_xlfn.XLOOKUP(tblActuals[[#This Row],[GL Account]],tblGLMap[GL Account],tblGLMap[Cost Category])</f>
        <v>Utilities</v>
      </c>
      <c r="H547" s="1" t="str">
        <f>TEXT(tblActuals[[#This Row],[Date]],"mmm")</f>
        <v>Jun</v>
      </c>
    </row>
    <row r="548" spans="1:8" x14ac:dyDescent="0.25">
      <c r="A548" s="2">
        <v>45813</v>
      </c>
      <c r="B548" s="1" t="s">
        <v>11</v>
      </c>
      <c r="C548">
        <v>6310</v>
      </c>
      <c r="D548" s="1" t="s">
        <v>29</v>
      </c>
      <c r="E548" s="1" t="s">
        <v>41</v>
      </c>
      <c r="F548">
        <v>11672</v>
      </c>
      <c r="G548" s="1" t="str">
        <f>_xlfn.XLOOKUP(tblActuals[[#This Row],[GL Account]],tblGLMap[GL Account],tblGLMap[Cost Category])</f>
        <v>Maintenance &amp; Repairs</v>
      </c>
      <c r="H548" s="1" t="str">
        <f>TEXT(tblActuals[[#This Row],[Date]],"mmm")</f>
        <v>Jun</v>
      </c>
    </row>
    <row r="549" spans="1:8" x14ac:dyDescent="0.25">
      <c r="A549" s="2">
        <v>45814</v>
      </c>
      <c r="B549" s="1" t="s">
        <v>11</v>
      </c>
      <c r="C549">
        <v>6310</v>
      </c>
      <c r="D549" s="1" t="s">
        <v>35</v>
      </c>
      <c r="E549" s="1" t="s">
        <v>41</v>
      </c>
      <c r="F549">
        <v>3740</v>
      </c>
      <c r="G549" s="1" t="str">
        <f>_xlfn.XLOOKUP(tblActuals[[#This Row],[GL Account]],tblGLMap[GL Account],tblGLMap[Cost Category])</f>
        <v>Maintenance &amp; Repairs</v>
      </c>
      <c r="H549" s="1" t="str">
        <f>TEXT(tblActuals[[#This Row],[Date]],"mmm")</f>
        <v>Jun</v>
      </c>
    </row>
    <row r="550" spans="1:8" x14ac:dyDescent="0.25">
      <c r="A550" s="2">
        <v>45815</v>
      </c>
      <c r="B550" s="1" t="s">
        <v>11</v>
      </c>
      <c r="C550">
        <v>6310</v>
      </c>
      <c r="D550" s="1" t="s">
        <v>35</v>
      </c>
      <c r="E550" s="1" t="s">
        <v>41</v>
      </c>
      <c r="F550">
        <v>3091</v>
      </c>
      <c r="G550" s="1" t="str">
        <f>_xlfn.XLOOKUP(tblActuals[[#This Row],[GL Account]],tblGLMap[GL Account],tblGLMap[Cost Category])</f>
        <v>Maintenance &amp; Repairs</v>
      </c>
      <c r="H550" s="1" t="str">
        <f>TEXT(tblActuals[[#This Row],[Date]],"mmm")</f>
        <v>Jun</v>
      </c>
    </row>
    <row r="551" spans="1:8" x14ac:dyDescent="0.25">
      <c r="A551" s="2">
        <v>45813</v>
      </c>
      <c r="B551" s="1" t="s">
        <v>11</v>
      </c>
      <c r="C551">
        <v>6320</v>
      </c>
      <c r="D551" s="1" t="s">
        <v>29</v>
      </c>
      <c r="E551" s="1" t="s">
        <v>42</v>
      </c>
      <c r="F551">
        <v>2145</v>
      </c>
      <c r="G551" s="1" t="str">
        <f>_xlfn.XLOOKUP(tblActuals[[#This Row],[GL Account]],tblGLMap[GL Account],tblGLMap[Cost Category])</f>
        <v>Maintenance &amp; Repairs</v>
      </c>
      <c r="H551" s="1" t="str">
        <f>TEXT(tblActuals[[#This Row],[Date]],"mmm")</f>
        <v>Jun</v>
      </c>
    </row>
    <row r="552" spans="1:8" x14ac:dyDescent="0.25">
      <c r="A552" s="2">
        <v>45814</v>
      </c>
      <c r="B552" s="1" t="s">
        <v>11</v>
      </c>
      <c r="C552">
        <v>6320</v>
      </c>
      <c r="D552" s="1" t="s">
        <v>31</v>
      </c>
      <c r="E552" s="1" t="s">
        <v>42</v>
      </c>
      <c r="F552">
        <v>8722</v>
      </c>
      <c r="G552" s="1" t="str">
        <f>_xlfn.XLOOKUP(tblActuals[[#This Row],[GL Account]],tblGLMap[GL Account],tblGLMap[Cost Category])</f>
        <v>Maintenance &amp; Repairs</v>
      </c>
      <c r="H552" s="1" t="str">
        <f>TEXT(tblActuals[[#This Row],[Date]],"mmm")</f>
        <v>Jun</v>
      </c>
    </row>
    <row r="553" spans="1:8" x14ac:dyDescent="0.25">
      <c r="A553" s="2">
        <v>45815</v>
      </c>
      <c r="B553" s="1" t="s">
        <v>11</v>
      </c>
      <c r="C553">
        <v>6320</v>
      </c>
      <c r="D553" s="1" t="s">
        <v>29</v>
      </c>
      <c r="E553" s="1" t="s">
        <v>42</v>
      </c>
      <c r="F553">
        <v>10995</v>
      </c>
      <c r="G553" s="1" t="str">
        <f>_xlfn.XLOOKUP(tblActuals[[#This Row],[GL Account]],tblGLMap[GL Account],tblGLMap[Cost Category])</f>
        <v>Maintenance &amp; Repairs</v>
      </c>
      <c r="H553" s="1" t="str">
        <f>TEXT(tblActuals[[#This Row],[Date]],"mmm")</f>
        <v>Jun</v>
      </c>
    </row>
    <row r="554" spans="1:8" x14ac:dyDescent="0.25">
      <c r="A554" s="2">
        <v>45813</v>
      </c>
      <c r="B554" s="1" t="s">
        <v>12</v>
      </c>
      <c r="C554">
        <v>6010</v>
      </c>
      <c r="D554" s="1" t="s">
        <v>31</v>
      </c>
      <c r="E554" s="1" t="s">
        <v>30</v>
      </c>
      <c r="F554">
        <v>3653</v>
      </c>
      <c r="G554" s="1" t="str">
        <f>_xlfn.XLOOKUP(tblActuals[[#This Row],[GL Account]],tblGLMap[GL Account],tblGLMap[Cost Category])</f>
        <v>Labor</v>
      </c>
      <c r="H554" s="1" t="str">
        <f>TEXT(tblActuals[[#This Row],[Date]],"mmm")</f>
        <v>Jun</v>
      </c>
    </row>
    <row r="555" spans="1:8" x14ac:dyDescent="0.25">
      <c r="A555" s="2">
        <v>45814</v>
      </c>
      <c r="B555" s="1" t="s">
        <v>12</v>
      </c>
      <c r="C555">
        <v>6010</v>
      </c>
      <c r="D555" s="1" t="s">
        <v>29</v>
      </c>
      <c r="E555" s="1" t="s">
        <v>30</v>
      </c>
      <c r="F555">
        <v>6335</v>
      </c>
      <c r="G555" s="1" t="str">
        <f>_xlfn.XLOOKUP(tblActuals[[#This Row],[GL Account]],tblGLMap[GL Account],tblGLMap[Cost Category])</f>
        <v>Labor</v>
      </c>
      <c r="H555" s="1" t="str">
        <f>TEXT(tblActuals[[#This Row],[Date]],"mmm")</f>
        <v>Jun</v>
      </c>
    </row>
    <row r="556" spans="1:8" x14ac:dyDescent="0.25">
      <c r="A556" s="2">
        <v>45815</v>
      </c>
      <c r="B556" s="1" t="s">
        <v>12</v>
      </c>
      <c r="C556">
        <v>6010</v>
      </c>
      <c r="D556" s="1" t="s">
        <v>34</v>
      </c>
      <c r="E556" s="1" t="s">
        <v>30</v>
      </c>
      <c r="F556">
        <v>8307</v>
      </c>
      <c r="G556" s="1" t="str">
        <f>_xlfn.XLOOKUP(tblActuals[[#This Row],[GL Account]],tblGLMap[GL Account],tblGLMap[Cost Category])</f>
        <v>Labor</v>
      </c>
      <c r="H556" s="1" t="str">
        <f>TEXT(tblActuals[[#This Row],[Date]],"mmm")</f>
        <v>Jun</v>
      </c>
    </row>
    <row r="557" spans="1:8" x14ac:dyDescent="0.25">
      <c r="A557" s="2">
        <v>45813</v>
      </c>
      <c r="B557" s="1" t="s">
        <v>12</v>
      </c>
      <c r="C557">
        <v>6020</v>
      </c>
      <c r="D557" s="1" t="s">
        <v>34</v>
      </c>
      <c r="E557" s="1" t="s">
        <v>33</v>
      </c>
      <c r="F557">
        <v>4789</v>
      </c>
      <c r="G557" s="1" t="str">
        <f>_xlfn.XLOOKUP(tblActuals[[#This Row],[GL Account]],tblGLMap[GL Account],tblGLMap[Cost Category])</f>
        <v>Labor</v>
      </c>
      <c r="H557" s="1" t="str">
        <f>TEXT(tblActuals[[#This Row],[Date]],"mmm")</f>
        <v>Jun</v>
      </c>
    </row>
    <row r="558" spans="1:8" x14ac:dyDescent="0.25">
      <c r="A558" s="2">
        <v>45814</v>
      </c>
      <c r="B558" s="1" t="s">
        <v>12</v>
      </c>
      <c r="C558">
        <v>6020</v>
      </c>
      <c r="D558" s="1" t="s">
        <v>29</v>
      </c>
      <c r="E558" s="1" t="s">
        <v>33</v>
      </c>
      <c r="F558">
        <v>10337</v>
      </c>
      <c r="G558" s="1" t="str">
        <f>_xlfn.XLOOKUP(tblActuals[[#This Row],[GL Account]],tblGLMap[GL Account],tblGLMap[Cost Category])</f>
        <v>Labor</v>
      </c>
      <c r="H558" s="1" t="str">
        <f>TEXT(tblActuals[[#This Row],[Date]],"mmm")</f>
        <v>Jun</v>
      </c>
    </row>
    <row r="559" spans="1:8" x14ac:dyDescent="0.25">
      <c r="A559" s="2">
        <v>45815</v>
      </c>
      <c r="B559" s="1" t="s">
        <v>12</v>
      </c>
      <c r="C559">
        <v>6020</v>
      </c>
      <c r="D559" s="1" t="s">
        <v>32</v>
      </c>
      <c r="E559" s="1" t="s">
        <v>33</v>
      </c>
      <c r="F559">
        <v>10197</v>
      </c>
      <c r="G559" s="1" t="str">
        <f>_xlfn.XLOOKUP(tblActuals[[#This Row],[GL Account]],tblGLMap[GL Account],tblGLMap[Cost Category])</f>
        <v>Labor</v>
      </c>
      <c r="H559" s="1" t="str">
        <f>TEXT(tblActuals[[#This Row],[Date]],"mmm")</f>
        <v>Jun</v>
      </c>
    </row>
    <row r="560" spans="1:8" x14ac:dyDescent="0.25">
      <c r="A560" s="2">
        <v>45813</v>
      </c>
      <c r="B560" s="1" t="s">
        <v>12</v>
      </c>
      <c r="C560">
        <v>6110</v>
      </c>
      <c r="D560" s="1" t="s">
        <v>34</v>
      </c>
      <c r="E560" s="1" t="s">
        <v>36</v>
      </c>
      <c r="F560">
        <v>5965</v>
      </c>
      <c r="G560" s="1" t="str">
        <f>_xlfn.XLOOKUP(tblActuals[[#This Row],[GL Account]],tblGLMap[GL Account],tblGLMap[Cost Category])</f>
        <v>Supplies &amp; Inventory</v>
      </c>
      <c r="H560" s="1" t="str">
        <f>TEXT(tblActuals[[#This Row],[Date]],"mmm")</f>
        <v>Jun</v>
      </c>
    </row>
    <row r="561" spans="1:8" x14ac:dyDescent="0.25">
      <c r="A561" s="2">
        <v>45814</v>
      </c>
      <c r="B561" s="1" t="s">
        <v>12</v>
      </c>
      <c r="C561">
        <v>6110</v>
      </c>
      <c r="D561" s="1" t="s">
        <v>39</v>
      </c>
      <c r="E561" s="1" t="s">
        <v>36</v>
      </c>
      <c r="F561">
        <v>5710</v>
      </c>
      <c r="G561" s="1" t="str">
        <f>_xlfn.XLOOKUP(tblActuals[[#This Row],[GL Account]],tblGLMap[GL Account],tblGLMap[Cost Category])</f>
        <v>Supplies &amp; Inventory</v>
      </c>
      <c r="H561" s="1" t="str">
        <f>TEXT(tblActuals[[#This Row],[Date]],"mmm")</f>
        <v>Jun</v>
      </c>
    </row>
    <row r="562" spans="1:8" x14ac:dyDescent="0.25">
      <c r="A562" s="2">
        <v>45815</v>
      </c>
      <c r="B562" s="1" t="s">
        <v>12</v>
      </c>
      <c r="C562">
        <v>6110</v>
      </c>
      <c r="D562" s="1" t="s">
        <v>35</v>
      </c>
      <c r="E562" s="1" t="s">
        <v>36</v>
      </c>
      <c r="F562">
        <v>6335</v>
      </c>
      <c r="G562" s="1" t="str">
        <f>_xlfn.XLOOKUP(tblActuals[[#This Row],[GL Account]],tblGLMap[GL Account],tblGLMap[Cost Category])</f>
        <v>Supplies &amp; Inventory</v>
      </c>
      <c r="H562" s="1" t="str">
        <f>TEXT(tblActuals[[#This Row],[Date]],"mmm")</f>
        <v>Jun</v>
      </c>
    </row>
    <row r="563" spans="1:8" x14ac:dyDescent="0.25">
      <c r="A563" s="2">
        <v>45813</v>
      </c>
      <c r="B563" s="1" t="s">
        <v>12</v>
      </c>
      <c r="C563">
        <v>6120</v>
      </c>
      <c r="D563" s="1" t="s">
        <v>31</v>
      </c>
      <c r="E563" s="1" t="s">
        <v>37</v>
      </c>
      <c r="F563">
        <v>7049</v>
      </c>
      <c r="G563" s="1" t="str">
        <f>_xlfn.XLOOKUP(tblActuals[[#This Row],[GL Account]],tblGLMap[GL Account],tblGLMap[Cost Category])</f>
        <v>Supplies &amp; Inventory</v>
      </c>
      <c r="H563" s="1" t="str">
        <f>TEXT(tblActuals[[#This Row],[Date]],"mmm")</f>
        <v>Jun</v>
      </c>
    </row>
    <row r="564" spans="1:8" x14ac:dyDescent="0.25">
      <c r="A564" s="2">
        <v>45814</v>
      </c>
      <c r="B564" s="1" t="s">
        <v>12</v>
      </c>
      <c r="C564">
        <v>6120</v>
      </c>
      <c r="D564" s="1" t="s">
        <v>31</v>
      </c>
      <c r="E564" s="1" t="s">
        <v>37</v>
      </c>
      <c r="F564">
        <v>9173</v>
      </c>
      <c r="G564" s="1" t="str">
        <f>_xlfn.XLOOKUP(tblActuals[[#This Row],[GL Account]],tblGLMap[GL Account],tblGLMap[Cost Category])</f>
        <v>Supplies &amp; Inventory</v>
      </c>
      <c r="H564" s="1" t="str">
        <f>TEXT(tblActuals[[#This Row],[Date]],"mmm")</f>
        <v>Jun</v>
      </c>
    </row>
    <row r="565" spans="1:8" x14ac:dyDescent="0.25">
      <c r="A565" s="2">
        <v>45815</v>
      </c>
      <c r="B565" s="1" t="s">
        <v>12</v>
      </c>
      <c r="C565">
        <v>6120</v>
      </c>
      <c r="D565" s="1" t="s">
        <v>34</v>
      </c>
      <c r="E565" s="1" t="s">
        <v>37</v>
      </c>
      <c r="F565">
        <v>3806</v>
      </c>
      <c r="G565" s="1" t="str">
        <f>_xlfn.XLOOKUP(tblActuals[[#This Row],[GL Account]],tblGLMap[GL Account],tblGLMap[Cost Category])</f>
        <v>Supplies &amp; Inventory</v>
      </c>
      <c r="H565" s="1" t="str">
        <f>TEXT(tblActuals[[#This Row],[Date]],"mmm")</f>
        <v>Jun</v>
      </c>
    </row>
    <row r="566" spans="1:8" x14ac:dyDescent="0.25">
      <c r="A566" s="2">
        <v>45813</v>
      </c>
      <c r="B566" s="1" t="s">
        <v>12</v>
      </c>
      <c r="C566">
        <v>6210</v>
      </c>
      <c r="D566" s="1" t="s">
        <v>32</v>
      </c>
      <c r="E566" s="1" t="s">
        <v>38</v>
      </c>
      <c r="F566">
        <v>8011</v>
      </c>
      <c r="G566" s="1" t="str">
        <f>_xlfn.XLOOKUP(tblActuals[[#This Row],[GL Account]],tblGLMap[GL Account],tblGLMap[Cost Category])</f>
        <v>Utilities</v>
      </c>
      <c r="H566" s="1" t="str">
        <f>TEXT(tblActuals[[#This Row],[Date]],"mmm")</f>
        <v>Jun</v>
      </c>
    </row>
    <row r="567" spans="1:8" x14ac:dyDescent="0.25">
      <c r="A567" s="2">
        <v>45814</v>
      </c>
      <c r="B567" s="1" t="s">
        <v>12</v>
      </c>
      <c r="C567">
        <v>6210</v>
      </c>
      <c r="D567" s="1" t="s">
        <v>31</v>
      </c>
      <c r="E567" s="1" t="s">
        <v>38</v>
      </c>
      <c r="F567">
        <v>7492</v>
      </c>
      <c r="G567" s="1" t="str">
        <f>_xlfn.XLOOKUP(tblActuals[[#This Row],[GL Account]],tblGLMap[GL Account],tblGLMap[Cost Category])</f>
        <v>Utilities</v>
      </c>
      <c r="H567" s="1" t="str">
        <f>TEXT(tblActuals[[#This Row],[Date]],"mmm")</f>
        <v>Jun</v>
      </c>
    </row>
    <row r="568" spans="1:8" x14ac:dyDescent="0.25">
      <c r="A568" s="2">
        <v>45815</v>
      </c>
      <c r="B568" s="1" t="s">
        <v>12</v>
      </c>
      <c r="C568">
        <v>6210</v>
      </c>
      <c r="D568" s="1" t="s">
        <v>31</v>
      </c>
      <c r="E568" s="1" t="s">
        <v>38</v>
      </c>
      <c r="F568">
        <v>7964</v>
      </c>
      <c r="G568" s="1" t="str">
        <f>_xlfn.XLOOKUP(tblActuals[[#This Row],[GL Account]],tblGLMap[GL Account],tblGLMap[Cost Category])</f>
        <v>Utilities</v>
      </c>
      <c r="H568" s="1" t="str">
        <f>TEXT(tblActuals[[#This Row],[Date]],"mmm")</f>
        <v>Jun</v>
      </c>
    </row>
    <row r="569" spans="1:8" x14ac:dyDescent="0.25">
      <c r="A569" s="2">
        <v>45813</v>
      </c>
      <c r="B569" s="1" t="s">
        <v>12</v>
      </c>
      <c r="C569">
        <v>6220</v>
      </c>
      <c r="D569" s="1" t="s">
        <v>32</v>
      </c>
      <c r="E569" s="1" t="s">
        <v>40</v>
      </c>
      <c r="F569">
        <v>5832</v>
      </c>
      <c r="G569" s="1" t="str">
        <f>_xlfn.XLOOKUP(tblActuals[[#This Row],[GL Account]],tblGLMap[GL Account],tblGLMap[Cost Category])</f>
        <v>Utilities</v>
      </c>
      <c r="H569" s="1" t="str">
        <f>TEXT(tblActuals[[#This Row],[Date]],"mmm")</f>
        <v>Jun</v>
      </c>
    </row>
    <row r="570" spans="1:8" x14ac:dyDescent="0.25">
      <c r="A570" s="2">
        <v>45814</v>
      </c>
      <c r="B570" s="1" t="s">
        <v>12</v>
      </c>
      <c r="C570">
        <v>6220</v>
      </c>
      <c r="D570" s="1" t="s">
        <v>39</v>
      </c>
      <c r="E570" s="1" t="s">
        <v>40</v>
      </c>
      <c r="F570">
        <v>3524</v>
      </c>
      <c r="G570" s="1" t="str">
        <f>_xlfn.XLOOKUP(tblActuals[[#This Row],[GL Account]],tblGLMap[GL Account],tblGLMap[Cost Category])</f>
        <v>Utilities</v>
      </c>
      <c r="H570" s="1" t="str">
        <f>TEXT(tblActuals[[#This Row],[Date]],"mmm")</f>
        <v>Jun</v>
      </c>
    </row>
    <row r="571" spans="1:8" x14ac:dyDescent="0.25">
      <c r="A571" s="2">
        <v>45815</v>
      </c>
      <c r="B571" s="1" t="s">
        <v>12</v>
      </c>
      <c r="C571">
        <v>6220</v>
      </c>
      <c r="D571" s="1" t="s">
        <v>35</v>
      </c>
      <c r="E571" s="1" t="s">
        <v>40</v>
      </c>
      <c r="F571">
        <v>7538</v>
      </c>
      <c r="G571" s="1" t="str">
        <f>_xlfn.XLOOKUP(tblActuals[[#This Row],[GL Account]],tblGLMap[GL Account],tblGLMap[Cost Category])</f>
        <v>Utilities</v>
      </c>
      <c r="H571" s="1" t="str">
        <f>TEXT(tblActuals[[#This Row],[Date]],"mmm")</f>
        <v>Jun</v>
      </c>
    </row>
    <row r="572" spans="1:8" x14ac:dyDescent="0.25">
      <c r="A572" s="2">
        <v>45813</v>
      </c>
      <c r="B572" s="1" t="s">
        <v>12</v>
      </c>
      <c r="C572">
        <v>6310</v>
      </c>
      <c r="D572" s="1" t="s">
        <v>32</v>
      </c>
      <c r="E572" s="1" t="s">
        <v>41</v>
      </c>
      <c r="F572">
        <v>5795</v>
      </c>
      <c r="G572" s="1" t="str">
        <f>_xlfn.XLOOKUP(tblActuals[[#This Row],[GL Account]],tblGLMap[GL Account],tblGLMap[Cost Category])</f>
        <v>Maintenance &amp; Repairs</v>
      </c>
      <c r="H572" s="1" t="str">
        <f>TEXT(tblActuals[[#This Row],[Date]],"mmm")</f>
        <v>Jun</v>
      </c>
    </row>
    <row r="573" spans="1:8" x14ac:dyDescent="0.25">
      <c r="A573" s="2">
        <v>45814</v>
      </c>
      <c r="B573" s="1" t="s">
        <v>12</v>
      </c>
      <c r="C573">
        <v>6310</v>
      </c>
      <c r="D573" s="1" t="s">
        <v>35</v>
      </c>
      <c r="E573" s="1" t="s">
        <v>41</v>
      </c>
      <c r="F573">
        <v>7742</v>
      </c>
      <c r="G573" s="1" t="str">
        <f>_xlfn.XLOOKUP(tblActuals[[#This Row],[GL Account]],tblGLMap[GL Account],tblGLMap[Cost Category])</f>
        <v>Maintenance &amp; Repairs</v>
      </c>
      <c r="H573" s="1" t="str">
        <f>TEXT(tblActuals[[#This Row],[Date]],"mmm")</f>
        <v>Jun</v>
      </c>
    </row>
    <row r="574" spans="1:8" x14ac:dyDescent="0.25">
      <c r="A574" s="2">
        <v>45815</v>
      </c>
      <c r="B574" s="1" t="s">
        <v>12</v>
      </c>
      <c r="C574">
        <v>6310</v>
      </c>
      <c r="D574" s="1" t="s">
        <v>31</v>
      </c>
      <c r="E574" s="1" t="s">
        <v>41</v>
      </c>
      <c r="F574">
        <v>7586</v>
      </c>
      <c r="G574" s="1" t="str">
        <f>_xlfn.XLOOKUP(tblActuals[[#This Row],[GL Account]],tblGLMap[GL Account],tblGLMap[Cost Category])</f>
        <v>Maintenance &amp; Repairs</v>
      </c>
      <c r="H574" s="1" t="str">
        <f>TEXT(tblActuals[[#This Row],[Date]],"mmm")</f>
        <v>Jun</v>
      </c>
    </row>
    <row r="575" spans="1:8" x14ac:dyDescent="0.25">
      <c r="A575" s="2">
        <v>45813</v>
      </c>
      <c r="B575" s="1" t="s">
        <v>12</v>
      </c>
      <c r="C575">
        <v>6320</v>
      </c>
      <c r="D575" s="1" t="s">
        <v>39</v>
      </c>
      <c r="E575" s="1" t="s">
        <v>42</v>
      </c>
      <c r="F575">
        <v>5330</v>
      </c>
      <c r="G575" s="1" t="str">
        <f>_xlfn.XLOOKUP(tblActuals[[#This Row],[GL Account]],tblGLMap[GL Account],tblGLMap[Cost Category])</f>
        <v>Maintenance &amp; Repairs</v>
      </c>
      <c r="H575" s="1" t="str">
        <f>TEXT(tblActuals[[#This Row],[Date]],"mmm")</f>
        <v>Jun</v>
      </c>
    </row>
    <row r="576" spans="1:8" x14ac:dyDescent="0.25">
      <c r="A576" s="2">
        <v>45814</v>
      </c>
      <c r="B576" s="1" t="s">
        <v>12</v>
      </c>
      <c r="C576">
        <v>6320</v>
      </c>
      <c r="D576" s="1" t="s">
        <v>32</v>
      </c>
      <c r="E576" s="1" t="s">
        <v>42</v>
      </c>
      <c r="F576">
        <v>1910</v>
      </c>
      <c r="G576" s="1" t="str">
        <f>_xlfn.XLOOKUP(tblActuals[[#This Row],[GL Account]],tblGLMap[GL Account],tblGLMap[Cost Category])</f>
        <v>Maintenance &amp; Repairs</v>
      </c>
      <c r="H576" s="1" t="str">
        <f>TEXT(tblActuals[[#This Row],[Date]],"mmm")</f>
        <v>Jun</v>
      </c>
    </row>
    <row r="577" spans="1:8" x14ac:dyDescent="0.25">
      <c r="A577" s="2">
        <v>45815</v>
      </c>
      <c r="B577" s="1" t="s">
        <v>12</v>
      </c>
      <c r="C577">
        <v>6320</v>
      </c>
      <c r="D577" s="1" t="s">
        <v>29</v>
      </c>
      <c r="E577" s="1" t="s">
        <v>42</v>
      </c>
      <c r="F577">
        <v>10698</v>
      </c>
      <c r="G577" s="1" t="str">
        <f>_xlfn.XLOOKUP(tblActuals[[#This Row],[GL Account]],tblGLMap[GL Account],tblGLMap[Cost Category])</f>
        <v>Maintenance &amp; Repairs</v>
      </c>
      <c r="H577" s="1" t="str">
        <f>TEXT(tblActuals[[#This Row],[Date]],"mmm")</f>
        <v>Jun</v>
      </c>
    </row>
    <row r="578" spans="1:8" x14ac:dyDescent="0.25">
      <c r="A578" s="2">
        <v>45843</v>
      </c>
      <c r="B578" s="1" t="s">
        <v>5</v>
      </c>
      <c r="C578">
        <v>6010</v>
      </c>
      <c r="D578" s="1" t="s">
        <v>34</v>
      </c>
      <c r="E578" s="1" t="s">
        <v>30</v>
      </c>
      <c r="F578">
        <v>11495</v>
      </c>
      <c r="G578" s="1" t="str">
        <f>_xlfn.XLOOKUP(tblActuals[[#This Row],[GL Account]],tblGLMap[GL Account],tblGLMap[Cost Category])</f>
        <v>Labor</v>
      </c>
      <c r="H578" s="1" t="str">
        <f>TEXT(tblActuals[[#This Row],[Date]],"mmm")</f>
        <v>Jul</v>
      </c>
    </row>
    <row r="579" spans="1:8" x14ac:dyDescent="0.25">
      <c r="A579" s="2">
        <v>45844</v>
      </c>
      <c r="B579" s="1" t="s">
        <v>5</v>
      </c>
      <c r="C579">
        <v>6010</v>
      </c>
      <c r="D579" s="1" t="s">
        <v>35</v>
      </c>
      <c r="E579" s="1" t="s">
        <v>30</v>
      </c>
      <c r="F579">
        <v>2535</v>
      </c>
      <c r="G579" s="1" t="str">
        <f>_xlfn.XLOOKUP(tblActuals[[#This Row],[GL Account]],tblGLMap[GL Account],tblGLMap[Cost Category])</f>
        <v>Labor</v>
      </c>
      <c r="H579" s="1" t="str">
        <f>TEXT(tblActuals[[#This Row],[Date]],"mmm")</f>
        <v>Jul</v>
      </c>
    </row>
    <row r="580" spans="1:8" x14ac:dyDescent="0.25">
      <c r="A580" s="2">
        <v>45845</v>
      </c>
      <c r="B580" s="1" t="s">
        <v>5</v>
      </c>
      <c r="C580">
        <v>6010</v>
      </c>
      <c r="D580" s="1" t="s">
        <v>35</v>
      </c>
      <c r="E580" s="1" t="s">
        <v>30</v>
      </c>
      <c r="F580">
        <v>9106</v>
      </c>
      <c r="G580" s="1" t="str">
        <f>_xlfn.XLOOKUP(tblActuals[[#This Row],[GL Account]],tblGLMap[GL Account],tblGLMap[Cost Category])</f>
        <v>Labor</v>
      </c>
      <c r="H580" s="1" t="str">
        <f>TEXT(tblActuals[[#This Row],[Date]],"mmm")</f>
        <v>Jul</v>
      </c>
    </row>
    <row r="581" spans="1:8" x14ac:dyDescent="0.25">
      <c r="A581" s="2">
        <v>45843</v>
      </c>
      <c r="B581" s="1" t="s">
        <v>5</v>
      </c>
      <c r="C581">
        <v>6020</v>
      </c>
      <c r="D581" s="1" t="s">
        <v>35</v>
      </c>
      <c r="E581" s="1" t="s">
        <v>33</v>
      </c>
      <c r="F581">
        <v>6451</v>
      </c>
      <c r="G581" s="1" t="str">
        <f>_xlfn.XLOOKUP(tblActuals[[#This Row],[GL Account]],tblGLMap[GL Account],tblGLMap[Cost Category])</f>
        <v>Labor</v>
      </c>
      <c r="H581" s="1" t="str">
        <f>TEXT(tblActuals[[#This Row],[Date]],"mmm")</f>
        <v>Jul</v>
      </c>
    </row>
    <row r="582" spans="1:8" x14ac:dyDescent="0.25">
      <c r="A582" s="2">
        <v>45844</v>
      </c>
      <c r="B582" s="1" t="s">
        <v>5</v>
      </c>
      <c r="C582">
        <v>6020</v>
      </c>
      <c r="D582" s="1" t="s">
        <v>31</v>
      </c>
      <c r="E582" s="1" t="s">
        <v>33</v>
      </c>
      <c r="F582">
        <v>8189</v>
      </c>
      <c r="G582" s="1" t="str">
        <f>_xlfn.XLOOKUP(tblActuals[[#This Row],[GL Account]],tblGLMap[GL Account],tblGLMap[Cost Category])</f>
        <v>Labor</v>
      </c>
      <c r="H582" s="1" t="str">
        <f>TEXT(tblActuals[[#This Row],[Date]],"mmm")</f>
        <v>Jul</v>
      </c>
    </row>
    <row r="583" spans="1:8" x14ac:dyDescent="0.25">
      <c r="A583" s="2">
        <v>45845</v>
      </c>
      <c r="B583" s="1" t="s">
        <v>5</v>
      </c>
      <c r="C583">
        <v>6020</v>
      </c>
      <c r="D583" s="1" t="s">
        <v>31</v>
      </c>
      <c r="E583" s="1" t="s">
        <v>33</v>
      </c>
      <c r="F583">
        <v>3790</v>
      </c>
      <c r="G583" s="1" t="str">
        <f>_xlfn.XLOOKUP(tblActuals[[#This Row],[GL Account]],tblGLMap[GL Account],tblGLMap[Cost Category])</f>
        <v>Labor</v>
      </c>
      <c r="H583" s="1" t="str">
        <f>TEXT(tblActuals[[#This Row],[Date]],"mmm")</f>
        <v>Jul</v>
      </c>
    </row>
    <row r="584" spans="1:8" x14ac:dyDescent="0.25">
      <c r="A584" s="2">
        <v>45843</v>
      </c>
      <c r="B584" s="1" t="s">
        <v>5</v>
      </c>
      <c r="C584">
        <v>6110</v>
      </c>
      <c r="D584" s="1" t="s">
        <v>29</v>
      </c>
      <c r="E584" s="1" t="s">
        <v>36</v>
      </c>
      <c r="F584">
        <v>2109</v>
      </c>
      <c r="G584" s="1" t="str">
        <f>_xlfn.XLOOKUP(tblActuals[[#This Row],[GL Account]],tblGLMap[GL Account],tblGLMap[Cost Category])</f>
        <v>Supplies &amp; Inventory</v>
      </c>
      <c r="H584" s="1" t="str">
        <f>TEXT(tblActuals[[#This Row],[Date]],"mmm")</f>
        <v>Jul</v>
      </c>
    </row>
    <row r="585" spans="1:8" x14ac:dyDescent="0.25">
      <c r="A585" s="2">
        <v>45844</v>
      </c>
      <c r="B585" s="1" t="s">
        <v>5</v>
      </c>
      <c r="C585">
        <v>6110</v>
      </c>
      <c r="D585" s="1" t="s">
        <v>31</v>
      </c>
      <c r="E585" s="1" t="s">
        <v>36</v>
      </c>
      <c r="F585">
        <v>9571</v>
      </c>
      <c r="G585" s="1" t="str">
        <f>_xlfn.XLOOKUP(tblActuals[[#This Row],[GL Account]],tblGLMap[GL Account],tblGLMap[Cost Category])</f>
        <v>Supplies &amp; Inventory</v>
      </c>
      <c r="H585" s="1" t="str">
        <f>TEXT(tblActuals[[#This Row],[Date]],"mmm")</f>
        <v>Jul</v>
      </c>
    </row>
    <row r="586" spans="1:8" x14ac:dyDescent="0.25">
      <c r="A586" s="2">
        <v>45845</v>
      </c>
      <c r="B586" s="1" t="s">
        <v>5</v>
      </c>
      <c r="C586">
        <v>6110</v>
      </c>
      <c r="D586" s="1" t="s">
        <v>34</v>
      </c>
      <c r="E586" s="1" t="s">
        <v>36</v>
      </c>
      <c r="F586">
        <v>3092</v>
      </c>
      <c r="G586" s="1" t="str">
        <f>_xlfn.XLOOKUP(tblActuals[[#This Row],[GL Account]],tblGLMap[GL Account],tblGLMap[Cost Category])</f>
        <v>Supplies &amp; Inventory</v>
      </c>
      <c r="H586" s="1" t="str">
        <f>TEXT(tblActuals[[#This Row],[Date]],"mmm")</f>
        <v>Jul</v>
      </c>
    </row>
    <row r="587" spans="1:8" x14ac:dyDescent="0.25">
      <c r="A587" s="2">
        <v>45843</v>
      </c>
      <c r="B587" s="1" t="s">
        <v>5</v>
      </c>
      <c r="C587">
        <v>6120</v>
      </c>
      <c r="D587" s="1" t="s">
        <v>34</v>
      </c>
      <c r="E587" s="1" t="s">
        <v>37</v>
      </c>
      <c r="F587">
        <v>10307</v>
      </c>
      <c r="G587" s="1" t="str">
        <f>_xlfn.XLOOKUP(tblActuals[[#This Row],[GL Account]],tblGLMap[GL Account],tblGLMap[Cost Category])</f>
        <v>Supplies &amp; Inventory</v>
      </c>
      <c r="H587" s="1" t="str">
        <f>TEXT(tblActuals[[#This Row],[Date]],"mmm")</f>
        <v>Jul</v>
      </c>
    </row>
    <row r="588" spans="1:8" x14ac:dyDescent="0.25">
      <c r="A588" s="2">
        <v>45844</v>
      </c>
      <c r="B588" s="1" t="s">
        <v>5</v>
      </c>
      <c r="C588">
        <v>6120</v>
      </c>
      <c r="D588" s="1" t="s">
        <v>39</v>
      </c>
      <c r="E588" s="1" t="s">
        <v>37</v>
      </c>
      <c r="F588">
        <v>7867</v>
      </c>
      <c r="G588" s="1" t="str">
        <f>_xlfn.XLOOKUP(tblActuals[[#This Row],[GL Account]],tblGLMap[GL Account],tblGLMap[Cost Category])</f>
        <v>Supplies &amp; Inventory</v>
      </c>
      <c r="H588" s="1" t="str">
        <f>TEXT(tblActuals[[#This Row],[Date]],"mmm")</f>
        <v>Jul</v>
      </c>
    </row>
    <row r="589" spans="1:8" x14ac:dyDescent="0.25">
      <c r="A589" s="2">
        <v>45845</v>
      </c>
      <c r="B589" s="1" t="s">
        <v>5</v>
      </c>
      <c r="C589">
        <v>6120</v>
      </c>
      <c r="D589" s="1" t="s">
        <v>35</v>
      </c>
      <c r="E589" s="1" t="s">
        <v>37</v>
      </c>
      <c r="F589">
        <v>7578</v>
      </c>
      <c r="G589" s="1" t="str">
        <f>_xlfn.XLOOKUP(tblActuals[[#This Row],[GL Account]],tblGLMap[GL Account],tblGLMap[Cost Category])</f>
        <v>Supplies &amp; Inventory</v>
      </c>
      <c r="H589" s="1" t="str">
        <f>TEXT(tblActuals[[#This Row],[Date]],"mmm")</f>
        <v>Jul</v>
      </c>
    </row>
    <row r="590" spans="1:8" x14ac:dyDescent="0.25">
      <c r="A590" s="2">
        <v>45843</v>
      </c>
      <c r="B590" s="1" t="s">
        <v>5</v>
      </c>
      <c r="C590">
        <v>6210</v>
      </c>
      <c r="D590" s="1" t="s">
        <v>39</v>
      </c>
      <c r="E590" s="1" t="s">
        <v>38</v>
      </c>
      <c r="F590">
        <v>10350</v>
      </c>
      <c r="G590" s="1" t="str">
        <f>_xlfn.XLOOKUP(tblActuals[[#This Row],[GL Account]],tblGLMap[GL Account],tblGLMap[Cost Category])</f>
        <v>Utilities</v>
      </c>
      <c r="H590" s="1" t="str">
        <f>TEXT(tblActuals[[#This Row],[Date]],"mmm")</f>
        <v>Jul</v>
      </c>
    </row>
    <row r="591" spans="1:8" x14ac:dyDescent="0.25">
      <c r="A591" s="2">
        <v>45844</v>
      </c>
      <c r="B591" s="1" t="s">
        <v>5</v>
      </c>
      <c r="C591">
        <v>6210</v>
      </c>
      <c r="D591" s="1" t="s">
        <v>35</v>
      </c>
      <c r="E591" s="1" t="s">
        <v>38</v>
      </c>
      <c r="F591">
        <v>11122</v>
      </c>
      <c r="G591" s="1" t="str">
        <f>_xlfn.XLOOKUP(tblActuals[[#This Row],[GL Account]],tblGLMap[GL Account],tblGLMap[Cost Category])</f>
        <v>Utilities</v>
      </c>
      <c r="H591" s="1" t="str">
        <f>TEXT(tblActuals[[#This Row],[Date]],"mmm")</f>
        <v>Jul</v>
      </c>
    </row>
    <row r="592" spans="1:8" x14ac:dyDescent="0.25">
      <c r="A592" s="2">
        <v>45845</v>
      </c>
      <c r="B592" s="1" t="s">
        <v>5</v>
      </c>
      <c r="C592">
        <v>6210</v>
      </c>
      <c r="D592" s="1" t="s">
        <v>39</v>
      </c>
      <c r="E592" s="1" t="s">
        <v>38</v>
      </c>
      <c r="F592">
        <v>4031</v>
      </c>
      <c r="G592" s="1" t="str">
        <f>_xlfn.XLOOKUP(tblActuals[[#This Row],[GL Account]],tblGLMap[GL Account],tblGLMap[Cost Category])</f>
        <v>Utilities</v>
      </c>
      <c r="H592" s="1" t="str">
        <f>TEXT(tblActuals[[#This Row],[Date]],"mmm")</f>
        <v>Jul</v>
      </c>
    </row>
    <row r="593" spans="1:8" x14ac:dyDescent="0.25">
      <c r="A593" s="2">
        <v>45843</v>
      </c>
      <c r="B593" s="1" t="s">
        <v>5</v>
      </c>
      <c r="C593">
        <v>6220</v>
      </c>
      <c r="D593" s="1" t="s">
        <v>39</v>
      </c>
      <c r="E593" s="1" t="s">
        <v>40</v>
      </c>
      <c r="F593">
        <v>3122</v>
      </c>
      <c r="G593" s="1" t="str">
        <f>_xlfn.XLOOKUP(tblActuals[[#This Row],[GL Account]],tblGLMap[GL Account],tblGLMap[Cost Category])</f>
        <v>Utilities</v>
      </c>
      <c r="H593" s="1" t="str">
        <f>TEXT(tblActuals[[#This Row],[Date]],"mmm")</f>
        <v>Jul</v>
      </c>
    </row>
    <row r="594" spans="1:8" x14ac:dyDescent="0.25">
      <c r="A594" s="2">
        <v>45844</v>
      </c>
      <c r="B594" s="1" t="s">
        <v>5</v>
      </c>
      <c r="C594">
        <v>6220</v>
      </c>
      <c r="D594" s="1" t="s">
        <v>39</v>
      </c>
      <c r="E594" s="1" t="s">
        <v>40</v>
      </c>
      <c r="F594">
        <v>11586</v>
      </c>
      <c r="G594" s="1" t="str">
        <f>_xlfn.XLOOKUP(tblActuals[[#This Row],[GL Account]],tblGLMap[GL Account],tblGLMap[Cost Category])</f>
        <v>Utilities</v>
      </c>
      <c r="H594" s="1" t="str">
        <f>TEXT(tblActuals[[#This Row],[Date]],"mmm")</f>
        <v>Jul</v>
      </c>
    </row>
    <row r="595" spans="1:8" x14ac:dyDescent="0.25">
      <c r="A595" s="2">
        <v>45845</v>
      </c>
      <c r="B595" s="1" t="s">
        <v>5</v>
      </c>
      <c r="C595">
        <v>6220</v>
      </c>
      <c r="D595" s="1" t="s">
        <v>31</v>
      </c>
      <c r="E595" s="1" t="s">
        <v>40</v>
      </c>
      <c r="F595">
        <v>6083</v>
      </c>
      <c r="G595" s="1" t="str">
        <f>_xlfn.XLOOKUP(tblActuals[[#This Row],[GL Account]],tblGLMap[GL Account],tblGLMap[Cost Category])</f>
        <v>Utilities</v>
      </c>
      <c r="H595" s="1" t="str">
        <f>TEXT(tblActuals[[#This Row],[Date]],"mmm")</f>
        <v>Jul</v>
      </c>
    </row>
    <row r="596" spans="1:8" x14ac:dyDescent="0.25">
      <c r="A596" s="2">
        <v>45843</v>
      </c>
      <c r="B596" s="1" t="s">
        <v>5</v>
      </c>
      <c r="C596">
        <v>6310</v>
      </c>
      <c r="D596" s="1" t="s">
        <v>34</v>
      </c>
      <c r="E596" s="1" t="s">
        <v>41</v>
      </c>
      <c r="F596">
        <v>7570</v>
      </c>
      <c r="G596" s="1" t="str">
        <f>_xlfn.XLOOKUP(tblActuals[[#This Row],[GL Account]],tblGLMap[GL Account],tblGLMap[Cost Category])</f>
        <v>Maintenance &amp; Repairs</v>
      </c>
      <c r="H596" s="1" t="str">
        <f>TEXT(tblActuals[[#This Row],[Date]],"mmm")</f>
        <v>Jul</v>
      </c>
    </row>
    <row r="597" spans="1:8" x14ac:dyDescent="0.25">
      <c r="A597" s="2">
        <v>45844</v>
      </c>
      <c r="B597" s="1" t="s">
        <v>5</v>
      </c>
      <c r="C597">
        <v>6310</v>
      </c>
      <c r="D597" s="1" t="s">
        <v>39</v>
      </c>
      <c r="E597" s="1" t="s">
        <v>41</v>
      </c>
      <c r="F597">
        <v>8764</v>
      </c>
      <c r="G597" s="1" t="str">
        <f>_xlfn.XLOOKUP(tblActuals[[#This Row],[GL Account]],tblGLMap[GL Account],tblGLMap[Cost Category])</f>
        <v>Maintenance &amp; Repairs</v>
      </c>
      <c r="H597" s="1" t="str">
        <f>TEXT(tblActuals[[#This Row],[Date]],"mmm")</f>
        <v>Jul</v>
      </c>
    </row>
    <row r="598" spans="1:8" x14ac:dyDescent="0.25">
      <c r="A598" s="2">
        <v>45845</v>
      </c>
      <c r="B598" s="1" t="s">
        <v>5</v>
      </c>
      <c r="C598">
        <v>6310</v>
      </c>
      <c r="D598" s="1" t="s">
        <v>29</v>
      </c>
      <c r="E598" s="1" t="s">
        <v>41</v>
      </c>
      <c r="F598">
        <v>5368</v>
      </c>
      <c r="G598" s="1" t="str">
        <f>_xlfn.XLOOKUP(tblActuals[[#This Row],[GL Account]],tblGLMap[GL Account],tblGLMap[Cost Category])</f>
        <v>Maintenance &amp; Repairs</v>
      </c>
      <c r="H598" s="1" t="str">
        <f>TEXT(tblActuals[[#This Row],[Date]],"mmm")</f>
        <v>Jul</v>
      </c>
    </row>
    <row r="599" spans="1:8" x14ac:dyDescent="0.25">
      <c r="A599" s="2">
        <v>45843</v>
      </c>
      <c r="B599" s="1" t="s">
        <v>5</v>
      </c>
      <c r="C599">
        <v>6320</v>
      </c>
      <c r="D599" s="1" t="s">
        <v>35</v>
      </c>
      <c r="E599" s="1" t="s">
        <v>42</v>
      </c>
      <c r="F599">
        <v>3127</v>
      </c>
      <c r="G599" s="1" t="str">
        <f>_xlfn.XLOOKUP(tblActuals[[#This Row],[GL Account]],tblGLMap[GL Account],tblGLMap[Cost Category])</f>
        <v>Maintenance &amp; Repairs</v>
      </c>
      <c r="H599" s="1" t="str">
        <f>TEXT(tblActuals[[#This Row],[Date]],"mmm")</f>
        <v>Jul</v>
      </c>
    </row>
    <row r="600" spans="1:8" x14ac:dyDescent="0.25">
      <c r="A600" s="2">
        <v>45844</v>
      </c>
      <c r="B600" s="1" t="s">
        <v>5</v>
      </c>
      <c r="C600">
        <v>6320</v>
      </c>
      <c r="D600" s="1" t="s">
        <v>32</v>
      </c>
      <c r="E600" s="1" t="s">
        <v>42</v>
      </c>
      <c r="F600">
        <v>7518</v>
      </c>
      <c r="G600" s="1" t="str">
        <f>_xlfn.XLOOKUP(tblActuals[[#This Row],[GL Account]],tblGLMap[GL Account],tblGLMap[Cost Category])</f>
        <v>Maintenance &amp; Repairs</v>
      </c>
      <c r="H600" s="1" t="str">
        <f>TEXT(tblActuals[[#This Row],[Date]],"mmm")</f>
        <v>Jul</v>
      </c>
    </row>
    <row r="601" spans="1:8" x14ac:dyDescent="0.25">
      <c r="A601" s="2">
        <v>45845</v>
      </c>
      <c r="B601" s="1" t="s">
        <v>5</v>
      </c>
      <c r="C601">
        <v>6320</v>
      </c>
      <c r="D601" s="1" t="s">
        <v>31</v>
      </c>
      <c r="E601" s="1" t="s">
        <v>42</v>
      </c>
      <c r="F601">
        <v>7376</v>
      </c>
      <c r="G601" s="1" t="str">
        <f>_xlfn.XLOOKUP(tblActuals[[#This Row],[GL Account]],tblGLMap[GL Account],tblGLMap[Cost Category])</f>
        <v>Maintenance &amp; Repairs</v>
      </c>
      <c r="H601" s="1" t="str">
        <f>TEXT(tblActuals[[#This Row],[Date]],"mmm")</f>
        <v>Jul</v>
      </c>
    </row>
    <row r="602" spans="1:8" x14ac:dyDescent="0.25">
      <c r="A602" s="2">
        <v>45843</v>
      </c>
      <c r="B602" s="1" t="s">
        <v>10</v>
      </c>
      <c r="C602">
        <v>6010</v>
      </c>
      <c r="D602" s="1" t="s">
        <v>29</v>
      </c>
      <c r="E602" s="1" t="s">
        <v>30</v>
      </c>
      <c r="F602">
        <v>8023</v>
      </c>
      <c r="G602" s="1" t="str">
        <f>_xlfn.XLOOKUP(tblActuals[[#This Row],[GL Account]],tblGLMap[GL Account],tblGLMap[Cost Category])</f>
        <v>Labor</v>
      </c>
      <c r="H602" s="1" t="str">
        <f>TEXT(tblActuals[[#This Row],[Date]],"mmm")</f>
        <v>Jul</v>
      </c>
    </row>
    <row r="603" spans="1:8" x14ac:dyDescent="0.25">
      <c r="A603" s="2">
        <v>45844</v>
      </c>
      <c r="B603" s="1" t="s">
        <v>10</v>
      </c>
      <c r="C603">
        <v>6010</v>
      </c>
      <c r="D603" s="1" t="s">
        <v>31</v>
      </c>
      <c r="E603" s="1" t="s">
        <v>30</v>
      </c>
      <c r="F603">
        <v>4609</v>
      </c>
      <c r="G603" s="1" t="str">
        <f>_xlfn.XLOOKUP(tblActuals[[#This Row],[GL Account]],tblGLMap[GL Account],tblGLMap[Cost Category])</f>
        <v>Labor</v>
      </c>
      <c r="H603" s="1" t="str">
        <f>TEXT(tblActuals[[#This Row],[Date]],"mmm")</f>
        <v>Jul</v>
      </c>
    </row>
    <row r="604" spans="1:8" x14ac:dyDescent="0.25">
      <c r="A604" s="2">
        <v>45845</v>
      </c>
      <c r="B604" s="1" t="s">
        <v>10</v>
      </c>
      <c r="C604">
        <v>6010</v>
      </c>
      <c r="D604" s="1" t="s">
        <v>31</v>
      </c>
      <c r="E604" s="1" t="s">
        <v>30</v>
      </c>
      <c r="F604">
        <v>8950</v>
      </c>
      <c r="G604" s="1" t="str">
        <f>_xlfn.XLOOKUP(tblActuals[[#This Row],[GL Account]],tblGLMap[GL Account],tblGLMap[Cost Category])</f>
        <v>Labor</v>
      </c>
      <c r="H604" s="1" t="str">
        <f>TEXT(tblActuals[[#This Row],[Date]],"mmm")</f>
        <v>Jul</v>
      </c>
    </row>
    <row r="605" spans="1:8" x14ac:dyDescent="0.25">
      <c r="A605" s="2">
        <v>45843</v>
      </c>
      <c r="B605" s="1" t="s">
        <v>10</v>
      </c>
      <c r="C605">
        <v>6020</v>
      </c>
      <c r="D605" s="1" t="s">
        <v>35</v>
      </c>
      <c r="E605" s="1" t="s">
        <v>33</v>
      </c>
      <c r="F605">
        <v>4975</v>
      </c>
      <c r="G605" s="1" t="str">
        <f>_xlfn.XLOOKUP(tblActuals[[#This Row],[GL Account]],tblGLMap[GL Account],tblGLMap[Cost Category])</f>
        <v>Labor</v>
      </c>
      <c r="H605" s="1" t="str">
        <f>TEXT(tblActuals[[#This Row],[Date]],"mmm")</f>
        <v>Jul</v>
      </c>
    </row>
    <row r="606" spans="1:8" x14ac:dyDescent="0.25">
      <c r="A606" s="2">
        <v>45844</v>
      </c>
      <c r="B606" s="1" t="s">
        <v>10</v>
      </c>
      <c r="C606">
        <v>6020</v>
      </c>
      <c r="D606" s="1" t="s">
        <v>32</v>
      </c>
      <c r="E606" s="1" t="s">
        <v>33</v>
      </c>
      <c r="F606">
        <v>11977</v>
      </c>
      <c r="G606" s="1" t="str">
        <f>_xlfn.XLOOKUP(tblActuals[[#This Row],[GL Account]],tblGLMap[GL Account],tblGLMap[Cost Category])</f>
        <v>Labor</v>
      </c>
      <c r="H606" s="1" t="str">
        <f>TEXT(tblActuals[[#This Row],[Date]],"mmm")</f>
        <v>Jul</v>
      </c>
    </row>
    <row r="607" spans="1:8" x14ac:dyDescent="0.25">
      <c r="A607" s="2">
        <v>45845</v>
      </c>
      <c r="B607" s="1" t="s">
        <v>10</v>
      </c>
      <c r="C607">
        <v>6020</v>
      </c>
      <c r="D607" s="1" t="s">
        <v>31</v>
      </c>
      <c r="E607" s="1" t="s">
        <v>33</v>
      </c>
      <c r="F607">
        <v>1849</v>
      </c>
      <c r="G607" s="1" t="str">
        <f>_xlfn.XLOOKUP(tblActuals[[#This Row],[GL Account]],tblGLMap[GL Account],tblGLMap[Cost Category])</f>
        <v>Labor</v>
      </c>
      <c r="H607" s="1" t="str">
        <f>TEXT(tblActuals[[#This Row],[Date]],"mmm")</f>
        <v>Jul</v>
      </c>
    </row>
    <row r="608" spans="1:8" x14ac:dyDescent="0.25">
      <c r="A608" s="2">
        <v>45843</v>
      </c>
      <c r="B608" s="1" t="s">
        <v>10</v>
      </c>
      <c r="C608">
        <v>6110</v>
      </c>
      <c r="D608" s="1" t="s">
        <v>34</v>
      </c>
      <c r="E608" s="1" t="s">
        <v>36</v>
      </c>
      <c r="F608">
        <v>6964</v>
      </c>
      <c r="G608" s="1" t="str">
        <f>_xlfn.XLOOKUP(tblActuals[[#This Row],[GL Account]],tblGLMap[GL Account],tblGLMap[Cost Category])</f>
        <v>Supplies &amp; Inventory</v>
      </c>
      <c r="H608" s="1" t="str">
        <f>TEXT(tblActuals[[#This Row],[Date]],"mmm")</f>
        <v>Jul</v>
      </c>
    </row>
    <row r="609" spans="1:8" x14ac:dyDescent="0.25">
      <c r="A609" s="2">
        <v>45844</v>
      </c>
      <c r="B609" s="1" t="s">
        <v>10</v>
      </c>
      <c r="C609">
        <v>6110</v>
      </c>
      <c r="D609" s="1" t="s">
        <v>32</v>
      </c>
      <c r="E609" s="1" t="s">
        <v>36</v>
      </c>
      <c r="F609">
        <v>3563</v>
      </c>
      <c r="G609" s="1" t="str">
        <f>_xlfn.XLOOKUP(tblActuals[[#This Row],[GL Account]],tblGLMap[GL Account],tblGLMap[Cost Category])</f>
        <v>Supplies &amp; Inventory</v>
      </c>
      <c r="H609" s="1" t="str">
        <f>TEXT(tblActuals[[#This Row],[Date]],"mmm")</f>
        <v>Jul</v>
      </c>
    </row>
    <row r="610" spans="1:8" x14ac:dyDescent="0.25">
      <c r="A610" s="2">
        <v>45845</v>
      </c>
      <c r="B610" s="1" t="s">
        <v>10</v>
      </c>
      <c r="C610">
        <v>6110</v>
      </c>
      <c r="D610" s="1" t="s">
        <v>31</v>
      </c>
      <c r="E610" s="1" t="s">
        <v>36</v>
      </c>
      <c r="F610">
        <v>4862</v>
      </c>
      <c r="G610" s="1" t="str">
        <f>_xlfn.XLOOKUP(tblActuals[[#This Row],[GL Account]],tblGLMap[GL Account],tblGLMap[Cost Category])</f>
        <v>Supplies &amp; Inventory</v>
      </c>
      <c r="H610" s="1" t="str">
        <f>TEXT(tblActuals[[#This Row],[Date]],"mmm")</f>
        <v>Jul</v>
      </c>
    </row>
    <row r="611" spans="1:8" x14ac:dyDescent="0.25">
      <c r="A611" s="2">
        <v>45843</v>
      </c>
      <c r="B611" s="1" t="s">
        <v>10</v>
      </c>
      <c r="C611">
        <v>6120</v>
      </c>
      <c r="D611" s="1" t="s">
        <v>34</v>
      </c>
      <c r="E611" s="1" t="s">
        <v>37</v>
      </c>
      <c r="F611">
        <v>10580</v>
      </c>
      <c r="G611" s="1" t="str">
        <f>_xlfn.XLOOKUP(tblActuals[[#This Row],[GL Account]],tblGLMap[GL Account],tblGLMap[Cost Category])</f>
        <v>Supplies &amp; Inventory</v>
      </c>
      <c r="H611" s="1" t="str">
        <f>TEXT(tblActuals[[#This Row],[Date]],"mmm")</f>
        <v>Jul</v>
      </c>
    </row>
    <row r="612" spans="1:8" x14ac:dyDescent="0.25">
      <c r="A612" s="2">
        <v>45844</v>
      </c>
      <c r="B612" s="1" t="s">
        <v>10</v>
      </c>
      <c r="C612">
        <v>6120</v>
      </c>
      <c r="D612" s="1" t="s">
        <v>34</v>
      </c>
      <c r="E612" s="1" t="s">
        <v>37</v>
      </c>
      <c r="F612">
        <v>11107</v>
      </c>
      <c r="G612" s="1" t="str">
        <f>_xlfn.XLOOKUP(tblActuals[[#This Row],[GL Account]],tblGLMap[GL Account],tblGLMap[Cost Category])</f>
        <v>Supplies &amp; Inventory</v>
      </c>
      <c r="H612" s="1" t="str">
        <f>TEXT(tblActuals[[#This Row],[Date]],"mmm")</f>
        <v>Jul</v>
      </c>
    </row>
    <row r="613" spans="1:8" x14ac:dyDescent="0.25">
      <c r="A613" s="2">
        <v>45845</v>
      </c>
      <c r="B613" s="1" t="s">
        <v>10</v>
      </c>
      <c r="C613">
        <v>6120</v>
      </c>
      <c r="D613" s="1" t="s">
        <v>29</v>
      </c>
      <c r="E613" s="1" t="s">
        <v>37</v>
      </c>
      <c r="F613">
        <v>5317</v>
      </c>
      <c r="G613" s="1" t="str">
        <f>_xlfn.XLOOKUP(tblActuals[[#This Row],[GL Account]],tblGLMap[GL Account],tblGLMap[Cost Category])</f>
        <v>Supplies &amp; Inventory</v>
      </c>
      <c r="H613" s="1" t="str">
        <f>TEXT(tblActuals[[#This Row],[Date]],"mmm")</f>
        <v>Jul</v>
      </c>
    </row>
    <row r="614" spans="1:8" x14ac:dyDescent="0.25">
      <c r="A614" s="2">
        <v>45843</v>
      </c>
      <c r="B614" s="1" t="s">
        <v>10</v>
      </c>
      <c r="C614">
        <v>6210</v>
      </c>
      <c r="D614" s="1" t="s">
        <v>32</v>
      </c>
      <c r="E614" s="1" t="s">
        <v>38</v>
      </c>
      <c r="F614">
        <v>3917</v>
      </c>
      <c r="G614" s="1" t="str">
        <f>_xlfn.XLOOKUP(tblActuals[[#This Row],[GL Account]],tblGLMap[GL Account],tblGLMap[Cost Category])</f>
        <v>Utilities</v>
      </c>
      <c r="H614" s="1" t="str">
        <f>TEXT(tblActuals[[#This Row],[Date]],"mmm")</f>
        <v>Jul</v>
      </c>
    </row>
    <row r="615" spans="1:8" x14ac:dyDescent="0.25">
      <c r="A615" s="2">
        <v>45844</v>
      </c>
      <c r="B615" s="1" t="s">
        <v>10</v>
      </c>
      <c r="C615">
        <v>6210</v>
      </c>
      <c r="D615" s="1" t="s">
        <v>29</v>
      </c>
      <c r="E615" s="1" t="s">
        <v>38</v>
      </c>
      <c r="F615">
        <v>1546</v>
      </c>
      <c r="G615" s="1" t="str">
        <f>_xlfn.XLOOKUP(tblActuals[[#This Row],[GL Account]],tblGLMap[GL Account],tblGLMap[Cost Category])</f>
        <v>Utilities</v>
      </c>
      <c r="H615" s="1" t="str">
        <f>TEXT(tblActuals[[#This Row],[Date]],"mmm")</f>
        <v>Jul</v>
      </c>
    </row>
    <row r="616" spans="1:8" x14ac:dyDescent="0.25">
      <c r="A616" s="2">
        <v>45845</v>
      </c>
      <c r="B616" s="1" t="s">
        <v>10</v>
      </c>
      <c r="C616">
        <v>6210</v>
      </c>
      <c r="D616" s="1" t="s">
        <v>34</v>
      </c>
      <c r="E616" s="1" t="s">
        <v>38</v>
      </c>
      <c r="F616">
        <v>3870</v>
      </c>
      <c r="G616" s="1" t="str">
        <f>_xlfn.XLOOKUP(tblActuals[[#This Row],[GL Account]],tblGLMap[GL Account],tblGLMap[Cost Category])</f>
        <v>Utilities</v>
      </c>
      <c r="H616" s="1" t="str">
        <f>TEXT(tblActuals[[#This Row],[Date]],"mmm")</f>
        <v>Jul</v>
      </c>
    </row>
    <row r="617" spans="1:8" x14ac:dyDescent="0.25">
      <c r="A617" s="2">
        <v>45843</v>
      </c>
      <c r="B617" s="1" t="s">
        <v>10</v>
      </c>
      <c r="C617">
        <v>6220</v>
      </c>
      <c r="D617" s="1" t="s">
        <v>29</v>
      </c>
      <c r="E617" s="1" t="s">
        <v>40</v>
      </c>
      <c r="F617">
        <v>10350</v>
      </c>
      <c r="G617" s="1" t="str">
        <f>_xlfn.XLOOKUP(tblActuals[[#This Row],[GL Account]],tblGLMap[GL Account],tblGLMap[Cost Category])</f>
        <v>Utilities</v>
      </c>
      <c r="H617" s="1" t="str">
        <f>TEXT(tblActuals[[#This Row],[Date]],"mmm")</f>
        <v>Jul</v>
      </c>
    </row>
    <row r="618" spans="1:8" x14ac:dyDescent="0.25">
      <c r="A618" s="2">
        <v>45844</v>
      </c>
      <c r="B618" s="1" t="s">
        <v>10</v>
      </c>
      <c r="C618">
        <v>6220</v>
      </c>
      <c r="D618" s="1" t="s">
        <v>31</v>
      </c>
      <c r="E618" s="1" t="s">
        <v>40</v>
      </c>
      <c r="F618">
        <v>4358</v>
      </c>
      <c r="G618" s="1" t="str">
        <f>_xlfn.XLOOKUP(tblActuals[[#This Row],[GL Account]],tblGLMap[GL Account],tblGLMap[Cost Category])</f>
        <v>Utilities</v>
      </c>
      <c r="H618" s="1" t="str">
        <f>TEXT(tblActuals[[#This Row],[Date]],"mmm")</f>
        <v>Jul</v>
      </c>
    </row>
    <row r="619" spans="1:8" x14ac:dyDescent="0.25">
      <c r="A619" s="2">
        <v>45845</v>
      </c>
      <c r="B619" s="1" t="s">
        <v>10</v>
      </c>
      <c r="C619">
        <v>6220</v>
      </c>
      <c r="D619" s="1" t="s">
        <v>34</v>
      </c>
      <c r="E619" s="1" t="s">
        <v>40</v>
      </c>
      <c r="F619">
        <v>1922</v>
      </c>
      <c r="G619" s="1" t="str">
        <f>_xlfn.XLOOKUP(tblActuals[[#This Row],[GL Account]],tblGLMap[GL Account],tblGLMap[Cost Category])</f>
        <v>Utilities</v>
      </c>
      <c r="H619" s="1" t="str">
        <f>TEXT(tblActuals[[#This Row],[Date]],"mmm")</f>
        <v>Jul</v>
      </c>
    </row>
    <row r="620" spans="1:8" x14ac:dyDescent="0.25">
      <c r="A620" s="2">
        <v>45843</v>
      </c>
      <c r="B620" s="1" t="s">
        <v>10</v>
      </c>
      <c r="C620">
        <v>6310</v>
      </c>
      <c r="D620" s="1" t="s">
        <v>29</v>
      </c>
      <c r="E620" s="1" t="s">
        <v>41</v>
      </c>
      <c r="F620">
        <v>1743</v>
      </c>
      <c r="G620" s="1" t="str">
        <f>_xlfn.XLOOKUP(tblActuals[[#This Row],[GL Account]],tblGLMap[GL Account],tblGLMap[Cost Category])</f>
        <v>Maintenance &amp; Repairs</v>
      </c>
      <c r="H620" s="1" t="str">
        <f>TEXT(tblActuals[[#This Row],[Date]],"mmm")</f>
        <v>Jul</v>
      </c>
    </row>
    <row r="621" spans="1:8" x14ac:dyDescent="0.25">
      <c r="A621" s="2">
        <v>45844</v>
      </c>
      <c r="B621" s="1" t="s">
        <v>10</v>
      </c>
      <c r="C621">
        <v>6310</v>
      </c>
      <c r="D621" s="1" t="s">
        <v>32</v>
      </c>
      <c r="E621" s="1" t="s">
        <v>41</v>
      </c>
      <c r="F621">
        <v>5398</v>
      </c>
      <c r="G621" s="1" t="str">
        <f>_xlfn.XLOOKUP(tblActuals[[#This Row],[GL Account]],tblGLMap[GL Account],tblGLMap[Cost Category])</f>
        <v>Maintenance &amp; Repairs</v>
      </c>
      <c r="H621" s="1" t="str">
        <f>TEXT(tblActuals[[#This Row],[Date]],"mmm")</f>
        <v>Jul</v>
      </c>
    </row>
    <row r="622" spans="1:8" x14ac:dyDescent="0.25">
      <c r="A622" s="2">
        <v>45845</v>
      </c>
      <c r="B622" s="1" t="s">
        <v>10</v>
      </c>
      <c r="C622">
        <v>6310</v>
      </c>
      <c r="D622" s="1" t="s">
        <v>31</v>
      </c>
      <c r="E622" s="1" t="s">
        <v>41</v>
      </c>
      <c r="F622">
        <v>6804</v>
      </c>
      <c r="G622" s="1" t="str">
        <f>_xlfn.XLOOKUP(tblActuals[[#This Row],[GL Account]],tblGLMap[GL Account],tblGLMap[Cost Category])</f>
        <v>Maintenance &amp; Repairs</v>
      </c>
      <c r="H622" s="1" t="str">
        <f>TEXT(tblActuals[[#This Row],[Date]],"mmm")</f>
        <v>Jul</v>
      </c>
    </row>
    <row r="623" spans="1:8" x14ac:dyDescent="0.25">
      <c r="A623" s="2">
        <v>45843</v>
      </c>
      <c r="B623" s="1" t="s">
        <v>10</v>
      </c>
      <c r="C623">
        <v>6320</v>
      </c>
      <c r="D623" s="1" t="s">
        <v>29</v>
      </c>
      <c r="E623" s="1" t="s">
        <v>42</v>
      </c>
      <c r="F623">
        <v>4354</v>
      </c>
      <c r="G623" s="1" t="str">
        <f>_xlfn.XLOOKUP(tblActuals[[#This Row],[GL Account]],tblGLMap[GL Account],tblGLMap[Cost Category])</f>
        <v>Maintenance &amp; Repairs</v>
      </c>
      <c r="H623" s="1" t="str">
        <f>TEXT(tblActuals[[#This Row],[Date]],"mmm")</f>
        <v>Jul</v>
      </c>
    </row>
    <row r="624" spans="1:8" x14ac:dyDescent="0.25">
      <c r="A624" s="2">
        <v>45844</v>
      </c>
      <c r="B624" s="1" t="s">
        <v>10</v>
      </c>
      <c r="C624">
        <v>6320</v>
      </c>
      <c r="D624" s="1" t="s">
        <v>34</v>
      </c>
      <c r="E624" s="1" t="s">
        <v>42</v>
      </c>
      <c r="F624">
        <v>2358</v>
      </c>
      <c r="G624" s="1" t="str">
        <f>_xlfn.XLOOKUP(tblActuals[[#This Row],[GL Account]],tblGLMap[GL Account],tblGLMap[Cost Category])</f>
        <v>Maintenance &amp; Repairs</v>
      </c>
      <c r="H624" s="1" t="str">
        <f>TEXT(tblActuals[[#This Row],[Date]],"mmm")</f>
        <v>Jul</v>
      </c>
    </row>
    <row r="625" spans="1:8" x14ac:dyDescent="0.25">
      <c r="A625" s="2">
        <v>45845</v>
      </c>
      <c r="B625" s="1" t="s">
        <v>10</v>
      </c>
      <c r="C625">
        <v>6320</v>
      </c>
      <c r="D625" s="1" t="s">
        <v>32</v>
      </c>
      <c r="E625" s="1" t="s">
        <v>42</v>
      </c>
      <c r="F625">
        <v>8397</v>
      </c>
      <c r="G625" s="1" t="str">
        <f>_xlfn.XLOOKUP(tblActuals[[#This Row],[GL Account]],tblGLMap[GL Account],tblGLMap[Cost Category])</f>
        <v>Maintenance &amp; Repairs</v>
      </c>
      <c r="H625" s="1" t="str">
        <f>TEXT(tblActuals[[#This Row],[Date]],"mmm")</f>
        <v>Jul</v>
      </c>
    </row>
    <row r="626" spans="1:8" x14ac:dyDescent="0.25">
      <c r="A626" s="2">
        <v>45843</v>
      </c>
      <c r="B626" s="1" t="s">
        <v>11</v>
      </c>
      <c r="C626">
        <v>6010</v>
      </c>
      <c r="D626" s="1" t="s">
        <v>35</v>
      </c>
      <c r="E626" s="1" t="s">
        <v>30</v>
      </c>
      <c r="F626">
        <v>3362</v>
      </c>
      <c r="G626" s="1" t="str">
        <f>_xlfn.XLOOKUP(tblActuals[[#This Row],[GL Account]],tblGLMap[GL Account],tblGLMap[Cost Category])</f>
        <v>Labor</v>
      </c>
      <c r="H626" s="1" t="str">
        <f>TEXT(tblActuals[[#This Row],[Date]],"mmm")</f>
        <v>Jul</v>
      </c>
    </row>
    <row r="627" spans="1:8" x14ac:dyDescent="0.25">
      <c r="A627" s="2">
        <v>45844</v>
      </c>
      <c r="B627" s="1" t="s">
        <v>11</v>
      </c>
      <c r="C627">
        <v>6010</v>
      </c>
      <c r="D627" s="1" t="s">
        <v>39</v>
      </c>
      <c r="E627" s="1" t="s">
        <v>30</v>
      </c>
      <c r="F627">
        <v>2541</v>
      </c>
      <c r="G627" s="1" t="str">
        <f>_xlfn.XLOOKUP(tblActuals[[#This Row],[GL Account]],tblGLMap[GL Account],tblGLMap[Cost Category])</f>
        <v>Labor</v>
      </c>
      <c r="H627" s="1" t="str">
        <f>TEXT(tblActuals[[#This Row],[Date]],"mmm")</f>
        <v>Jul</v>
      </c>
    </row>
    <row r="628" spans="1:8" x14ac:dyDescent="0.25">
      <c r="A628" s="2">
        <v>45845</v>
      </c>
      <c r="B628" s="1" t="s">
        <v>11</v>
      </c>
      <c r="C628">
        <v>6010</v>
      </c>
      <c r="D628" s="1" t="s">
        <v>29</v>
      </c>
      <c r="E628" s="1" t="s">
        <v>30</v>
      </c>
      <c r="F628">
        <v>8844</v>
      </c>
      <c r="G628" s="1" t="str">
        <f>_xlfn.XLOOKUP(tblActuals[[#This Row],[GL Account]],tblGLMap[GL Account],tblGLMap[Cost Category])</f>
        <v>Labor</v>
      </c>
      <c r="H628" s="1" t="str">
        <f>TEXT(tblActuals[[#This Row],[Date]],"mmm")</f>
        <v>Jul</v>
      </c>
    </row>
    <row r="629" spans="1:8" x14ac:dyDescent="0.25">
      <c r="A629" s="2">
        <v>45843</v>
      </c>
      <c r="B629" s="1" t="s">
        <v>11</v>
      </c>
      <c r="C629">
        <v>6020</v>
      </c>
      <c r="D629" s="1" t="s">
        <v>32</v>
      </c>
      <c r="E629" s="1" t="s">
        <v>33</v>
      </c>
      <c r="F629">
        <v>9908</v>
      </c>
      <c r="G629" s="1" t="str">
        <f>_xlfn.XLOOKUP(tblActuals[[#This Row],[GL Account]],tblGLMap[GL Account],tblGLMap[Cost Category])</f>
        <v>Labor</v>
      </c>
      <c r="H629" s="1" t="str">
        <f>TEXT(tblActuals[[#This Row],[Date]],"mmm")</f>
        <v>Jul</v>
      </c>
    </row>
    <row r="630" spans="1:8" x14ac:dyDescent="0.25">
      <c r="A630" s="2">
        <v>45844</v>
      </c>
      <c r="B630" s="1" t="s">
        <v>11</v>
      </c>
      <c r="C630">
        <v>6020</v>
      </c>
      <c r="D630" s="1" t="s">
        <v>39</v>
      </c>
      <c r="E630" s="1" t="s">
        <v>33</v>
      </c>
      <c r="F630">
        <v>3286</v>
      </c>
      <c r="G630" s="1" t="str">
        <f>_xlfn.XLOOKUP(tblActuals[[#This Row],[GL Account]],tblGLMap[GL Account],tblGLMap[Cost Category])</f>
        <v>Labor</v>
      </c>
      <c r="H630" s="1" t="str">
        <f>TEXT(tblActuals[[#This Row],[Date]],"mmm")</f>
        <v>Jul</v>
      </c>
    </row>
    <row r="631" spans="1:8" x14ac:dyDescent="0.25">
      <c r="A631" s="2">
        <v>45845</v>
      </c>
      <c r="B631" s="1" t="s">
        <v>11</v>
      </c>
      <c r="C631">
        <v>6020</v>
      </c>
      <c r="D631" s="1" t="s">
        <v>34</v>
      </c>
      <c r="E631" s="1" t="s">
        <v>33</v>
      </c>
      <c r="F631">
        <v>9754</v>
      </c>
      <c r="G631" s="1" t="str">
        <f>_xlfn.XLOOKUP(tblActuals[[#This Row],[GL Account]],tblGLMap[GL Account],tblGLMap[Cost Category])</f>
        <v>Labor</v>
      </c>
      <c r="H631" s="1" t="str">
        <f>TEXT(tblActuals[[#This Row],[Date]],"mmm")</f>
        <v>Jul</v>
      </c>
    </row>
    <row r="632" spans="1:8" x14ac:dyDescent="0.25">
      <c r="A632" s="2">
        <v>45843</v>
      </c>
      <c r="B632" s="1" t="s">
        <v>11</v>
      </c>
      <c r="C632">
        <v>6110</v>
      </c>
      <c r="D632" s="1" t="s">
        <v>31</v>
      </c>
      <c r="E632" s="1" t="s">
        <v>36</v>
      </c>
      <c r="F632">
        <v>11577</v>
      </c>
      <c r="G632" s="1" t="str">
        <f>_xlfn.XLOOKUP(tblActuals[[#This Row],[GL Account]],tblGLMap[GL Account],tblGLMap[Cost Category])</f>
        <v>Supplies &amp; Inventory</v>
      </c>
      <c r="H632" s="1" t="str">
        <f>TEXT(tblActuals[[#This Row],[Date]],"mmm")</f>
        <v>Jul</v>
      </c>
    </row>
    <row r="633" spans="1:8" x14ac:dyDescent="0.25">
      <c r="A633" s="2">
        <v>45844</v>
      </c>
      <c r="B633" s="1" t="s">
        <v>11</v>
      </c>
      <c r="C633">
        <v>6110</v>
      </c>
      <c r="D633" s="1" t="s">
        <v>29</v>
      </c>
      <c r="E633" s="1" t="s">
        <v>36</v>
      </c>
      <c r="F633">
        <v>10043</v>
      </c>
      <c r="G633" s="1" t="str">
        <f>_xlfn.XLOOKUP(tblActuals[[#This Row],[GL Account]],tblGLMap[GL Account],tblGLMap[Cost Category])</f>
        <v>Supplies &amp; Inventory</v>
      </c>
      <c r="H633" s="1" t="str">
        <f>TEXT(tblActuals[[#This Row],[Date]],"mmm")</f>
        <v>Jul</v>
      </c>
    </row>
    <row r="634" spans="1:8" x14ac:dyDescent="0.25">
      <c r="A634" s="2">
        <v>45845</v>
      </c>
      <c r="B634" s="1" t="s">
        <v>11</v>
      </c>
      <c r="C634">
        <v>6110</v>
      </c>
      <c r="D634" s="1" t="s">
        <v>35</v>
      </c>
      <c r="E634" s="1" t="s">
        <v>36</v>
      </c>
      <c r="F634">
        <v>9004</v>
      </c>
      <c r="G634" s="1" t="str">
        <f>_xlfn.XLOOKUP(tblActuals[[#This Row],[GL Account]],tblGLMap[GL Account],tblGLMap[Cost Category])</f>
        <v>Supplies &amp; Inventory</v>
      </c>
      <c r="H634" s="1" t="str">
        <f>TEXT(tblActuals[[#This Row],[Date]],"mmm")</f>
        <v>Jul</v>
      </c>
    </row>
    <row r="635" spans="1:8" x14ac:dyDescent="0.25">
      <c r="A635" s="2">
        <v>45843</v>
      </c>
      <c r="B635" s="1" t="s">
        <v>11</v>
      </c>
      <c r="C635">
        <v>6120</v>
      </c>
      <c r="D635" s="1" t="s">
        <v>31</v>
      </c>
      <c r="E635" s="1" t="s">
        <v>37</v>
      </c>
      <c r="F635">
        <v>2010</v>
      </c>
      <c r="G635" s="1" t="str">
        <f>_xlfn.XLOOKUP(tblActuals[[#This Row],[GL Account]],tblGLMap[GL Account],tblGLMap[Cost Category])</f>
        <v>Supplies &amp; Inventory</v>
      </c>
      <c r="H635" s="1" t="str">
        <f>TEXT(tblActuals[[#This Row],[Date]],"mmm")</f>
        <v>Jul</v>
      </c>
    </row>
    <row r="636" spans="1:8" x14ac:dyDescent="0.25">
      <c r="A636" s="2">
        <v>45844</v>
      </c>
      <c r="B636" s="1" t="s">
        <v>11</v>
      </c>
      <c r="C636">
        <v>6120</v>
      </c>
      <c r="D636" s="1" t="s">
        <v>39</v>
      </c>
      <c r="E636" s="1" t="s">
        <v>37</v>
      </c>
      <c r="F636">
        <v>9347</v>
      </c>
      <c r="G636" s="1" t="str">
        <f>_xlfn.XLOOKUP(tblActuals[[#This Row],[GL Account]],tblGLMap[GL Account],tblGLMap[Cost Category])</f>
        <v>Supplies &amp; Inventory</v>
      </c>
      <c r="H636" s="1" t="str">
        <f>TEXT(tblActuals[[#This Row],[Date]],"mmm")</f>
        <v>Jul</v>
      </c>
    </row>
    <row r="637" spans="1:8" x14ac:dyDescent="0.25">
      <c r="A637" s="2">
        <v>45845</v>
      </c>
      <c r="B637" s="1" t="s">
        <v>11</v>
      </c>
      <c r="C637">
        <v>6120</v>
      </c>
      <c r="D637" s="1" t="s">
        <v>35</v>
      </c>
      <c r="E637" s="1" t="s">
        <v>37</v>
      </c>
      <c r="F637">
        <v>8484</v>
      </c>
      <c r="G637" s="1" t="str">
        <f>_xlfn.XLOOKUP(tblActuals[[#This Row],[GL Account]],tblGLMap[GL Account],tblGLMap[Cost Category])</f>
        <v>Supplies &amp; Inventory</v>
      </c>
      <c r="H637" s="1" t="str">
        <f>TEXT(tblActuals[[#This Row],[Date]],"mmm")</f>
        <v>Jul</v>
      </c>
    </row>
    <row r="638" spans="1:8" x14ac:dyDescent="0.25">
      <c r="A638" s="2">
        <v>45843</v>
      </c>
      <c r="B638" s="1" t="s">
        <v>11</v>
      </c>
      <c r="C638">
        <v>6210</v>
      </c>
      <c r="D638" s="1" t="s">
        <v>39</v>
      </c>
      <c r="E638" s="1" t="s">
        <v>38</v>
      </c>
      <c r="F638">
        <v>3268</v>
      </c>
      <c r="G638" s="1" t="str">
        <f>_xlfn.XLOOKUP(tblActuals[[#This Row],[GL Account]],tblGLMap[GL Account],tblGLMap[Cost Category])</f>
        <v>Utilities</v>
      </c>
      <c r="H638" s="1" t="str">
        <f>TEXT(tblActuals[[#This Row],[Date]],"mmm")</f>
        <v>Jul</v>
      </c>
    </row>
    <row r="639" spans="1:8" x14ac:dyDescent="0.25">
      <c r="A639" s="2">
        <v>45844</v>
      </c>
      <c r="B639" s="1" t="s">
        <v>11</v>
      </c>
      <c r="C639">
        <v>6210</v>
      </c>
      <c r="D639" s="1" t="s">
        <v>31</v>
      </c>
      <c r="E639" s="1" t="s">
        <v>38</v>
      </c>
      <c r="F639">
        <v>8767</v>
      </c>
      <c r="G639" s="1" t="str">
        <f>_xlfn.XLOOKUP(tblActuals[[#This Row],[GL Account]],tblGLMap[GL Account],tblGLMap[Cost Category])</f>
        <v>Utilities</v>
      </c>
      <c r="H639" s="1" t="str">
        <f>TEXT(tblActuals[[#This Row],[Date]],"mmm")</f>
        <v>Jul</v>
      </c>
    </row>
    <row r="640" spans="1:8" x14ac:dyDescent="0.25">
      <c r="A640" s="2">
        <v>45845</v>
      </c>
      <c r="B640" s="1" t="s">
        <v>11</v>
      </c>
      <c r="C640">
        <v>6210</v>
      </c>
      <c r="D640" s="1" t="s">
        <v>29</v>
      </c>
      <c r="E640" s="1" t="s">
        <v>38</v>
      </c>
      <c r="F640">
        <v>2823</v>
      </c>
      <c r="G640" s="1" t="str">
        <f>_xlfn.XLOOKUP(tblActuals[[#This Row],[GL Account]],tblGLMap[GL Account],tblGLMap[Cost Category])</f>
        <v>Utilities</v>
      </c>
      <c r="H640" s="1" t="str">
        <f>TEXT(tblActuals[[#This Row],[Date]],"mmm")</f>
        <v>Jul</v>
      </c>
    </row>
    <row r="641" spans="1:8" x14ac:dyDescent="0.25">
      <c r="A641" s="2">
        <v>45843</v>
      </c>
      <c r="B641" s="1" t="s">
        <v>11</v>
      </c>
      <c r="C641">
        <v>6220</v>
      </c>
      <c r="D641" s="1" t="s">
        <v>34</v>
      </c>
      <c r="E641" s="1" t="s">
        <v>40</v>
      </c>
      <c r="F641">
        <v>11466</v>
      </c>
      <c r="G641" s="1" t="str">
        <f>_xlfn.XLOOKUP(tblActuals[[#This Row],[GL Account]],tblGLMap[GL Account],tblGLMap[Cost Category])</f>
        <v>Utilities</v>
      </c>
      <c r="H641" s="1" t="str">
        <f>TEXT(tblActuals[[#This Row],[Date]],"mmm")</f>
        <v>Jul</v>
      </c>
    </row>
    <row r="642" spans="1:8" x14ac:dyDescent="0.25">
      <c r="A642" s="2">
        <v>45844</v>
      </c>
      <c r="B642" s="1" t="s">
        <v>11</v>
      </c>
      <c r="C642">
        <v>6220</v>
      </c>
      <c r="D642" s="1" t="s">
        <v>34</v>
      </c>
      <c r="E642" s="1" t="s">
        <v>40</v>
      </c>
      <c r="F642">
        <v>2576</v>
      </c>
      <c r="G642" s="1" t="str">
        <f>_xlfn.XLOOKUP(tblActuals[[#This Row],[GL Account]],tblGLMap[GL Account],tblGLMap[Cost Category])</f>
        <v>Utilities</v>
      </c>
      <c r="H642" s="1" t="str">
        <f>TEXT(tblActuals[[#This Row],[Date]],"mmm")</f>
        <v>Jul</v>
      </c>
    </row>
    <row r="643" spans="1:8" x14ac:dyDescent="0.25">
      <c r="A643" s="2">
        <v>45845</v>
      </c>
      <c r="B643" s="1" t="s">
        <v>11</v>
      </c>
      <c r="C643">
        <v>6220</v>
      </c>
      <c r="D643" s="1" t="s">
        <v>32</v>
      </c>
      <c r="E643" s="1" t="s">
        <v>40</v>
      </c>
      <c r="F643">
        <v>6005</v>
      </c>
      <c r="G643" s="1" t="str">
        <f>_xlfn.XLOOKUP(tblActuals[[#This Row],[GL Account]],tblGLMap[GL Account],tblGLMap[Cost Category])</f>
        <v>Utilities</v>
      </c>
      <c r="H643" s="1" t="str">
        <f>TEXT(tblActuals[[#This Row],[Date]],"mmm")</f>
        <v>Jul</v>
      </c>
    </row>
    <row r="644" spans="1:8" x14ac:dyDescent="0.25">
      <c r="A644" s="2">
        <v>45843</v>
      </c>
      <c r="B644" s="1" t="s">
        <v>11</v>
      </c>
      <c r="C644">
        <v>6310</v>
      </c>
      <c r="D644" s="1" t="s">
        <v>32</v>
      </c>
      <c r="E644" s="1" t="s">
        <v>41</v>
      </c>
      <c r="F644">
        <v>11872</v>
      </c>
      <c r="G644" s="1" t="str">
        <f>_xlfn.XLOOKUP(tblActuals[[#This Row],[GL Account]],tblGLMap[GL Account],tblGLMap[Cost Category])</f>
        <v>Maintenance &amp; Repairs</v>
      </c>
      <c r="H644" s="1" t="str">
        <f>TEXT(tblActuals[[#This Row],[Date]],"mmm")</f>
        <v>Jul</v>
      </c>
    </row>
    <row r="645" spans="1:8" x14ac:dyDescent="0.25">
      <c r="A645" s="2">
        <v>45844</v>
      </c>
      <c r="B645" s="1" t="s">
        <v>11</v>
      </c>
      <c r="C645">
        <v>6310</v>
      </c>
      <c r="D645" s="1" t="s">
        <v>35</v>
      </c>
      <c r="E645" s="1" t="s">
        <v>41</v>
      </c>
      <c r="F645">
        <v>10484</v>
      </c>
      <c r="G645" s="1" t="str">
        <f>_xlfn.XLOOKUP(tblActuals[[#This Row],[GL Account]],tblGLMap[GL Account],tblGLMap[Cost Category])</f>
        <v>Maintenance &amp; Repairs</v>
      </c>
      <c r="H645" s="1" t="str">
        <f>TEXT(tblActuals[[#This Row],[Date]],"mmm")</f>
        <v>Jul</v>
      </c>
    </row>
    <row r="646" spans="1:8" x14ac:dyDescent="0.25">
      <c r="A646" s="2">
        <v>45845</v>
      </c>
      <c r="B646" s="1" t="s">
        <v>11</v>
      </c>
      <c r="C646">
        <v>6310</v>
      </c>
      <c r="D646" s="1" t="s">
        <v>39</v>
      </c>
      <c r="E646" s="1" t="s">
        <v>41</v>
      </c>
      <c r="F646">
        <v>6827</v>
      </c>
      <c r="G646" s="1" t="str">
        <f>_xlfn.XLOOKUP(tblActuals[[#This Row],[GL Account]],tblGLMap[GL Account],tblGLMap[Cost Category])</f>
        <v>Maintenance &amp; Repairs</v>
      </c>
      <c r="H646" s="1" t="str">
        <f>TEXT(tblActuals[[#This Row],[Date]],"mmm")</f>
        <v>Jul</v>
      </c>
    </row>
    <row r="647" spans="1:8" x14ac:dyDescent="0.25">
      <c r="A647" s="2">
        <v>45843</v>
      </c>
      <c r="B647" s="1" t="s">
        <v>11</v>
      </c>
      <c r="C647">
        <v>6320</v>
      </c>
      <c r="D647" s="1" t="s">
        <v>32</v>
      </c>
      <c r="E647" s="1" t="s">
        <v>42</v>
      </c>
      <c r="F647">
        <v>11287</v>
      </c>
      <c r="G647" s="1" t="str">
        <f>_xlfn.XLOOKUP(tblActuals[[#This Row],[GL Account]],tblGLMap[GL Account],tblGLMap[Cost Category])</f>
        <v>Maintenance &amp; Repairs</v>
      </c>
      <c r="H647" s="1" t="str">
        <f>TEXT(tblActuals[[#This Row],[Date]],"mmm")</f>
        <v>Jul</v>
      </c>
    </row>
    <row r="648" spans="1:8" x14ac:dyDescent="0.25">
      <c r="A648" s="2">
        <v>45844</v>
      </c>
      <c r="B648" s="1" t="s">
        <v>11</v>
      </c>
      <c r="C648">
        <v>6320</v>
      </c>
      <c r="D648" s="1" t="s">
        <v>39</v>
      </c>
      <c r="E648" s="1" t="s">
        <v>42</v>
      </c>
      <c r="F648">
        <v>6331</v>
      </c>
      <c r="G648" s="1" t="str">
        <f>_xlfn.XLOOKUP(tblActuals[[#This Row],[GL Account]],tblGLMap[GL Account],tblGLMap[Cost Category])</f>
        <v>Maintenance &amp; Repairs</v>
      </c>
      <c r="H648" s="1" t="str">
        <f>TEXT(tblActuals[[#This Row],[Date]],"mmm")</f>
        <v>Jul</v>
      </c>
    </row>
    <row r="649" spans="1:8" x14ac:dyDescent="0.25">
      <c r="A649" s="2">
        <v>45845</v>
      </c>
      <c r="B649" s="1" t="s">
        <v>11</v>
      </c>
      <c r="C649">
        <v>6320</v>
      </c>
      <c r="D649" s="1" t="s">
        <v>32</v>
      </c>
      <c r="E649" s="1" t="s">
        <v>42</v>
      </c>
      <c r="F649">
        <v>9782</v>
      </c>
      <c r="G649" s="1" t="str">
        <f>_xlfn.XLOOKUP(tblActuals[[#This Row],[GL Account]],tblGLMap[GL Account],tblGLMap[Cost Category])</f>
        <v>Maintenance &amp; Repairs</v>
      </c>
      <c r="H649" s="1" t="str">
        <f>TEXT(tblActuals[[#This Row],[Date]],"mmm")</f>
        <v>Jul</v>
      </c>
    </row>
    <row r="650" spans="1:8" x14ac:dyDescent="0.25">
      <c r="A650" s="2">
        <v>45843</v>
      </c>
      <c r="B650" s="1" t="s">
        <v>12</v>
      </c>
      <c r="C650">
        <v>6010</v>
      </c>
      <c r="D650" s="1" t="s">
        <v>31</v>
      </c>
      <c r="E650" s="1" t="s">
        <v>30</v>
      </c>
      <c r="F650">
        <v>8548</v>
      </c>
      <c r="G650" s="1" t="str">
        <f>_xlfn.XLOOKUP(tblActuals[[#This Row],[GL Account]],tblGLMap[GL Account],tblGLMap[Cost Category])</f>
        <v>Labor</v>
      </c>
      <c r="H650" s="1" t="str">
        <f>TEXT(tblActuals[[#This Row],[Date]],"mmm")</f>
        <v>Jul</v>
      </c>
    </row>
    <row r="651" spans="1:8" x14ac:dyDescent="0.25">
      <c r="A651" s="2">
        <v>45844</v>
      </c>
      <c r="B651" s="1" t="s">
        <v>12</v>
      </c>
      <c r="C651">
        <v>6010</v>
      </c>
      <c r="D651" s="1" t="s">
        <v>35</v>
      </c>
      <c r="E651" s="1" t="s">
        <v>30</v>
      </c>
      <c r="F651">
        <v>3374</v>
      </c>
      <c r="G651" s="1" t="str">
        <f>_xlfn.XLOOKUP(tblActuals[[#This Row],[GL Account]],tblGLMap[GL Account],tblGLMap[Cost Category])</f>
        <v>Labor</v>
      </c>
      <c r="H651" s="1" t="str">
        <f>TEXT(tblActuals[[#This Row],[Date]],"mmm")</f>
        <v>Jul</v>
      </c>
    </row>
    <row r="652" spans="1:8" x14ac:dyDescent="0.25">
      <c r="A652" s="2">
        <v>45845</v>
      </c>
      <c r="B652" s="1" t="s">
        <v>12</v>
      </c>
      <c r="C652">
        <v>6010</v>
      </c>
      <c r="D652" s="1" t="s">
        <v>35</v>
      </c>
      <c r="E652" s="1" t="s">
        <v>30</v>
      </c>
      <c r="F652">
        <v>10533</v>
      </c>
      <c r="G652" s="1" t="str">
        <f>_xlfn.XLOOKUP(tblActuals[[#This Row],[GL Account]],tblGLMap[GL Account],tblGLMap[Cost Category])</f>
        <v>Labor</v>
      </c>
      <c r="H652" s="1" t="str">
        <f>TEXT(tblActuals[[#This Row],[Date]],"mmm")</f>
        <v>Jul</v>
      </c>
    </row>
    <row r="653" spans="1:8" x14ac:dyDescent="0.25">
      <c r="A653" s="2">
        <v>45843</v>
      </c>
      <c r="B653" s="1" t="s">
        <v>12</v>
      </c>
      <c r="C653">
        <v>6020</v>
      </c>
      <c r="D653" s="1" t="s">
        <v>39</v>
      </c>
      <c r="E653" s="1" t="s">
        <v>33</v>
      </c>
      <c r="F653">
        <v>5022</v>
      </c>
      <c r="G653" s="1" t="str">
        <f>_xlfn.XLOOKUP(tblActuals[[#This Row],[GL Account]],tblGLMap[GL Account],tblGLMap[Cost Category])</f>
        <v>Labor</v>
      </c>
      <c r="H653" s="1" t="str">
        <f>TEXT(tblActuals[[#This Row],[Date]],"mmm")</f>
        <v>Jul</v>
      </c>
    </row>
    <row r="654" spans="1:8" x14ac:dyDescent="0.25">
      <c r="A654" s="2">
        <v>45844</v>
      </c>
      <c r="B654" s="1" t="s">
        <v>12</v>
      </c>
      <c r="C654">
        <v>6020</v>
      </c>
      <c r="D654" s="1" t="s">
        <v>34</v>
      </c>
      <c r="E654" s="1" t="s">
        <v>33</v>
      </c>
      <c r="F654">
        <v>8898</v>
      </c>
      <c r="G654" s="1" t="str">
        <f>_xlfn.XLOOKUP(tblActuals[[#This Row],[GL Account]],tblGLMap[GL Account],tblGLMap[Cost Category])</f>
        <v>Labor</v>
      </c>
      <c r="H654" s="1" t="str">
        <f>TEXT(tblActuals[[#This Row],[Date]],"mmm")</f>
        <v>Jul</v>
      </c>
    </row>
    <row r="655" spans="1:8" x14ac:dyDescent="0.25">
      <c r="A655" s="2">
        <v>45845</v>
      </c>
      <c r="B655" s="1" t="s">
        <v>12</v>
      </c>
      <c r="C655">
        <v>6020</v>
      </c>
      <c r="D655" s="1" t="s">
        <v>29</v>
      </c>
      <c r="E655" s="1" t="s">
        <v>33</v>
      </c>
      <c r="F655">
        <v>8279</v>
      </c>
      <c r="G655" s="1" t="str">
        <f>_xlfn.XLOOKUP(tblActuals[[#This Row],[GL Account]],tblGLMap[GL Account],tblGLMap[Cost Category])</f>
        <v>Labor</v>
      </c>
      <c r="H655" s="1" t="str">
        <f>TEXT(tblActuals[[#This Row],[Date]],"mmm")</f>
        <v>Jul</v>
      </c>
    </row>
    <row r="656" spans="1:8" x14ac:dyDescent="0.25">
      <c r="A656" s="2">
        <v>45843</v>
      </c>
      <c r="B656" s="1" t="s">
        <v>12</v>
      </c>
      <c r="C656">
        <v>6110</v>
      </c>
      <c r="D656" s="1" t="s">
        <v>39</v>
      </c>
      <c r="E656" s="1" t="s">
        <v>36</v>
      </c>
      <c r="F656">
        <v>8930</v>
      </c>
      <c r="G656" s="1" t="str">
        <f>_xlfn.XLOOKUP(tblActuals[[#This Row],[GL Account]],tblGLMap[GL Account],tblGLMap[Cost Category])</f>
        <v>Supplies &amp; Inventory</v>
      </c>
      <c r="H656" s="1" t="str">
        <f>TEXT(tblActuals[[#This Row],[Date]],"mmm")</f>
        <v>Jul</v>
      </c>
    </row>
    <row r="657" spans="1:8" x14ac:dyDescent="0.25">
      <c r="A657" s="2">
        <v>45844</v>
      </c>
      <c r="B657" s="1" t="s">
        <v>12</v>
      </c>
      <c r="C657">
        <v>6110</v>
      </c>
      <c r="D657" s="1" t="s">
        <v>35</v>
      </c>
      <c r="E657" s="1" t="s">
        <v>36</v>
      </c>
      <c r="F657">
        <v>8315</v>
      </c>
      <c r="G657" s="1" t="str">
        <f>_xlfn.XLOOKUP(tblActuals[[#This Row],[GL Account]],tblGLMap[GL Account],tblGLMap[Cost Category])</f>
        <v>Supplies &amp; Inventory</v>
      </c>
      <c r="H657" s="1" t="str">
        <f>TEXT(tblActuals[[#This Row],[Date]],"mmm")</f>
        <v>Jul</v>
      </c>
    </row>
    <row r="658" spans="1:8" x14ac:dyDescent="0.25">
      <c r="A658" s="2">
        <v>45845</v>
      </c>
      <c r="B658" s="1" t="s">
        <v>12</v>
      </c>
      <c r="C658">
        <v>6110</v>
      </c>
      <c r="D658" s="1" t="s">
        <v>29</v>
      </c>
      <c r="E658" s="1" t="s">
        <v>36</v>
      </c>
      <c r="F658">
        <v>3057</v>
      </c>
      <c r="G658" s="1" t="str">
        <f>_xlfn.XLOOKUP(tblActuals[[#This Row],[GL Account]],tblGLMap[GL Account],tblGLMap[Cost Category])</f>
        <v>Supplies &amp; Inventory</v>
      </c>
      <c r="H658" s="1" t="str">
        <f>TEXT(tblActuals[[#This Row],[Date]],"mmm")</f>
        <v>Jul</v>
      </c>
    </row>
    <row r="659" spans="1:8" x14ac:dyDescent="0.25">
      <c r="A659" s="2">
        <v>45843</v>
      </c>
      <c r="B659" s="1" t="s">
        <v>12</v>
      </c>
      <c r="C659">
        <v>6120</v>
      </c>
      <c r="D659" s="1" t="s">
        <v>29</v>
      </c>
      <c r="E659" s="1" t="s">
        <v>37</v>
      </c>
      <c r="F659">
        <v>8492</v>
      </c>
      <c r="G659" s="1" t="str">
        <f>_xlfn.XLOOKUP(tblActuals[[#This Row],[GL Account]],tblGLMap[GL Account],tblGLMap[Cost Category])</f>
        <v>Supplies &amp; Inventory</v>
      </c>
      <c r="H659" s="1" t="str">
        <f>TEXT(tblActuals[[#This Row],[Date]],"mmm")</f>
        <v>Jul</v>
      </c>
    </row>
    <row r="660" spans="1:8" x14ac:dyDescent="0.25">
      <c r="A660" s="2">
        <v>45844</v>
      </c>
      <c r="B660" s="1" t="s">
        <v>12</v>
      </c>
      <c r="C660">
        <v>6120</v>
      </c>
      <c r="D660" s="1" t="s">
        <v>29</v>
      </c>
      <c r="E660" s="1" t="s">
        <v>37</v>
      </c>
      <c r="F660">
        <v>5676</v>
      </c>
      <c r="G660" s="1" t="str">
        <f>_xlfn.XLOOKUP(tblActuals[[#This Row],[GL Account]],tblGLMap[GL Account],tblGLMap[Cost Category])</f>
        <v>Supplies &amp; Inventory</v>
      </c>
      <c r="H660" s="1" t="str">
        <f>TEXT(tblActuals[[#This Row],[Date]],"mmm")</f>
        <v>Jul</v>
      </c>
    </row>
    <row r="661" spans="1:8" x14ac:dyDescent="0.25">
      <c r="A661" s="2">
        <v>45845</v>
      </c>
      <c r="B661" s="1" t="s">
        <v>12</v>
      </c>
      <c r="C661">
        <v>6120</v>
      </c>
      <c r="D661" s="1" t="s">
        <v>35</v>
      </c>
      <c r="E661" s="1" t="s">
        <v>37</v>
      </c>
      <c r="F661">
        <v>4000</v>
      </c>
      <c r="G661" s="1" t="str">
        <f>_xlfn.XLOOKUP(tblActuals[[#This Row],[GL Account]],tblGLMap[GL Account],tblGLMap[Cost Category])</f>
        <v>Supplies &amp; Inventory</v>
      </c>
      <c r="H661" s="1" t="str">
        <f>TEXT(tblActuals[[#This Row],[Date]],"mmm")</f>
        <v>Jul</v>
      </c>
    </row>
    <row r="662" spans="1:8" x14ac:dyDescent="0.25">
      <c r="A662" s="2">
        <v>45843</v>
      </c>
      <c r="B662" s="1" t="s">
        <v>12</v>
      </c>
      <c r="C662">
        <v>6210</v>
      </c>
      <c r="D662" s="1" t="s">
        <v>31</v>
      </c>
      <c r="E662" s="1" t="s">
        <v>38</v>
      </c>
      <c r="F662">
        <v>9270</v>
      </c>
      <c r="G662" s="1" t="str">
        <f>_xlfn.XLOOKUP(tblActuals[[#This Row],[GL Account]],tblGLMap[GL Account],tblGLMap[Cost Category])</f>
        <v>Utilities</v>
      </c>
      <c r="H662" s="1" t="str">
        <f>TEXT(tblActuals[[#This Row],[Date]],"mmm")</f>
        <v>Jul</v>
      </c>
    </row>
    <row r="663" spans="1:8" x14ac:dyDescent="0.25">
      <c r="A663" s="2">
        <v>45844</v>
      </c>
      <c r="B663" s="1" t="s">
        <v>12</v>
      </c>
      <c r="C663">
        <v>6210</v>
      </c>
      <c r="D663" s="1" t="s">
        <v>31</v>
      </c>
      <c r="E663" s="1" t="s">
        <v>38</v>
      </c>
      <c r="F663">
        <v>2994</v>
      </c>
      <c r="G663" s="1" t="str">
        <f>_xlfn.XLOOKUP(tblActuals[[#This Row],[GL Account]],tblGLMap[GL Account],tblGLMap[Cost Category])</f>
        <v>Utilities</v>
      </c>
      <c r="H663" s="1" t="str">
        <f>TEXT(tblActuals[[#This Row],[Date]],"mmm")</f>
        <v>Jul</v>
      </c>
    </row>
    <row r="664" spans="1:8" x14ac:dyDescent="0.25">
      <c r="A664" s="2">
        <v>45845</v>
      </c>
      <c r="B664" s="1" t="s">
        <v>12</v>
      </c>
      <c r="C664">
        <v>6210</v>
      </c>
      <c r="D664" s="1" t="s">
        <v>39</v>
      </c>
      <c r="E664" s="1" t="s">
        <v>38</v>
      </c>
      <c r="F664">
        <v>3027</v>
      </c>
      <c r="G664" s="1" t="str">
        <f>_xlfn.XLOOKUP(tblActuals[[#This Row],[GL Account]],tblGLMap[GL Account],tblGLMap[Cost Category])</f>
        <v>Utilities</v>
      </c>
      <c r="H664" s="1" t="str">
        <f>TEXT(tblActuals[[#This Row],[Date]],"mmm")</f>
        <v>Jul</v>
      </c>
    </row>
    <row r="665" spans="1:8" x14ac:dyDescent="0.25">
      <c r="A665" s="2">
        <v>45843</v>
      </c>
      <c r="B665" s="1" t="s">
        <v>12</v>
      </c>
      <c r="C665">
        <v>6220</v>
      </c>
      <c r="D665" s="1" t="s">
        <v>35</v>
      </c>
      <c r="E665" s="1" t="s">
        <v>40</v>
      </c>
      <c r="F665">
        <v>3082</v>
      </c>
      <c r="G665" s="1" t="str">
        <f>_xlfn.XLOOKUP(tblActuals[[#This Row],[GL Account]],tblGLMap[GL Account],tblGLMap[Cost Category])</f>
        <v>Utilities</v>
      </c>
      <c r="H665" s="1" t="str">
        <f>TEXT(tblActuals[[#This Row],[Date]],"mmm")</f>
        <v>Jul</v>
      </c>
    </row>
    <row r="666" spans="1:8" x14ac:dyDescent="0.25">
      <c r="A666" s="2">
        <v>45844</v>
      </c>
      <c r="B666" s="1" t="s">
        <v>12</v>
      </c>
      <c r="C666">
        <v>6220</v>
      </c>
      <c r="D666" s="1" t="s">
        <v>34</v>
      </c>
      <c r="E666" s="1" t="s">
        <v>40</v>
      </c>
      <c r="F666">
        <v>7605</v>
      </c>
      <c r="G666" s="1" t="str">
        <f>_xlfn.XLOOKUP(tblActuals[[#This Row],[GL Account]],tblGLMap[GL Account],tblGLMap[Cost Category])</f>
        <v>Utilities</v>
      </c>
      <c r="H666" s="1" t="str">
        <f>TEXT(tblActuals[[#This Row],[Date]],"mmm")</f>
        <v>Jul</v>
      </c>
    </row>
    <row r="667" spans="1:8" x14ac:dyDescent="0.25">
      <c r="A667" s="2">
        <v>45845</v>
      </c>
      <c r="B667" s="1" t="s">
        <v>12</v>
      </c>
      <c r="C667">
        <v>6220</v>
      </c>
      <c r="D667" s="1" t="s">
        <v>31</v>
      </c>
      <c r="E667" s="1" t="s">
        <v>40</v>
      </c>
      <c r="F667">
        <v>10615</v>
      </c>
      <c r="G667" s="1" t="str">
        <f>_xlfn.XLOOKUP(tblActuals[[#This Row],[GL Account]],tblGLMap[GL Account],tblGLMap[Cost Category])</f>
        <v>Utilities</v>
      </c>
      <c r="H667" s="1" t="str">
        <f>TEXT(tblActuals[[#This Row],[Date]],"mmm")</f>
        <v>Jul</v>
      </c>
    </row>
    <row r="668" spans="1:8" x14ac:dyDescent="0.25">
      <c r="A668" s="2">
        <v>45843</v>
      </c>
      <c r="B668" s="1" t="s">
        <v>12</v>
      </c>
      <c r="C668">
        <v>6310</v>
      </c>
      <c r="D668" s="1" t="s">
        <v>32</v>
      </c>
      <c r="E668" s="1" t="s">
        <v>41</v>
      </c>
      <c r="F668">
        <v>11108</v>
      </c>
      <c r="G668" s="1" t="str">
        <f>_xlfn.XLOOKUP(tblActuals[[#This Row],[GL Account]],tblGLMap[GL Account],tblGLMap[Cost Category])</f>
        <v>Maintenance &amp; Repairs</v>
      </c>
      <c r="H668" s="1" t="str">
        <f>TEXT(tblActuals[[#This Row],[Date]],"mmm")</f>
        <v>Jul</v>
      </c>
    </row>
    <row r="669" spans="1:8" x14ac:dyDescent="0.25">
      <c r="A669" s="2">
        <v>45844</v>
      </c>
      <c r="B669" s="1" t="s">
        <v>12</v>
      </c>
      <c r="C669">
        <v>6310</v>
      </c>
      <c r="D669" s="1" t="s">
        <v>29</v>
      </c>
      <c r="E669" s="1" t="s">
        <v>41</v>
      </c>
      <c r="F669">
        <v>10702</v>
      </c>
      <c r="G669" s="1" t="str">
        <f>_xlfn.XLOOKUP(tblActuals[[#This Row],[GL Account]],tblGLMap[GL Account],tblGLMap[Cost Category])</f>
        <v>Maintenance &amp; Repairs</v>
      </c>
      <c r="H669" s="1" t="str">
        <f>TEXT(tblActuals[[#This Row],[Date]],"mmm")</f>
        <v>Jul</v>
      </c>
    </row>
    <row r="670" spans="1:8" x14ac:dyDescent="0.25">
      <c r="A670" s="2">
        <v>45845</v>
      </c>
      <c r="B670" s="1" t="s">
        <v>12</v>
      </c>
      <c r="C670">
        <v>6310</v>
      </c>
      <c r="D670" s="1" t="s">
        <v>39</v>
      </c>
      <c r="E670" s="1" t="s">
        <v>41</v>
      </c>
      <c r="F670">
        <v>3502</v>
      </c>
      <c r="G670" s="1" t="str">
        <f>_xlfn.XLOOKUP(tblActuals[[#This Row],[GL Account]],tblGLMap[GL Account],tblGLMap[Cost Category])</f>
        <v>Maintenance &amp; Repairs</v>
      </c>
      <c r="H670" s="1" t="str">
        <f>TEXT(tblActuals[[#This Row],[Date]],"mmm")</f>
        <v>Jul</v>
      </c>
    </row>
    <row r="671" spans="1:8" x14ac:dyDescent="0.25">
      <c r="A671" s="2">
        <v>45843</v>
      </c>
      <c r="B671" s="1" t="s">
        <v>12</v>
      </c>
      <c r="C671">
        <v>6320</v>
      </c>
      <c r="D671" s="1" t="s">
        <v>35</v>
      </c>
      <c r="E671" s="1" t="s">
        <v>42</v>
      </c>
      <c r="F671">
        <v>7293</v>
      </c>
      <c r="G671" s="1" t="str">
        <f>_xlfn.XLOOKUP(tblActuals[[#This Row],[GL Account]],tblGLMap[GL Account],tblGLMap[Cost Category])</f>
        <v>Maintenance &amp; Repairs</v>
      </c>
      <c r="H671" s="1" t="str">
        <f>TEXT(tblActuals[[#This Row],[Date]],"mmm")</f>
        <v>Jul</v>
      </c>
    </row>
    <row r="672" spans="1:8" x14ac:dyDescent="0.25">
      <c r="A672" s="2">
        <v>45844</v>
      </c>
      <c r="B672" s="1" t="s">
        <v>12</v>
      </c>
      <c r="C672">
        <v>6320</v>
      </c>
      <c r="D672" s="1" t="s">
        <v>35</v>
      </c>
      <c r="E672" s="1" t="s">
        <v>42</v>
      </c>
      <c r="F672">
        <v>8429</v>
      </c>
      <c r="G672" s="1" t="str">
        <f>_xlfn.XLOOKUP(tblActuals[[#This Row],[GL Account]],tblGLMap[GL Account],tblGLMap[Cost Category])</f>
        <v>Maintenance &amp; Repairs</v>
      </c>
      <c r="H672" s="1" t="str">
        <f>TEXT(tblActuals[[#This Row],[Date]],"mmm")</f>
        <v>Jul</v>
      </c>
    </row>
    <row r="673" spans="1:8" x14ac:dyDescent="0.25">
      <c r="A673" s="2">
        <v>45845</v>
      </c>
      <c r="B673" s="1" t="s">
        <v>12</v>
      </c>
      <c r="C673">
        <v>6320</v>
      </c>
      <c r="D673" s="1" t="s">
        <v>29</v>
      </c>
      <c r="E673" s="1" t="s">
        <v>42</v>
      </c>
      <c r="F673">
        <v>2342</v>
      </c>
      <c r="G673" s="1" t="str">
        <f>_xlfn.XLOOKUP(tblActuals[[#This Row],[GL Account]],tblGLMap[GL Account],tblGLMap[Cost Category])</f>
        <v>Maintenance &amp; Repairs</v>
      </c>
      <c r="H673" s="1" t="str">
        <f>TEXT(tblActuals[[#This Row],[Date]],"mmm")</f>
        <v>Jul</v>
      </c>
    </row>
    <row r="674" spans="1:8" x14ac:dyDescent="0.25">
      <c r="A674" s="2">
        <v>45874</v>
      </c>
      <c r="B674" s="1" t="s">
        <v>5</v>
      </c>
      <c r="C674">
        <v>6010</v>
      </c>
      <c r="D674" s="1" t="s">
        <v>29</v>
      </c>
      <c r="E674" s="1" t="s">
        <v>30</v>
      </c>
      <c r="F674">
        <v>11337</v>
      </c>
      <c r="G674" s="1" t="str">
        <f>_xlfn.XLOOKUP(tblActuals[[#This Row],[GL Account]],tblGLMap[GL Account],tblGLMap[Cost Category])</f>
        <v>Labor</v>
      </c>
      <c r="H674" s="1" t="str">
        <f>TEXT(tblActuals[[#This Row],[Date]],"mmm")</f>
        <v>Aug</v>
      </c>
    </row>
    <row r="675" spans="1:8" x14ac:dyDescent="0.25">
      <c r="A675" s="2">
        <v>45875</v>
      </c>
      <c r="B675" s="1" t="s">
        <v>5</v>
      </c>
      <c r="C675">
        <v>6010</v>
      </c>
      <c r="D675" s="1" t="s">
        <v>31</v>
      </c>
      <c r="E675" s="1" t="s">
        <v>30</v>
      </c>
      <c r="F675">
        <v>7261</v>
      </c>
      <c r="G675" s="1" t="str">
        <f>_xlfn.XLOOKUP(tblActuals[[#This Row],[GL Account]],tblGLMap[GL Account],tblGLMap[Cost Category])</f>
        <v>Labor</v>
      </c>
      <c r="H675" s="1" t="str">
        <f>TEXT(tblActuals[[#This Row],[Date]],"mmm")</f>
        <v>Aug</v>
      </c>
    </row>
    <row r="676" spans="1:8" x14ac:dyDescent="0.25">
      <c r="A676" s="2">
        <v>45876</v>
      </c>
      <c r="B676" s="1" t="s">
        <v>5</v>
      </c>
      <c r="C676">
        <v>6010</v>
      </c>
      <c r="D676" s="1" t="s">
        <v>32</v>
      </c>
      <c r="E676" s="1" t="s">
        <v>30</v>
      </c>
      <c r="F676">
        <v>10968</v>
      </c>
      <c r="G676" s="1" t="str">
        <f>_xlfn.XLOOKUP(tblActuals[[#This Row],[GL Account]],tblGLMap[GL Account],tblGLMap[Cost Category])</f>
        <v>Labor</v>
      </c>
      <c r="H676" s="1" t="str">
        <f>TEXT(tblActuals[[#This Row],[Date]],"mmm")</f>
        <v>Aug</v>
      </c>
    </row>
    <row r="677" spans="1:8" x14ac:dyDescent="0.25">
      <c r="A677" s="2">
        <v>45874</v>
      </c>
      <c r="B677" s="1" t="s">
        <v>5</v>
      </c>
      <c r="C677">
        <v>6020</v>
      </c>
      <c r="D677" s="1" t="s">
        <v>34</v>
      </c>
      <c r="E677" s="1" t="s">
        <v>33</v>
      </c>
      <c r="F677">
        <v>4985</v>
      </c>
      <c r="G677" s="1" t="str">
        <f>_xlfn.XLOOKUP(tblActuals[[#This Row],[GL Account]],tblGLMap[GL Account],tblGLMap[Cost Category])</f>
        <v>Labor</v>
      </c>
      <c r="H677" s="1" t="str">
        <f>TEXT(tblActuals[[#This Row],[Date]],"mmm")</f>
        <v>Aug</v>
      </c>
    </row>
    <row r="678" spans="1:8" x14ac:dyDescent="0.25">
      <c r="A678" s="2">
        <v>45875</v>
      </c>
      <c r="B678" s="1" t="s">
        <v>5</v>
      </c>
      <c r="C678">
        <v>6020</v>
      </c>
      <c r="D678" s="1" t="s">
        <v>34</v>
      </c>
      <c r="E678" s="1" t="s">
        <v>33</v>
      </c>
      <c r="F678">
        <v>9400</v>
      </c>
      <c r="G678" s="1" t="str">
        <f>_xlfn.XLOOKUP(tblActuals[[#This Row],[GL Account]],tblGLMap[GL Account],tblGLMap[Cost Category])</f>
        <v>Labor</v>
      </c>
      <c r="H678" s="1" t="str">
        <f>TEXT(tblActuals[[#This Row],[Date]],"mmm")</f>
        <v>Aug</v>
      </c>
    </row>
    <row r="679" spans="1:8" x14ac:dyDescent="0.25">
      <c r="A679" s="2">
        <v>45876</v>
      </c>
      <c r="B679" s="1" t="s">
        <v>5</v>
      </c>
      <c r="C679">
        <v>6020</v>
      </c>
      <c r="D679" s="1" t="s">
        <v>29</v>
      </c>
      <c r="E679" s="1" t="s">
        <v>33</v>
      </c>
      <c r="F679">
        <v>3273</v>
      </c>
      <c r="G679" s="1" t="str">
        <f>_xlfn.XLOOKUP(tblActuals[[#This Row],[GL Account]],tblGLMap[GL Account],tblGLMap[Cost Category])</f>
        <v>Labor</v>
      </c>
      <c r="H679" s="1" t="str">
        <f>TEXT(tblActuals[[#This Row],[Date]],"mmm")</f>
        <v>Aug</v>
      </c>
    </row>
    <row r="680" spans="1:8" x14ac:dyDescent="0.25">
      <c r="A680" s="2">
        <v>45874</v>
      </c>
      <c r="B680" s="1" t="s">
        <v>5</v>
      </c>
      <c r="C680">
        <v>6110</v>
      </c>
      <c r="D680" s="1" t="s">
        <v>29</v>
      </c>
      <c r="E680" s="1" t="s">
        <v>36</v>
      </c>
      <c r="F680">
        <v>10613</v>
      </c>
      <c r="G680" s="1" t="str">
        <f>_xlfn.XLOOKUP(tblActuals[[#This Row],[GL Account]],tblGLMap[GL Account],tblGLMap[Cost Category])</f>
        <v>Supplies &amp; Inventory</v>
      </c>
      <c r="H680" s="1" t="str">
        <f>TEXT(tblActuals[[#This Row],[Date]],"mmm")</f>
        <v>Aug</v>
      </c>
    </row>
    <row r="681" spans="1:8" x14ac:dyDescent="0.25">
      <c r="A681" s="2">
        <v>45875</v>
      </c>
      <c r="B681" s="1" t="s">
        <v>5</v>
      </c>
      <c r="C681">
        <v>6110</v>
      </c>
      <c r="D681" s="1" t="s">
        <v>29</v>
      </c>
      <c r="E681" s="1" t="s">
        <v>36</v>
      </c>
      <c r="F681">
        <v>3382</v>
      </c>
      <c r="G681" s="1" t="str">
        <f>_xlfn.XLOOKUP(tblActuals[[#This Row],[GL Account]],tblGLMap[GL Account],tblGLMap[Cost Category])</f>
        <v>Supplies &amp; Inventory</v>
      </c>
      <c r="H681" s="1" t="str">
        <f>TEXT(tblActuals[[#This Row],[Date]],"mmm")</f>
        <v>Aug</v>
      </c>
    </row>
    <row r="682" spans="1:8" x14ac:dyDescent="0.25">
      <c r="A682" s="2">
        <v>45876</v>
      </c>
      <c r="B682" s="1" t="s">
        <v>5</v>
      </c>
      <c r="C682">
        <v>6110</v>
      </c>
      <c r="D682" s="1" t="s">
        <v>34</v>
      </c>
      <c r="E682" s="1" t="s">
        <v>36</v>
      </c>
      <c r="F682">
        <v>10906</v>
      </c>
      <c r="G682" s="1" t="str">
        <f>_xlfn.XLOOKUP(tblActuals[[#This Row],[GL Account]],tblGLMap[GL Account],tblGLMap[Cost Category])</f>
        <v>Supplies &amp; Inventory</v>
      </c>
      <c r="H682" s="1" t="str">
        <f>TEXT(tblActuals[[#This Row],[Date]],"mmm")</f>
        <v>Aug</v>
      </c>
    </row>
    <row r="683" spans="1:8" x14ac:dyDescent="0.25">
      <c r="A683" s="2">
        <v>45874</v>
      </c>
      <c r="B683" s="1" t="s">
        <v>5</v>
      </c>
      <c r="C683">
        <v>6120</v>
      </c>
      <c r="D683" s="1" t="s">
        <v>32</v>
      </c>
      <c r="E683" s="1" t="s">
        <v>37</v>
      </c>
      <c r="F683">
        <v>8530</v>
      </c>
      <c r="G683" s="1" t="str">
        <f>_xlfn.XLOOKUP(tblActuals[[#This Row],[GL Account]],tblGLMap[GL Account],tblGLMap[Cost Category])</f>
        <v>Supplies &amp; Inventory</v>
      </c>
      <c r="H683" s="1" t="str">
        <f>TEXT(tblActuals[[#This Row],[Date]],"mmm")</f>
        <v>Aug</v>
      </c>
    </row>
    <row r="684" spans="1:8" x14ac:dyDescent="0.25">
      <c r="A684" s="2">
        <v>45875</v>
      </c>
      <c r="B684" s="1" t="s">
        <v>5</v>
      </c>
      <c r="C684">
        <v>6120</v>
      </c>
      <c r="D684" s="1" t="s">
        <v>32</v>
      </c>
      <c r="E684" s="1" t="s">
        <v>37</v>
      </c>
      <c r="F684">
        <v>11686</v>
      </c>
      <c r="G684" s="1" t="str">
        <f>_xlfn.XLOOKUP(tblActuals[[#This Row],[GL Account]],tblGLMap[GL Account],tblGLMap[Cost Category])</f>
        <v>Supplies &amp; Inventory</v>
      </c>
      <c r="H684" s="1" t="str">
        <f>TEXT(tblActuals[[#This Row],[Date]],"mmm")</f>
        <v>Aug</v>
      </c>
    </row>
    <row r="685" spans="1:8" x14ac:dyDescent="0.25">
      <c r="A685" s="2">
        <v>45876</v>
      </c>
      <c r="B685" s="1" t="s">
        <v>5</v>
      </c>
      <c r="C685">
        <v>6120</v>
      </c>
      <c r="D685" s="1" t="s">
        <v>31</v>
      </c>
      <c r="E685" s="1" t="s">
        <v>37</v>
      </c>
      <c r="F685">
        <v>10621</v>
      </c>
      <c r="G685" s="1" t="str">
        <f>_xlfn.XLOOKUP(tblActuals[[#This Row],[GL Account]],tblGLMap[GL Account],tblGLMap[Cost Category])</f>
        <v>Supplies &amp; Inventory</v>
      </c>
      <c r="H685" s="1" t="str">
        <f>TEXT(tblActuals[[#This Row],[Date]],"mmm")</f>
        <v>Aug</v>
      </c>
    </row>
    <row r="686" spans="1:8" x14ac:dyDescent="0.25">
      <c r="A686" s="2">
        <v>45874</v>
      </c>
      <c r="B686" s="1" t="s">
        <v>5</v>
      </c>
      <c r="C686">
        <v>6210</v>
      </c>
      <c r="D686" s="1" t="s">
        <v>35</v>
      </c>
      <c r="E686" s="1" t="s">
        <v>38</v>
      </c>
      <c r="F686">
        <v>11477</v>
      </c>
      <c r="G686" s="1" t="str">
        <f>_xlfn.XLOOKUP(tblActuals[[#This Row],[GL Account]],tblGLMap[GL Account],tblGLMap[Cost Category])</f>
        <v>Utilities</v>
      </c>
      <c r="H686" s="1" t="str">
        <f>TEXT(tblActuals[[#This Row],[Date]],"mmm")</f>
        <v>Aug</v>
      </c>
    </row>
    <row r="687" spans="1:8" x14ac:dyDescent="0.25">
      <c r="A687" s="2">
        <v>45875</v>
      </c>
      <c r="B687" s="1" t="s">
        <v>5</v>
      </c>
      <c r="C687">
        <v>6210</v>
      </c>
      <c r="D687" s="1" t="s">
        <v>31</v>
      </c>
      <c r="E687" s="1" t="s">
        <v>38</v>
      </c>
      <c r="F687">
        <v>5881</v>
      </c>
      <c r="G687" s="1" t="str">
        <f>_xlfn.XLOOKUP(tblActuals[[#This Row],[GL Account]],tblGLMap[GL Account],tblGLMap[Cost Category])</f>
        <v>Utilities</v>
      </c>
      <c r="H687" s="1" t="str">
        <f>TEXT(tblActuals[[#This Row],[Date]],"mmm")</f>
        <v>Aug</v>
      </c>
    </row>
    <row r="688" spans="1:8" x14ac:dyDescent="0.25">
      <c r="A688" s="2">
        <v>45876</v>
      </c>
      <c r="B688" s="1" t="s">
        <v>5</v>
      </c>
      <c r="C688">
        <v>6210</v>
      </c>
      <c r="D688" s="1" t="s">
        <v>29</v>
      </c>
      <c r="E688" s="1" t="s">
        <v>38</v>
      </c>
      <c r="F688">
        <v>4455</v>
      </c>
      <c r="G688" s="1" t="str">
        <f>_xlfn.XLOOKUP(tblActuals[[#This Row],[GL Account]],tblGLMap[GL Account],tblGLMap[Cost Category])</f>
        <v>Utilities</v>
      </c>
      <c r="H688" s="1" t="str">
        <f>TEXT(tblActuals[[#This Row],[Date]],"mmm")</f>
        <v>Aug</v>
      </c>
    </row>
    <row r="689" spans="1:8" x14ac:dyDescent="0.25">
      <c r="A689" s="2">
        <v>45874</v>
      </c>
      <c r="B689" s="1" t="s">
        <v>5</v>
      </c>
      <c r="C689">
        <v>6220</v>
      </c>
      <c r="D689" s="1" t="s">
        <v>29</v>
      </c>
      <c r="E689" s="1" t="s">
        <v>40</v>
      </c>
      <c r="F689">
        <v>6562</v>
      </c>
      <c r="G689" s="1" t="str">
        <f>_xlfn.XLOOKUP(tblActuals[[#This Row],[GL Account]],tblGLMap[GL Account],tblGLMap[Cost Category])</f>
        <v>Utilities</v>
      </c>
      <c r="H689" s="1" t="str">
        <f>TEXT(tblActuals[[#This Row],[Date]],"mmm")</f>
        <v>Aug</v>
      </c>
    </row>
    <row r="690" spans="1:8" x14ac:dyDescent="0.25">
      <c r="A690" s="2">
        <v>45875</v>
      </c>
      <c r="B690" s="1" t="s">
        <v>5</v>
      </c>
      <c r="C690">
        <v>6220</v>
      </c>
      <c r="D690" s="1" t="s">
        <v>31</v>
      </c>
      <c r="E690" s="1" t="s">
        <v>40</v>
      </c>
      <c r="F690">
        <v>7251</v>
      </c>
      <c r="G690" s="1" t="str">
        <f>_xlfn.XLOOKUP(tblActuals[[#This Row],[GL Account]],tblGLMap[GL Account],tblGLMap[Cost Category])</f>
        <v>Utilities</v>
      </c>
      <c r="H690" s="1" t="str">
        <f>TEXT(tblActuals[[#This Row],[Date]],"mmm")</f>
        <v>Aug</v>
      </c>
    </row>
    <row r="691" spans="1:8" x14ac:dyDescent="0.25">
      <c r="A691" s="2">
        <v>45876</v>
      </c>
      <c r="B691" s="1" t="s">
        <v>5</v>
      </c>
      <c r="C691">
        <v>6220</v>
      </c>
      <c r="D691" s="1" t="s">
        <v>34</v>
      </c>
      <c r="E691" s="1" t="s">
        <v>40</v>
      </c>
      <c r="F691">
        <v>4472</v>
      </c>
      <c r="G691" s="1" t="str">
        <f>_xlfn.XLOOKUP(tblActuals[[#This Row],[GL Account]],tblGLMap[GL Account],tblGLMap[Cost Category])</f>
        <v>Utilities</v>
      </c>
      <c r="H691" s="1" t="str">
        <f>TEXT(tblActuals[[#This Row],[Date]],"mmm")</f>
        <v>Aug</v>
      </c>
    </row>
    <row r="692" spans="1:8" x14ac:dyDescent="0.25">
      <c r="A692" s="2">
        <v>45874</v>
      </c>
      <c r="B692" s="1" t="s">
        <v>5</v>
      </c>
      <c r="C692">
        <v>6310</v>
      </c>
      <c r="D692" s="1" t="s">
        <v>35</v>
      </c>
      <c r="E692" s="1" t="s">
        <v>41</v>
      </c>
      <c r="F692">
        <v>10778</v>
      </c>
      <c r="G692" s="1" t="str">
        <f>_xlfn.XLOOKUP(tblActuals[[#This Row],[GL Account]],tblGLMap[GL Account],tblGLMap[Cost Category])</f>
        <v>Maintenance &amp; Repairs</v>
      </c>
      <c r="H692" s="1" t="str">
        <f>TEXT(tblActuals[[#This Row],[Date]],"mmm")</f>
        <v>Aug</v>
      </c>
    </row>
    <row r="693" spans="1:8" x14ac:dyDescent="0.25">
      <c r="A693" s="2">
        <v>45875</v>
      </c>
      <c r="B693" s="1" t="s">
        <v>5</v>
      </c>
      <c r="C693">
        <v>6310</v>
      </c>
      <c r="D693" s="1" t="s">
        <v>31</v>
      </c>
      <c r="E693" s="1" t="s">
        <v>41</v>
      </c>
      <c r="F693">
        <v>8066</v>
      </c>
      <c r="G693" s="1" t="str">
        <f>_xlfn.XLOOKUP(tblActuals[[#This Row],[GL Account]],tblGLMap[GL Account],tblGLMap[Cost Category])</f>
        <v>Maintenance &amp; Repairs</v>
      </c>
      <c r="H693" s="1" t="str">
        <f>TEXT(tblActuals[[#This Row],[Date]],"mmm")</f>
        <v>Aug</v>
      </c>
    </row>
    <row r="694" spans="1:8" x14ac:dyDescent="0.25">
      <c r="A694" s="2">
        <v>45876</v>
      </c>
      <c r="B694" s="1" t="s">
        <v>5</v>
      </c>
      <c r="C694">
        <v>6310</v>
      </c>
      <c r="D694" s="1" t="s">
        <v>35</v>
      </c>
      <c r="E694" s="1" t="s">
        <v>41</v>
      </c>
      <c r="F694">
        <v>3824</v>
      </c>
      <c r="G694" s="1" t="str">
        <f>_xlfn.XLOOKUP(tblActuals[[#This Row],[GL Account]],tblGLMap[GL Account],tblGLMap[Cost Category])</f>
        <v>Maintenance &amp; Repairs</v>
      </c>
      <c r="H694" s="1" t="str">
        <f>TEXT(tblActuals[[#This Row],[Date]],"mmm")</f>
        <v>Aug</v>
      </c>
    </row>
    <row r="695" spans="1:8" x14ac:dyDescent="0.25">
      <c r="A695" s="2">
        <v>45874</v>
      </c>
      <c r="B695" s="1" t="s">
        <v>5</v>
      </c>
      <c r="C695">
        <v>6320</v>
      </c>
      <c r="D695" s="1" t="s">
        <v>31</v>
      </c>
      <c r="E695" s="1" t="s">
        <v>42</v>
      </c>
      <c r="F695">
        <v>11873</v>
      </c>
      <c r="G695" s="1" t="str">
        <f>_xlfn.XLOOKUP(tblActuals[[#This Row],[GL Account]],tblGLMap[GL Account],tblGLMap[Cost Category])</f>
        <v>Maintenance &amp; Repairs</v>
      </c>
      <c r="H695" s="1" t="str">
        <f>TEXT(tblActuals[[#This Row],[Date]],"mmm")</f>
        <v>Aug</v>
      </c>
    </row>
    <row r="696" spans="1:8" x14ac:dyDescent="0.25">
      <c r="A696" s="2">
        <v>45875</v>
      </c>
      <c r="B696" s="1" t="s">
        <v>5</v>
      </c>
      <c r="C696">
        <v>6320</v>
      </c>
      <c r="D696" s="1" t="s">
        <v>35</v>
      </c>
      <c r="E696" s="1" t="s">
        <v>42</v>
      </c>
      <c r="F696">
        <v>3003</v>
      </c>
      <c r="G696" s="1" t="str">
        <f>_xlfn.XLOOKUP(tblActuals[[#This Row],[GL Account]],tblGLMap[GL Account],tblGLMap[Cost Category])</f>
        <v>Maintenance &amp; Repairs</v>
      </c>
      <c r="H696" s="1" t="str">
        <f>TEXT(tblActuals[[#This Row],[Date]],"mmm")</f>
        <v>Aug</v>
      </c>
    </row>
    <row r="697" spans="1:8" x14ac:dyDescent="0.25">
      <c r="A697" s="2">
        <v>45876</v>
      </c>
      <c r="B697" s="1" t="s">
        <v>5</v>
      </c>
      <c r="C697">
        <v>6320</v>
      </c>
      <c r="D697" s="1" t="s">
        <v>34</v>
      </c>
      <c r="E697" s="1" t="s">
        <v>42</v>
      </c>
      <c r="F697">
        <v>10191</v>
      </c>
      <c r="G697" s="1" t="str">
        <f>_xlfn.XLOOKUP(tblActuals[[#This Row],[GL Account]],tblGLMap[GL Account],tblGLMap[Cost Category])</f>
        <v>Maintenance &amp; Repairs</v>
      </c>
      <c r="H697" s="1" t="str">
        <f>TEXT(tblActuals[[#This Row],[Date]],"mmm")</f>
        <v>Aug</v>
      </c>
    </row>
    <row r="698" spans="1:8" x14ac:dyDescent="0.25">
      <c r="A698" s="2">
        <v>45874</v>
      </c>
      <c r="B698" s="1" t="s">
        <v>10</v>
      </c>
      <c r="C698">
        <v>6010</v>
      </c>
      <c r="D698" s="1" t="s">
        <v>39</v>
      </c>
      <c r="E698" s="1" t="s">
        <v>30</v>
      </c>
      <c r="F698">
        <v>7663</v>
      </c>
      <c r="G698" s="1" t="str">
        <f>_xlfn.XLOOKUP(tblActuals[[#This Row],[GL Account]],tblGLMap[GL Account],tblGLMap[Cost Category])</f>
        <v>Labor</v>
      </c>
      <c r="H698" s="1" t="str">
        <f>TEXT(tblActuals[[#This Row],[Date]],"mmm")</f>
        <v>Aug</v>
      </c>
    </row>
    <row r="699" spans="1:8" x14ac:dyDescent="0.25">
      <c r="A699" s="2">
        <v>45875</v>
      </c>
      <c r="B699" s="1" t="s">
        <v>10</v>
      </c>
      <c r="C699">
        <v>6010</v>
      </c>
      <c r="D699" s="1" t="s">
        <v>29</v>
      </c>
      <c r="E699" s="1" t="s">
        <v>30</v>
      </c>
      <c r="F699">
        <v>8932</v>
      </c>
      <c r="G699" s="1" t="str">
        <f>_xlfn.XLOOKUP(tblActuals[[#This Row],[GL Account]],tblGLMap[GL Account],tblGLMap[Cost Category])</f>
        <v>Labor</v>
      </c>
      <c r="H699" s="1" t="str">
        <f>TEXT(tblActuals[[#This Row],[Date]],"mmm")</f>
        <v>Aug</v>
      </c>
    </row>
    <row r="700" spans="1:8" x14ac:dyDescent="0.25">
      <c r="A700" s="2">
        <v>45876</v>
      </c>
      <c r="B700" s="1" t="s">
        <v>10</v>
      </c>
      <c r="C700">
        <v>6010</v>
      </c>
      <c r="D700" s="1" t="s">
        <v>29</v>
      </c>
      <c r="E700" s="1" t="s">
        <v>30</v>
      </c>
      <c r="F700">
        <v>4078</v>
      </c>
      <c r="G700" s="1" t="str">
        <f>_xlfn.XLOOKUP(tblActuals[[#This Row],[GL Account]],tblGLMap[GL Account],tblGLMap[Cost Category])</f>
        <v>Labor</v>
      </c>
      <c r="H700" s="1" t="str">
        <f>TEXT(tblActuals[[#This Row],[Date]],"mmm")</f>
        <v>Aug</v>
      </c>
    </row>
    <row r="701" spans="1:8" x14ac:dyDescent="0.25">
      <c r="A701" s="2">
        <v>45874</v>
      </c>
      <c r="B701" s="1" t="s">
        <v>10</v>
      </c>
      <c r="C701">
        <v>6020</v>
      </c>
      <c r="D701" s="1" t="s">
        <v>35</v>
      </c>
      <c r="E701" s="1" t="s">
        <v>33</v>
      </c>
      <c r="F701">
        <v>6605</v>
      </c>
      <c r="G701" s="1" t="str">
        <f>_xlfn.XLOOKUP(tblActuals[[#This Row],[GL Account]],tblGLMap[GL Account],tblGLMap[Cost Category])</f>
        <v>Labor</v>
      </c>
      <c r="H701" s="1" t="str">
        <f>TEXT(tblActuals[[#This Row],[Date]],"mmm")</f>
        <v>Aug</v>
      </c>
    </row>
    <row r="702" spans="1:8" x14ac:dyDescent="0.25">
      <c r="A702" s="2">
        <v>45875</v>
      </c>
      <c r="B702" s="1" t="s">
        <v>10</v>
      </c>
      <c r="C702">
        <v>6020</v>
      </c>
      <c r="D702" s="1" t="s">
        <v>32</v>
      </c>
      <c r="E702" s="1" t="s">
        <v>33</v>
      </c>
      <c r="F702">
        <v>6814</v>
      </c>
      <c r="G702" s="1" t="str">
        <f>_xlfn.XLOOKUP(tblActuals[[#This Row],[GL Account]],tblGLMap[GL Account],tblGLMap[Cost Category])</f>
        <v>Labor</v>
      </c>
      <c r="H702" s="1" t="str">
        <f>TEXT(tblActuals[[#This Row],[Date]],"mmm")</f>
        <v>Aug</v>
      </c>
    </row>
    <row r="703" spans="1:8" x14ac:dyDescent="0.25">
      <c r="A703" s="2">
        <v>45876</v>
      </c>
      <c r="B703" s="1" t="s">
        <v>10</v>
      </c>
      <c r="C703">
        <v>6020</v>
      </c>
      <c r="D703" s="1" t="s">
        <v>31</v>
      </c>
      <c r="E703" s="1" t="s">
        <v>33</v>
      </c>
      <c r="F703">
        <v>11268</v>
      </c>
      <c r="G703" s="1" t="str">
        <f>_xlfn.XLOOKUP(tblActuals[[#This Row],[GL Account]],tblGLMap[GL Account],tblGLMap[Cost Category])</f>
        <v>Labor</v>
      </c>
      <c r="H703" s="1" t="str">
        <f>TEXT(tblActuals[[#This Row],[Date]],"mmm")</f>
        <v>Aug</v>
      </c>
    </row>
    <row r="704" spans="1:8" x14ac:dyDescent="0.25">
      <c r="A704" s="2">
        <v>45874</v>
      </c>
      <c r="B704" s="1" t="s">
        <v>10</v>
      </c>
      <c r="C704">
        <v>6110</v>
      </c>
      <c r="D704" s="1" t="s">
        <v>34</v>
      </c>
      <c r="E704" s="1" t="s">
        <v>36</v>
      </c>
      <c r="F704">
        <v>2361</v>
      </c>
      <c r="G704" s="1" t="str">
        <f>_xlfn.XLOOKUP(tblActuals[[#This Row],[GL Account]],tblGLMap[GL Account],tblGLMap[Cost Category])</f>
        <v>Supplies &amp; Inventory</v>
      </c>
      <c r="H704" s="1" t="str">
        <f>TEXT(tblActuals[[#This Row],[Date]],"mmm")</f>
        <v>Aug</v>
      </c>
    </row>
    <row r="705" spans="1:8" x14ac:dyDescent="0.25">
      <c r="A705" s="2">
        <v>45875</v>
      </c>
      <c r="B705" s="1" t="s">
        <v>10</v>
      </c>
      <c r="C705">
        <v>6110</v>
      </c>
      <c r="D705" s="1" t="s">
        <v>32</v>
      </c>
      <c r="E705" s="1" t="s">
        <v>36</v>
      </c>
      <c r="F705">
        <v>4079</v>
      </c>
      <c r="G705" s="1" t="str">
        <f>_xlfn.XLOOKUP(tblActuals[[#This Row],[GL Account]],tblGLMap[GL Account],tblGLMap[Cost Category])</f>
        <v>Supplies &amp; Inventory</v>
      </c>
      <c r="H705" s="1" t="str">
        <f>TEXT(tblActuals[[#This Row],[Date]],"mmm")</f>
        <v>Aug</v>
      </c>
    </row>
    <row r="706" spans="1:8" x14ac:dyDescent="0.25">
      <c r="A706" s="2">
        <v>45876</v>
      </c>
      <c r="B706" s="1" t="s">
        <v>10</v>
      </c>
      <c r="C706">
        <v>6110</v>
      </c>
      <c r="D706" s="1" t="s">
        <v>35</v>
      </c>
      <c r="E706" s="1" t="s">
        <v>36</v>
      </c>
      <c r="F706">
        <v>2315</v>
      </c>
      <c r="G706" s="1" t="str">
        <f>_xlfn.XLOOKUP(tblActuals[[#This Row],[GL Account]],tblGLMap[GL Account],tblGLMap[Cost Category])</f>
        <v>Supplies &amp; Inventory</v>
      </c>
      <c r="H706" s="1" t="str">
        <f>TEXT(tblActuals[[#This Row],[Date]],"mmm")</f>
        <v>Aug</v>
      </c>
    </row>
    <row r="707" spans="1:8" x14ac:dyDescent="0.25">
      <c r="A707" s="2">
        <v>45874</v>
      </c>
      <c r="B707" s="1" t="s">
        <v>10</v>
      </c>
      <c r="C707">
        <v>6120</v>
      </c>
      <c r="D707" s="1" t="s">
        <v>29</v>
      </c>
      <c r="E707" s="1" t="s">
        <v>37</v>
      </c>
      <c r="F707">
        <v>2836</v>
      </c>
      <c r="G707" s="1" t="str">
        <f>_xlfn.XLOOKUP(tblActuals[[#This Row],[GL Account]],tblGLMap[GL Account],tblGLMap[Cost Category])</f>
        <v>Supplies &amp; Inventory</v>
      </c>
      <c r="H707" s="1" t="str">
        <f>TEXT(tblActuals[[#This Row],[Date]],"mmm")</f>
        <v>Aug</v>
      </c>
    </row>
    <row r="708" spans="1:8" x14ac:dyDescent="0.25">
      <c r="A708" s="2">
        <v>45875</v>
      </c>
      <c r="B708" s="1" t="s">
        <v>10</v>
      </c>
      <c r="C708">
        <v>6120</v>
      </c>
      <c r="D708" s="1" t="s">
        <v>35</v>
      </c>
      <c r="E708" s="1" t="s">
        <v>37</v>
      </c>
      <c r="F708">
        <v>8759</v>
      </c>
      <c r="G708" s="1" t="str">
        <f>_xlfn.XLOOKUP(tblActuals[[#This Row],[GL Account]],tblGLMap[GL Account],tblGLMap[Cost Category])</f>
        <v>Supplies &amp; Inventory</v>
      </c>
      <c r="H708" s="1" t="str">
        <f>TEXT(tblActuals[[#This Row],[Date]],"mmm")</f>
        <v>Aug</v>
      </c>
    </row>
    <row r="709" spans="1:8" x14ac:dyDescent="0.25">
      <c r="A709" s="2">
        <v>45876</v>
      </c>
      <c r="B709" s="1" t="s">
        <v>10</v>
      </c>
      <c r="C709">
        <v>6120</v>
      </c>
      <c r="D709" s="1" t="s">
        <v>39</v>
      </c>
      <c r="E709" s="1" t="s">
        <v>37</v>
      </c>
      <c r="F709">
        <v>8447</v>
      </c>
      <c r="G709" s="1" t="str">
        <f>_xlfn.XLOOKUP(tblActuals[[#This Row],[GL Account]],tblGLMap[GL Account],tblGLMap[Cost Category])</f>
        <v>Supplies &amp; Inventory</v>
      </c>
      <c r="H709" s="1" t="str">
        <f>TEXT(tblActuals[[#This Row],[Date]],"mmm")</f>
        <v>Aug</v>
      </c>
    </row>
    <row r="710" spans="1:8" x14ac:dyDescent="0.25">
      <c r="A710" s="2">
        <v>45874</v>
      </c>
      <c r="B710" s="1" t="s">
        <v>10</v>
      </c>
      <c r="C710">
        <v>6210</v>
      </c>
      <c r="D710" s="1" t="s">
        <v>39</v>
      </c>
      <c r="E710" s="1" t="s">
        <v>38</v>
      </c>
      <c r="F710">
        <v>11446</v>
      </c>
      <c r="G710" s="1" t="str">
        <f>_xlfn.XLOOKUP(tblActuals[[#This Row],[GL Account]],tblGLMap[GL Account],tblGLMap[Cost Category])</f>
        <v>Utilities</v>
      </c>
      <c r="H710" s="1" t="str">
        <f>TEXT(tblActuals[[#This Row],[Date]],"mmm")</f>
        <v>Aug</v>
      </c>
    </row>
    <row r="711" spans="1:8" x14ac:dyDescent="0.25">
      <c r="A711" s="2">
        <v>45875</v>
      </c>
      <c r="B711" s="1" t="s">
        <v>10</v>
      </c>
      <c r="C711">
        <v>6210</v>
      </c>
      <c r="D711" s="1" t="s">
        <v>29</v>
      </c>
      <c r="E711" s="1" t="s">
        <v>38</v>
      </c>
      <c r="F711">
        <v>8285</v>
      </c>
      <c r="G711" s="1" t="str">
        <f>_xlfn.XLOOKUP(tblActuals[[#This Row],[GL Account]],tblGLMap[GL Account],tblGLMap[Cost Category])</f>
        <v>Utilities</v>
      </c>
      <c r="H711" s="1" t="str">
        <f>TEXT(tblActuals[[#This Row],[Date]],"mmm")</f>
        <v>Aug</v>
      </c>
    </row>
    <row r="712" spans="1:8" x14ac:dyDescent="0.25">
      <c r="A712" s="2">
        <v>45876</v>
      </c>
      <c r="B712" s="1" t="s">
        <v>10</v>
      </c>
      <c r="C712">
        <v>6210</v>
      </c>
      <c r="D712" s="1" t="s">
        <v>32</v>
      </c>
      <c r="E712" s="1" t="s">
        <v>38</v>
      </c>
      <c r="F712">
        <v>5031</v>
      </c>
      <c r="G712" s="1" t="str">
        <f>_xlfn.XLOOKUP(tblActuals[[#This Row],[GL Account]],tblGLMap[GL Account],tblGLMap[Cost Category])</f>
        <v>Utilities</v>
      </c>
      <c r="H712" s="1" t="str">
        <f>TEXT(tblActuals[[#This Row],[Date]],"mmm")</f>
        <v>Aug</v>
      </c>
    </row>
    <row r="713" spans="1:8" x14ac:dyDescent="0.25">
      <c r="A713" s="2">
        <v>45874</v>
      </c>
      <c r="B713" s="1" t="s">
        <v>10</v>
      </c>
      <c r="C713">
        <v>6220</v>
      </c>
      <c r="D713" s="1" t="s">
        <v>29</v>
      </c>
      <c r="E713" s="1" t="s">
        <v>40</v>
      </c>
      <c r="F713">
        <v>3364</v>
      </c>
      <c r="G713" s="1" t="str">
        <f>_xlfn.XLOOKUP(tblActuals[[#This Row],[GL Account]],tblGLMap[GL Account],tblGLMap[Cost Category])</f>
        <v>Utilities</v>
      </c>
      <c r="H713" s="1" t="str">
        <f>TEXT(tblActuals[[#This Row],[Date]],"mmm")</f>
        <v>Aug</v>
      </c>
    </row>
    <row r="714" spans="1:8" x14ac:dyDescent="0.25">
      <c r="A714" s="2">
        <v>45875</v>
      </c>
      <c r="B714" s="1" t="s">
        <v>10</v>
      </c>
      <c r="C714">
        <v>6220</v>
      </c>
      <c r="D714" s="1" t="s">
        <v>31</v>
      </c>
      <c r="E714" s="1" t="s">
        <v>40</v>
      </c>
      <c r="F714">
        <v>8543</v>
      </c>
      <c r="G714" s="1" t="str">
        <f>_xlfn.XLOOKUP(tblActuals[[#This Row],[GL Account]],tblGLMap[GL Account],tblGLMap[Cost Category])</f>
        <v>Utilities</v>
      </c>
      <c r="H714" s="1" t="str">
        <f>TEXT(tblActuals[[#This Row],[Date]],"mmm")</f>
        <v>Aug</v>
      </c>
    </row>
    <row r="715" spans="1:8" x14ac:dyDescent="0.25">
      <c r="A715" s="2">
        <v>45876</v>
      </c>
      <c r="B715" s="1" t="s">
        <v>10</v>
      </c>
      <c r="C715">
        <v>6220</v>
      </c>
      <c r="D715" s="1" t="s">
        <v>35</v>
      </c>
      <c r="E715" s="1" t="s">
        <v>40</v>
      </c>
      <c r="F715">
        <v>6140</v>
      </c>
      <c r="G715" s="1" t="str">
        <f>_xlfn.XLOOKUP(tblActuals[[#This Row],[GL Account]],tblGLMap[GL Account],tblGLMap[Cost Category])</f>
        <v>Utilities</v>
      </c>
      <c r="H715" s="1" t="str">
        <f>TEXT(tblActuals[[#This Row],[Date]],"mmm")</f>
        <v>Aug</v>
      </c>
    </row>
    <row r="716" spans="1:8" x14ac:dyDescent="0.25">
      <c r="A716" s="2">
        <v>45874</v>
      </c>
      <c r="B716" s="1" t="s">
        <v>10</v>
      </c>
      <c r="C716">
        <v>6310</v>
      </c>
      <c r="D716" s="1" t="s">
        <v>39</v>
      </c>
      <c r="E716" s="1" t="s">
        <v>41</v>
      </c>
      <c r="F716">
        <v>11217</v>
      </c>
      <c r="G716" s="1" t="str">
        <f>_xlfn.XLOOKUP(tblActuals[[#This Row],[GL Account]],tblGLMap[GL Account],tblGLMap[Cost Category])</f>
        <v>Maintenance &amp; Repairs</v>
      </c>
      <c r="H716" s="1" t="str">
        <f>TEXT(tblActuals[[#This Row],[Date]],"mmm")</f>
        <v>Aug</v>
      </c>
    </row>
    <row r="717" spans="1:8" x14ac:dyDescent="0.25">
      <c r="A717" s="2">
        <v>45875</v>
      </c>
      <c r="B717" s="1" t="s">
        <v>10</v>
      </c>
      <c r="C717">
        <v>6310</v>
      </c>
      <c r="D717" s="1" t="s">
        <v>35</v>
      </c>
      <c r="E717" s="1" t="s">
        <v>41</v>
      </c>
      <c r="F717">
        <v>10133</v>
      </c>
      <c r="G717" s="1" t="str">
        <f>_xlfn.XLOOKUP(tblActuals[[#This Row],[GL Account]],tblGLMap[GL Account],tblGLMap[Cost Category])</f>
        <v>Maintenance &amp; Repairs</v>
      </c>
      <c r="H717" s="1" t="str">
        <f>TEXT(tblActuals[[#This Row],[Date]],"mmm")</f>
        <v>Aug</v>
      </c>
    </row>
    <row r="718" spans="1:8" x14ac:dyDescent="0.25">
      <c r="A718" s="2">
        <v>45876</v>
      </c>
      <c r="B718" s="1" t="s">
        <v>10</v>
      </c>
      <c r="C718">
        <v>6310</v>
      </c>
      <c r="D718" s="1" t="s">
        <v>31</v>
      </c>
      <c r="E718" s="1" t="s">
        <v>41</v>
      </c>
      <c r="F718">
        <v>6553</v>
      </c>
      <c r="G718" s="1" t="str">
        <f>_xlfn.XLOOKUP(tblActuals[[#This Row],[GL Account]],tblGLMap[GL Account],tblGLMap[Cost Category])</f>
        <v>Maintenance &amp; Repairs</v>
      </c>
      <c r="H718" s="1" t="str">
        <f>TEXT(tblActuals[[#This Row],[Date]],"mmm")</f>
        <v>Aug</v>
      </c>
    </row>
    <row r="719" spans="1:8" x14ac:dyDescent="0.25">
      <c r="A719" s="2">
        <v>45874</v>
      </c>
      <c r="B719" s="1" t="s">
        <v>10</v>
      </c>
      <c r="C719">
        <v>6320</v>
      </c>
      <c r="D719" s="1" t="s">
        <v>39</v>
      </c>
      <c r="E719" s="1" t="s">
        <v>42</v>
      </c>
      <c r="F719">
        <v>5112</v>
      </c>
      <c r="G719" s="1" t="str">
        <f>_xlfn.XLOOKUP(tblActuals[[#This Row],[GL Account]],tblGLMap[GL Account],tblGLMap[Cost Category])</f>
        <v>Maintenance &amp; Repairs</v>
      </c>
      <c r="H719" s="1" t="str">
        <f>TEXT(tblActuals[[#This Row],[Date]],"mmm")</f>
        <v>Aug</v>
      </c>
    </row>
    <row r="720" spans="1:8" x14ac:dyDescent="0.25">
      <c r="A720" s="2">
        <v>45875</v>
      </c>
      <c r="B720" s="1" t="s">
        <v>10</v>
      </c>
      <c r="C720">
        <v>6320</v>
      </c>
      <c r="D720" s="1" t="s">
        <v>31</v>
      </c>
      <c r="E720" s="1" t="s">
        <v>42</v>
      </c>
      <c r="F720">
        <v>11319</v>
      </c>
      <c r="G720" s="1" t="str">
        <f>_xlfn.XLOOKUP(tblActuals[[#This Row],[GL Account]],tblGLMap[GL Account],tblGLMap[Cost Category])</f>
        <v>Maintenance &amp; Repairs</v>
      </c>
      <c r="H720" s="1" t="str">
        <f>TEXT(tblActuals[[#This Row],[Date]],"mmm")</f>
        <v>Aug</v>
      </c>
    </row>
    <row r="721" spans="1:8" x14ac:dyDescent="0.25">
      <c r="A721" s="2">
        <v>45876</v>
      </c>
      <c r="B721" s="1" t="s">
        <v>10</v>
      </c>
      <c r="C721">
        <v>6320</v>
      </c>
      <c r="D721" s="1" t="s">
        <v>34</v>
      </c>
      <c r="E721" s="1" t="s">
        <v>42</v>
      </c>
      <c r="F721">
        <v>1625</v>
      </c>
      <c r="G721" s="1" t="str">
        <f>_xlfn.XLOOKUP(tblActuals[[#This Row],[GL Account]],tblGLMap[GL Account],tblGLMap[Cost Category])</f>
        <v>Maintenance &amp; Repairs</v>
      </c>
      <c r="H721" s="1" t="str">
        <f>TEXT(tblActuals[[#This Row],[Date]],"mmm")</f>
        <v>Aug</v>
      </c>
    </row>
    <row r="722" spans="1:8" x14ac:dyDescent="0.25">
      <c r="A722" s="2">
        <v>45874</v>
      </c>
      <c r="B722" s="1" t="s">
        <v>11</v>
      </c>
      <c r="C722">
        <v>6010</v>
      </c>
      <c r="D722" s="1" t="s">
        <v>34</v>
      </c>
      <c r="E722" s="1" t="s">
        <v>30</v>
      </c>
      <c r="F722">
        <v>6438</v>
      </c>
      <c r="G722" s="1" t="str">
        <f>_xlfn.XLOOKUP(tblActuals[[#This Row],[GL Account]],tblGLMap[GL Account],tblGLMap[Cost Category])</f>
        <v>Labor</v>
      </c>
      <c r="H722" s="1" t="str">
        <f>TEXT(tblActuals[[#This Row],[Date]],"mmm")</f>
        <v>Aug</v>
      </c>
    </row>
    <row r="723" spans="1:8" x14ac:dyDescent="0.25">
      <c r="A723" s="2">
        <v>45875</v>
      </c>
      <c r="B723" s="1" t="s">
        <v>11</v>
      </c>
      <c r="C723">
        <v>6010</v>
      </c>
      <c r="D723" s="1" t="s">
        <v>29</v>
      </c>
      <c r="E723" s="1" t="s">
        <v>30</v>
      </c>
      <c r="F723">
        <v>3748</v>
      </c>
      <c r="G723" s="1" t="str">
        <f>_xlfn.XLOOKUP(tblActuals[[#This Row],[GL Account]],tblGLMap[GL Account],tblGLMap[Cost Category])</f>
        <v>Labor</v>
      </c>
      <c r="H723" s="1" t="str">
        <f>TEXT(tblActuals[[#This Row],[Date]],"mmm")</f>
        <v>Aug</v>
      </c>
    </row>
    <row r="724" spans="1:8" x14ac:dyDescent="0.25">
      <c r="A724" s="2">
        <v>45876</v>
      </c>
      <c r="B724" s="1" t="s">
        <v>11</v>
      </c>
      <c r="C724">
        <v>6010</v>
      </c>
      <c r="D724" s="1" t="s">
        <v>29</v>
      </c>
      <c r="E724" s="1" t="s">
        <v>30</v>
      </c>
      <c r="F724">
        <v>6242</v>
      </c>
      <c r="G724" s="1" t="str">
        <f>_xlfn.XLOOKUP(tblActuals[[#This Row],[GL Account]],tblGLMap[GL Account],tblGLMap[Cost Category])</f>
        <v>Labor</v>
      </c>
      <c r="H724" s="1" t="str">
        <f>TEXT(tblActuals[[#This Row],[Date]],"mmm")</f>
        <v>Aug</v>
      </c>
    </row>
    <row r="725" spans="1:8" x14ac:dyDescent="0.25">
      <c r="A725" s="2">
        <v>45874</v>
      </c>
      <c r="B725" s="1" t="s">
        <v>11</v>
      </c>
      <c r="C725">
        <v>6020</v>
      </c>
      <c r="D725" s="1" t="s">
        <v>31</v>
      </c>
      <c r="E725" s="1" t="s">
        <v>33</v>
      </c>
      <c r="F725">
        <v>3465</v>
      </c>
      <c r="G725" s="1" t="str">
        <f>_xlfn.XLOOKUP(tblActuals[[#This Row],[GL Account]],tblGLMap[GL Account],tblGLMap[Cost Category])</f>
        <v>Labor</v>
      </c>
      <c r="H725" s="1" t="str">
        <f>TEXT(tblActuals[[#This Row],[Date]],"mmm")</f>
        <v>Aug</v>
      </c>
    </row>
    <row r="726" spans="1:8" x14ac:dyDescent="0.25">
      <c r="A726" s="2">
        <v>45875</v>
      </c>
      <c r="B726" s="1" t="s">
        <v>11</v>
      </c>
      <c r="C726">
        <v>6020</v>
      </c>
      <c r="D726" s="1" t="s">
        <v>35</v>
      </c>
      <c r="E726" s="1" t="s">
        <v>33</v>
      </c>
      <c r="F726">
        <v>9649</v>
      </c>
      <c r="G726" s="1" t="str">
        <f>_xlfn.XLOOKUP(tblActuals[[#This Row],[GL Account]],tblGLMap[GL Account],tblGLMap[Cost Category])</f>
        <v>Labor</v>
      </c>
      <c r="H726" s="1" t="str">
        <f>TEXT(tblActuals[[#This Row],[Date]],"mmm")</f>
        <v>Aug</v>
      </c>
    </row>
    <row r="727" spans="1:8" x14ac:dyDescent="0.25">
      <c r="A727" s="2">
        <v>45876</v>
      </c>
      <c r="B727" s="1" t="s">
        <v>11</v>
      </c>
      <c r="C727">
        <v>6020</v>
      </c>
      <c r="D727" s="1" t="s">
        <v>34</v>
      </c>
      <c r="E727" s="1" t="s">
        <v>33</v>
      </c>
      <c r="F727">
        <v>8555</v>
      </c>
      <c r="G727" s="1" t="str">
        <f>_xlfn.XLOOKUP(tblActuals[[#This Row],[GL Account]],tblGLMap[GL Account],tblGLMap[Cost Category])</f>
        <v>Labor</v>
      </c>
      <c r="H727" s="1" t="str">
        <f>TEXT(tblActuals[[#This Row],[Date]],"mmm")</f>
        <v>Aug</v>
      </c>
    </row>
    <row r="728" spans="1:8" x14ac:dyDescent="0.25">
      <c r="A728" s="2">
        <v>45874</v>
      </c>
      <c r="B728" s="1" t="s">
        <v>11</v>
      </c>
      <c r="C728">
        <v>6110</v>
      </c>
      <c r="D728" s="1" t="s">
        <v>39</v>
      </c>
      <c r="E728" s="1" t="s">
        <v>36</v>
      </c>
      <c r="F728">
        <v>3616</v>
      </c>
      <c r="G728" s="1" t="str">
        <f>_xlfn.XLOOKUP(tblActuals[[#This Row],[GL Account]],tblGLMap[GL Account],tblGLMap[Cost Category])</f>
        <v>Supplies &amp; Inventory</v>
      </c>
      <c r="H728" s="1" t="str">
        <f>TEXT(tblActuals[[#This Row],[Date]],"mmm")</f>
        <v>Aug</v>
      </c>
    </row>
    <row r="729" spans="1:8" x14ac:dyDescent="0.25">
      <c r="A729" s="2">
        <v>45875</v>
      </c>
      <c r="B729" s="1" t="s">
        <v>11</v>
      </c>
      <c r="C729">
        <v>6110</v>
      </c>
      <c r="D729" s="1" t="s">
        <v>35</v>
      </c>
      <c r="E729" s="1" t="s">
        <v>36</v>
      </c>
      <c r="F729">
        <v>10225</v>
      </c>
      <c r="G729" s="1" t="str">
        <f>_xlfn.XLOOKUP(tblActuals[[#This Row],[GL Account]],tblGLMap[GL Account],tblGLMap[Cost Category])</f>
        <v>Supplies &amp; Inventory</v>
      </c>
      <c r="H729" s="1" t="str">
        <f>TEXT(tblActuals[[#This Row],[Date]],"mmm")</f>
        <v>Aug</v>
      </c>
    </row>
    <row r="730" spans="1:8" x14ac:dyDescent="0.25">
      <c r="A730" s="2">
        <v>45876</v>
      </c>
      <c r="B730" s="1" t="s">
        <v>11</v>
      </c>
      <c r="C730">
        <v>6110</v>
      </c>
      <c r="D730" s="1" t="s">
        <v>32</v>
      </c>
      <c r="E730" s="1" t="s">
        <v>36</v>
      </c>
      <c r="F730">
        <v>5270</v>
      </c>
      <c r="G730" s="1" t="str">
        <f>_xlfn.XLOOKUP(tblActuals[[#This Row],[GL Account]],tblGLMap[GL Account],tblGLMap[Cost Category])</f>
        <v>Supplies &amp; Inventory</v>
      </c>
      <c r="H730" s="1" t="str">
        <f>TEXT(tblActuals[[#This Row],[Date]],"mmm")</f>
        <v>Aug</v>
      </c>
    </row>
    <row r="731" spans="1:8" x14ac:dyDescent="0.25">
      <c r="A731" s="2">
        <v>45874</v>
      </c>
      <c r="B731" s="1" t="s">
        <v>11</v>
      </c>
      <c r="C731">
        <v>6120</v>
      </c>
      <c r="D731" s="1" t="s">
        <v>35</v>
      </c>
      <c r="E731" s="1" t="s">
        <v>37</v>
      </c>
      <c r="F731">
        <v>10654</v>
      </c>
      <c r="G731" s="1" t="str">
        <f>_xlfn.XLOOKUP(tblActuals[[#This Row],[GL Account]],tblGLMap[GL Account],tblGLMap[Cost Category])</f>
        <v>Supplies &amp; Inventory</v>
      </c>
      <c r="H731" s="1" t="str">
        <f>TEXT(tblActuals[[#This Row],[Date]],"mmm")</f>
        <v>Aug</v>
      </c>
    </row>
    <row r="732" spans="1:8" x14ac:dyDescent="0.25">
      <c r="A732" s="2">
        <v>45875</v>
      </c>
      <c r="B732" s="1" t="s">
        <v>11</v>
      </c>
      <c r="C732">
        <v>6120</v>
      </c>
      <c r="D732" s="1" t="s">
        <v>31</v>
      </c>
      <c r="E732" s="1" t="s">
        <v>37</v>
      </c>
      <c r="F732">
        <v>7302</v>
      </c>
      <c r="G732" s="1" t="str">
        <f>_xlfn.XLOOKUP(tblActuals[[#This Row],[GL Account]],tblGLMap[GL Account],tblGLMap[Cost Category])</f>
        <v>Supplies &amp; Inventory</v>
      </c>
      <c r="H732" s="1" t="str">
        <f>TEXT(tblActuals[[#This Row],[Date]],"mmm")</f>
        <v>Aug</v>
      </c>
    </row>
    <row r="733" spans="1:8" x14ac:dyDescent="0.25">
      <c r="A733" s="2">
        <v>45876</v>
      </c>
      <c r="B733" s="1" t="s">
        <v>11</v>
      </c>
      <c r="C733">
        <v>6120</v>
      </c>
      <c r="D733" s="1" t="s">
        <v>35</v>
      </c>
      <c r="E733" s="1" t="s">
        <v>37</v>
      </c>
      <c r="F733">
        <v>8005</v>
      </c>
      <c r="G733" s="1" t="str">
        <f>_xlfn.XLOOKUP(tblActuals[[#This Row],[GL Account]],tblGLMap[GL Account],tblGLMap[Cost Category])</f>
        <v>Supplies &amp; Inventory</v>
      </c>
      <c r="H733" s="1" t="str">
        <f>TEXT(tblActuals[[#This Row],[Date]],"mmm")</f>
        <v>Aug</v>
      </c>
    </row>
    <row r="734" spans="1:8" x14ac:dyDescent="0.25">
      <c r="A734" s="2">
        <v>45874</v>
      </c>
      <c r="B734" s="1" t="s">
        <v>11</v>
      </c>
      <c r="C734">
        <v>6210</v>
      </c>
      <c r="D734" s="1" t="s">
        <v>39</v>
      </c>
      <c r="E734" s="1" t="s">
        <v>38</v>
      </c>
      <c r="F734">
        <v>2193</v>
      </c>
      <c r="G734" s="1" t="str">
        <f>_xlfn.XLOOKUP(tblActuals[[#This Row],[GL Account]],tblGLMap[GL Account],tblGLMap[Cost Category])</f>
        <v>Utilities</v>
      </c>
      <c r="H734" s="1" t="str">
        <f>TEXT(tblActuals[[#This Row],[Date]],"mmm")</f>
        <v>Aug</v>
      </c>
    </row>
    <row r="735" spans="1:8" x14ac:dyDescent="0.25">
      <c r="A735" s="2">
        <v>45875</v>
      </c>
      <c r="B735" s="1" t="s">
        <v>11</v>
      </c>
      <c r="C735">
        <v>6210</v>
      </c>
      <c r="D735" s="1" t="s">
        <v>39</v>
      </c>
      <c r="E735" s="1" t="s">
        <v>38</v>
      </c>
      <c r="F735">
        <v>1807</v>
      </c>
      <c r="G735" s="1" t="str">
        <f>_xlfn.XLOOKUP(tblActuals[[#This Row],[GL Account]],tblGLMap[GL Account],tblGLMap[Cost Category])</f>
        <v>Utilities</v>
      </c>
      <c r="H735" s="1" t="str">
        <f>TEXT(tblActuals[[#This Row],[Date]],"mmm")</f>
        <v>Aug</v>
      </c>
    </row>
    <row r="736" spans="1:8" x14ac:dyDescent="0.25">
      <c r="A736" s="2">
        <v>45876</v>
      </c>
      <c r="B736" s="1" t="s">
        <v>11</v>
      </c>
      <c r="C736">
        <v>6210</v>
      </c>
      <c r="D736" s="1" t="s">
        <v>29</v>
      </c>
      <c r="E736" s="1" t="s">
        <v>38</v>
      </c>
      <c r="F736">
        <v>2775</v>
      </c>
      <c r="G736" s="1" t="str">
        <f>_xlfn.XLOOKUP(tblActuals[[#This Row],[GL Account]],tblGLMap[GL Account],tblGLMap[Cost Category])</f>
        <v>Utilities</v>
      </c>
      <c r="H736" s="1" t="str">
        <f>TEXT(tblActuals[[#This Row],[Date]],"mmm")</f>
        <v>Aug</v>
      </c>
    </row>
    <row r="737" spans="1:8" x14ac:dyDescent="0.25">
      <c r="A737" s="2">
        <v>45874</v>
      </c>
      <c r="B737" s="1" t="s">
        <v>11</v>
      </c>
      <c r="C737">
        <v>6220</v>
      </c>
      <c r="D737" s="1" t="s">
        <v>39</v>
      </c>
      <c r="E737" s="1" t="s">
        <v>40</v>
      </c>
      <c r="F737">
        <v>10933</v>
      </c>
      <c r="G737" s="1" t="str">
        <f>_xlfn.XLOOKUP(tblActuals[[#This Row],[GL Account]],tblGLMap[GL Account],tblGLMap[Cost Category])</f>
        <v>Utilities</v>
      </c>
      <c r="H737" s="1" t="str">
        <f>TEXT(tblActuals[[#This Row],[Date]],"mmm")</f>
        <v>Aug</v>
      </c>
    </row>
    <row r="738" spans="1:8" x14ac:dyDescent="0.25">
      <c r="A738" s="2">
        <v>45875</v>
      </c>
      <c r="B738" s="1" t="s">
        <v>11</v>
      </c>
      <c r="C738">
        <v>6220</v>
      </c>
      <c r="D738" s="1" t="s">
        <v>39</v>
      </c>
      <c r="E738" s="1" t="s">
        <v>40</v>
      </c>
      <c r="F738">
        <v>10894</v>
      </c>
      <c r="G738" s="1" t="str">
        <f>_xlfn.XLOOKUP(tblActuals[[#This Row],[GL Account]],tblGLMap[GL Account],tblGLMap[Cost Category])</f>
        <v>Utilities</v>
      </c>
      <c r="H738" s="1" t="str">
        <f>TEXT(tblActuals[[#This Row],[Date]],"mmm")</f>
        <v>Aug</v>
      </c>
    </row>
    <row r="739" spans="1:8" x14ac:dyDescent="0.25">
      <c r="A739" s="2">
        <v>45876</v>
      </c>
      <c r="B739" s="1" t="s">
        <v>11</v>
      </c>
      <c r="C739">
        <v>6220</v>
      </c>
      <c r="D739" s="1" t="s">
        <v>39</v>
      </c>
      <c r="E739" s="1" t="s">
        <v>40</v>
      </c>
      <c r="F739">
        <v>11988</v>
      </c>
      <c r="G739" s="1" t="str">
        <f>_xlfn.XLOOKUP(tblActuals[[#This Row],[GL Account]],tblGLMap[GL Account],tblGLMap[Cost Category])</f>
        <v>Utilities</v>
      </c>
      <c r="H739" s="1" t="str">
        <f>TEXT(tblActuals[[#This Row],[Date]],"mmm")</f>
        <v>Aug</v>
      </c>
    </row>
    <row r="740" spans="1:8" x14ac:dyDescent="0.25">
      <c r="A740" s="2">
        <v>45874</v>
      </c>
      <c r="B740" s="1" t="s">
        <v>11</v>
      </c>
      <c r="C740">
        <v>6310</v>
      </c>
      <c r="D740" s="1" t="s">
        <v>31</v>
      </c>
      <c r="E740" s="1" t="s">
        <v>41</v>
      </c>
      <c r="F740">
        <v>6243</v>
      </c>
      <c r="G740" s="1" t="str">
        <f>_xlfn.XLOOKUP(tblActuals[[#This Row],[GL Account]],tblGLMap[GL Account],tblGLMap[Cost Category])</f>
        <v>Maintenance &amp; Repairs</v>
      </c>
      <c r="H740" s="1" t="str">
        <f>TEXT(tblActuals[[#This Row],[Date]],"mmm")</f>
        <v>Aug</v>
      </c>
    </row>
    <row r="741" spans="1:8" x14ac:dyDescent="0.25">
      <c r="A741" s="2">
        <v>45875</v>
      </c>
      <c r="B741" s="1" t="s">
        <v>11</v>
      </c>
      <c r="C741">
        <v>6310</v>
      </c>
      <c r="D741" s="1" t="s">
        <v>31</v>
      </c>
      <c r="E741" s="1" t="s">
        <v>41</v>
      </c>
      <c r="F741">
        <v>8136</v>
      </c>
      <c r="G741" s="1" t="str">
        <f>_xlfn.XLOOKUP(tblActuals[[#This Row],[GL Account]],tblGLMap[GL Account],tblGLMap[Cost Category])</f>
        <v>Maintenance &amp; Repairs</v>
      </c>
      <c r="H741" s="1" t="str">
        <f>TEXT(tblActuals[[#This Row],[Date]],"mmm")</f>
        <v>Aug</v>
      </c>
    </row>
    <row r="742" spans="1:8" x14ac:dyDescent="0.25">
      <c r="A742" s="2">
        <v>45876</v>
      </c>
      <c r="B742" s="1" t="s">
        <v>11</v>
      </c>
      <c r="C742">
        <v>6310</v>
      </c>
      <c r="D742" s="1" t="s">
        <v>34</v>
      </c>
      <c r="E742" s="1" t="s">
        <v>41</v>
      </c>
      <c r="F742">
        <v>6821</v>
      </c>
      <c r="G742" s="1" t="str">
        <f>_xlfn.XLOOKUP(tblActuals[[#This Row],[GL Account]],tblGLMap[GL Account],tblGLMap[Cost Category])</f>
        <v>Maintenance &amp; Repairs</v>
      </c>
      <c r="H742" s="1" t="str">
        <f>TEXT(tblActuals[[#This Row],[Date]],"mmm")</f>
        <v>Aug</v>
      </c>
    </row>
    <row r="743" spans="1:8" x14ac:dyDescent="0.25">
      <c r="A743" s="2">
        <v>45874</v>
      </c>
      <c r="B743" s="1" t="s">
        <v>11</v>
      </c>
      <c r="C743">
        <v>6320</v>
      </c>
      <c r="D743" s="1" t="s">
        <v>39</v>
      </c>
      <c r="E743" s="1" t="s">
        <v>42</v>
      </c>
      <c r="F743">
        <v>11627</v>
      </c>
      <c r="G743" s="1" t="str">
        <f>_xlfn.XLOOKUP(tblActuals[[#This Row],[GL Account]],tblGLMap[GL Account],tblGLMap[Cost Category])</f>
        <v>Maintenance &amp; Repairs</v>
      </c>
      <c r="H743" s="1" t="str">
        <f>TEXT(tblActuals[[#This Row],[Date]],"mmm")</f>
        <v>Aug</v>
      </c>
    </row>
    <row r="744" spans="1:8" x14ac:dyDescent="0.25">
      <c r="A744" s="2">
        <v>45875</v>
      </c>
      <c r="B744" s="1" t="s">
        <v>11</v>
      </c>
      <c r="C744">
        <v>6320</v>
      </c>
      <c r="D744" s="1" t="s">
        <v>31</v>
      </c>
      <c r="E744" s="1" t="s">
        <v>42</v>
      </c>
      <c r="F744">
        <v>7428</v>
      </c>
      <c r="G744" s="1" t="str">
        <f>_xlfn.XLOOKUP(tblActuals[[#This Row],[GL Account]],tblGLMap[GL Account],tblGLMap[Cost Category])</f>
        <v>Maintenance &amp; Repairs</v>
      </c>
      <c r="H744" s="1" t="str">
        <f>TEXT(tblActuals[[#This Row],[Date]],"mmm")</f>
        <v>Aug</v>
      </c>
    </row>
    <row r="745" spans="1:8" x14ac:dyDescent="0.25">
      <c r="A745" s="2">
        <v>45876</v>
      </c>
      <c r="B745" s="1" t="s">
        <v>11</v>
      </c>
      <c r="C745">
        <v>6320</v>
      </c>
      <c r="D745" s="1" t="s">
        <v>31</v>
      </c>
      <c r="E745" s="1" t="s">
        <v>42</v>
      </c>
      <c r="F745">
        <v>8655</v>
      </c>
      <c r="G745" s="1" t="str">
        <f>_xlfn.XLOOKUP(tblActuals[[#This Row],[GL Account]],tblGLMap[GL Account],tblGLMap[Cost Category])</f>
        <v>Maintenance &amp; Repairs</v>
      </c>
      <c r="H745" s="1" t="str">
        <f>TEXT(tblActuals[[#This Row],[Date]],"mmm")</f>
        <v>Aug</v>
      </c>
    </row>
    <row r="746" spans="1:8" x14ac:dyDescent="0.25">
      <c r="A746" s="2">
        <v>45874</v>
      </c>
      <c r="B746" s="1" t="s">
        <v>12</v>
      </c>
      <c r="C746">
        <v>6010</v>
      </c>
      <c r="D746" s="1" t="s">
        <v>39</v>
      </c>
      <c r="E746" s="1" t="s">
        <v>30</v>
      </c>
      <c r="F746">
        <v>5486</v>
      </c>
      <c r="G746" s="1" t="str">
        <f>_xlfn.XLOOKUP(tblActuals[[#This Row],[GL Account]],tblGLMap[GL Account],tblGLMap[Cost Category])</f>
        <v>Labor</v>
      </c>
      <c r="H746" s="1" t="str">
        <f>TEXT(tblActuals[[#This Row],[Date]],"mmm")</f>
        <v>Aug</v>
      </c>
    </row>
    <row r="747" spans="1:8" x14ac:dyDescent="0.25">
      <c r="A747" s="2">
        <v>45875</v>
      </c>
      <c r="B747" s="1" t="s">
        <v>12</v>
      </c>
      <c r="C747">
        <v>6010</v>
      </c>
      <c r="D747" s="1" t="s">
        <v>39</v>
      </c>
      <c r="E747" s="1" t="s">
        <v>30</v>
      </c>
      <c r="F747">
        <v>11148</v>
      </c>
      <c r="G747" s="1" t="str">
        <f>_xlfn.XLOOKUP(tblActuals[[#This Row],[GL Account]],tblGLMap[GL Account],tblGLMap[Cost Category])</f>
        <v>Labor</v>
      </c>
      <c r="H747" s="1" t="str">
        <f>TEXT(tblActuals[[#This Row],[Date]],"mmm")</f>
        <v>Aug</v>
      </c>
    </row>
    <row r="748" spans="1:8" x14ac:dyDescent="0.25">
      <c r="A748" s="2">
        <v>45876</v>
      </c>
      <c r="B748" s="1" t="s">
        <v>12</v>
      </c>
      <c r="C748">
        <v>6010</v>
      </c>
      <c r="D748" s="1" t="s">
        <v>31</v>
      </c>
      <c r="E748" s="1" t="s">
        <v>30</v>
      </c>
      <c r="F748">
        <v>10084</v>
      </c>
      <c r="G748" s="1" t="str">
        <f>_xlfn.XLOOKUP(tblActuals[[#This Row],[GL Account]],tblGLMap[GL Account],tblGLMap[Cost Category])</f>
        <v>Labor</v>
      </c>
      <c r="H748" s="1" t="str">
        <f>TEXT(tblActuals[[#This Row],[Date]],"mmm")</f>
        <v>Aug</v>
      </c>
    </row>
    <row r="749" spans="1:8" x14ac:dyDescent="0.25">
      <c r="A749" s="2">
        <v>45874</v>
      </c>
      <c r="B749" s="1" t="s">
        <v>12</v>
      </c>
      <c r="C749">
        <v>6020</v>
      </c>
      <c r="D749" s="1" t="s">
        <v>29</v>
      </c>
      <c r="E749" s="1" t="s">
        <v>33</v>
      </c>
      <c r="F749">
        <v>7984</v>
      </c>
      <c r="G749" s="1" t="str">
        <f>_xlfn.XLOOKUP(tblActuals[[#This Row],[GL Account]],tblGLMap[GL Account],tblGLMap[Cost Category])</f>
        <v>Labor</v>
      </c>
      <c r="H749" s="1" t="str">
        <f>TEXT(tblActuals[[#This Row],[Date]],"mmm")</f>
        <v>Aug</v>
      </c>
    </row>
    <row r="750" spans="1:8" x14ac:dyDescent="0.25">
      <c r="A750" s="2">
        <v>45875</v>
      </c>
      <c r="B750" s="1" t="s">
        <v>12</v>
      </c>
      <c r="C750">
        <v>6020</v>
      </c>
      <c r="D750" s="1" t="s">
        <v>34</v>
      </c>
      <c r="E750" s="1" t="s">
        <v>33</v>
      </c>
      <c r="F750">
        <v>7062</v>
      </c>
      <c r="G750" s="1" t="str">
        <f>_xlfn.XLOOKUP(tblActuals[[#This Row],[GL Account]],tblGLMap[GL Account],tblGLMap[Cost Category])</f>
        <v>Labor</v>
      </c>
      <c r="H750" s="1" t="str">
        <f>TEXT(tblActuals[[#This Row],[Date]],"mmm")</f>
        <v>Aug</v>
      </c>
    </row>
    <row r="751" spans="1:8" x14ac:dyDescent="0.25">
      <c r="A751" s="2">
        <v>45876</v>
      </c>
      <c r="B751" s="1" t="s">
        <v>12</v>
      </c>
      <c r="C751">
        <v>6020</v>
      </c>
      <c r="D751" s="1" t="s">
        <v>34</v>
      </c>
      <c r="E751" s="1" t="s">
        <v>33</v>
      </c>
      <c r="F751">
        <v>6956</v>
      </c>
      <c r="G751" s="1" t="str">
        <f>_xlfn.XLOOKUP(tblActuals[[#This Row],[GL Account]],tblGLMap[GL Account],tblGLMap[Cost Category])</f>
        <v>Labor</v>
      </c>
      <c r="H751" s="1" t="str">
        <f>TEXT(tblActuals[[#This Row],[Date]],"mmm")</f>
        <v>Aug</v>
      </c>
    </row>
    <row r="752" spans="1:8" x14ac:dyDescent="0.25">
      <c r="A752" s="2">
        <v>45874</v>
      </c>
      <c r="B752" s="1" t="s">
        <v>12</v>
      </c>
      <c r="C752">
        <v>6110</v>
      </c>
      <c r="D752" s="1" t="s">
        <v>32</v>
      </c>
      <c r="E752" s="1" t="s">
        <v>36</v>
      </c>
      <c r="F752">
        <v>2751</v>
      </c>
      <c r="G752" s="1" t="str">
        <f>_xlfn.XLOOKUP(tblActuals[[#This Row],[GL Account]],tblGLMap[GL Account],tblGLMap[Cost Category])</f>
        <v>Supplies &amp; Inventory</v>
      </c>
      <c r="H752" s="1" t="str">
        <f>TEXT(tblActuals[[#This Row],[Date]],"mmm")</f>
        <v>Aug</v>
      </c>
    </row>
    <row r="753" spans="1:8" x14ac:dyDescent="0.25">
      <c r="A753" s="2">
        <v>45875</v>
      </c>
      <c r="B753" s="1" t="s">
        <v>12</v>
      </c>
      <c r="C753">
        <v>6110</v>
      </c>
      <c r="D753" s="1" t="s">
        <v>31</v>
      </c>
      <c r="E753" s="1" t="s">
        <v>36</v>
      </c>
      <c r="F753">
        <v>11874</v>
      </c>
      <c r="G753" s="1" t="str">
        <f>_xlfn.XLOOKUP(tblActuals[[#This Row],[GL Account]],tblGLMap[GL Account],tblGLMap[Cost Category])</f>
        <v>Supplies &amp; Inventory</v>
      </c>
      <c r="H753" s="1" t="str">
        <f>TEXT(tblActuals[[#This Row],[Date]],"mmm")</f>
        <v>Aug</v>
      </c>
    </row>
    <row r="754" spans="1:8" x14ac:dyDescent="0.25">
      <c r="A754" s="2">
        <v>45876</v>
      </c>
      <c r="B754" s="1" t="s">
        <v>12</v>
      </c>
      <c r="C754">
        <v>6110</v>
      </c>
      <c r="D754" s="1" t="s">
        <v>32</v>
      </c>
      <c r="E754" s="1" t="s">
        <v>36</v>
      </c>
      <c r="F754">
        <v>10193</v>
      </c>
      <c r="G754" s="1" t="str">
        <f>_xlfn.XLOOKUP(tblActuals[[#This Row],[GL Account]],tblGLMap[GL Account],tblGLMap[Cost Category])</f>
        <v>Supplies &amp; Inventory</v>
      </c>
      <c r="H754" s="1" t="str">
        <f>TEXT(tblActuals[[#This Row],[Date]],"mmm")</f>
        <v>Aug</v>
      </c>
    </row>
    <row r="755" spans="1:8" x14ac:dyDescent="0.25">
      <c r="A755" s="2">
        <v>45874</v>
      </c>
      <c r="B755" s="1" t="s">
        <v>12</v>
      </c>
      <c r="C755">
        <v>6120</v>
      </c>
      <c r="D755" s="1" t="s">
        <v>29</v>
      </c>
      <c r="E755" s="1" t="s">
        <v>37</v>
      </c>
      <c r="F755">
        <v>4676</v>
      </c>
      <c r="G755" s="1" t="str">
        <f>_xlfn.XLOOKUP(tblActuals[[#This Row],[GL Account]],tblGLMap[GL Account],tblGLMap[Cost Category])</f>
        <v>Supplies &amp; Inventory</v>
      </c>
      <c r="H755" s="1" t="str">
        <f>TEXT(tblActuals[[#This Row],[Date]],"mmm")</f>
        <v>Aug</v>
      </c>
    </row>
    <row r="756" spans="1:8" x14ac:dyDescent="0.25">
      <c r="A756" s="2">
        <v>45875</v>
      </c>
      <c r="B756" s="1" t="s">
        <v>12</v>
      </c>
      <c r="C756">
        <v>6120</v>
      </c>
      <c r="D756" s="1" t="s">
        <v>35</v>
      </c>
      <c r="E756" s="1" t="s">
        <v>37</v>
      </c>
      <c r="F756">
        <v>7252</v>
      </c>
      <c r="G756" s="1" t="str">
        <f>_xlfn.XLOOKUP(tblActuals[[#This Row],[GL Account]],tblGLMap[GL Account],tblGLMap[Cost Category])</f>
        <v>Supplies &amp; Inventory</v>
      </c>
      <c r="H756" s="1" t="str">
        <f>TEXT(tblActuals[[#This Row],[Date]],"mmm")</f>
        <v>Aug</v>
      </c>
    </row>
    <row r="757" spans="1:8" x14ac:dyDescent="0.25">
      <c r="A757" s="2">
        <v>45876</v>
      </c>
      <c r="B757" s="1" t="s">
        <v>12</v>
      </c>
      <c r="C757">
        <v>6120</v>
      </c>
      <c r="D757" s="1" t="s">
        <v>34</v>
      </c>
      <c r="E757" s="1" t="s">
        <v>37</v>
      </c>
      <c r="F757">
        <v>3919</v>
      </c>
      <c r="G757" s="1" t="str">
        <f>_xlfn.XLOOKUP(tblActuals[[#This Row],[GL Account]],tblGLMap[GL Account],tblGLMap[Cost Category])</f>
        <v>Supplies &amp; Inventory</v>
      </c>
      <c r="H757" s="1" t="str">
        <f>TEXT(tblActuals[[#This Row],[Date]],"mmm")</f>
        <v>Aug</v>
      </c>
    </row>
    <row r="758" spans="1:8" x14ac:dyDescent="0.25">
      <c r="A758" s="2">
        <v>45874</v>
      </c>
      <c r="B758" s="1" t="s">
        <v>12</v>
      </c>
      <c r="C758">
        <v>6210</v>
      </c>
      <c r="D758" s="1" t="s">
        <v>34</v>
      </c>
      <c r="E758" s="1" t="s">
        <v>38</v>
      </c>
      <c r="F758">
        <v>3184</v>
      </c>
      <c r="G758" s="1" t="str">
        <f>_xlfn.XLOOKUP(tblActuals[[#This Row],[GL Account]],tblGLMap[GL Account],tblGLMap[Cost Category])</f>
        <v>Utilities</v>
      </c>
      <c r="H758" s="1" t="str">
        <f>TEXT(tblActuals[[#This Row],[Date]],"mmm")</f>
        <v>Aug</v>
      </c>
    </row>
    <row r="759" spans="1:8" x14ac:dyDescent="0.25">
      <c r="A759" s="2">
        <v>45875</v>
      </c>
      <c r="B759" s="1" t="s">
        <v>12</v>
      </c>
      <c r="C759">
        <v>6210</v>
      </c>
      <c r="D759" s="1" t="s">
        <v>34</v>
      </c>
      <c r="E759" s="1" t="s">
        <v>38</v>
      </c>
      <c r="F759">
        <v>5693</v>
      </c>
      <c r="G759" s="1" t="str">
        <f>_xlfn.XLOOKUP(tblActuals[[#This Row],[GL Account]],tblGLMap[GL Account],tblGLMap[Cost Category])</f>
        <v>Utilities</v>
      </c>
      <c r="H759" s="1" t="str">
        <f>TEXT(tblActuals[[#This Row],[Date]],"mmm")</f>
        <v>Aug</v>
      </c>
    </row>
    <row r="760" spans="1:8" x14ac:dyDescent="0.25">
      <c r="A760" s="2">
        <v>45876</v>
      </c>
      <c r="B760" s="1" t="s">
        <v>12</v>
      </c>
      <c r="C760">
        <v>6210</v>
      </c>
      <c r="D760" s="1" t="s">
        <v>32</v>
      </c>
      <c r="E760" s="1" t="s">
        <v>38</v>
      </c>
      <c r="F760">
        <v>4342</v>
      </c>
      <c r="G760" s="1" t="str">
        <f>_xlfn.XLOOKUP(tblActuals[[#This Row],[GL Account]],tblGLMap[GL Account],tblGLMap[Cost Category])</f>
        <v>Utilities</v>
      </c>
      <c r="H760" s="1" t="str">
        <f>TEXT(tblActuals[[#This Row],[Date]],"mmm")</f>
        <v>Aug</v>
      </c>
    </row>
    <row r="761" spans="1:8" x14ac:dyDescent="0.25">
      <c r="A761" s="2">
        <v>45874</v>
      </c>
      <c r="B761" s="1" t="s">
        <v>12</v>
      </c>
      <c r="C761">
        <v>6220</v>
      </c>
      <c r="D761" s="1" t="s">
        <v>35</v>
      </c>
      <c r="E761" s="1" t="s">
        <v>40</v>
      </c>
      <c r="F761">
        <v>4004</v>
      </c>
      <c r="G761" s="1" t="str">
        <f>_xlfn.XLOOKUP(tblActuals[[#This Row],[GL Account]],tblGLMap[GL Account],tblGLMap[Cost Category])</f>
        <v>Utilities</v>
      </c>
      <c r="H761" s="1" t="str">
        <f>TEXT(tblActuals[[#This Row],[Date]],"mmm")</f>
        <v>Aug</v>
      </c>
    </row>
    <row r="762" spans="1:8" x14ac:dyDescent="0.25">
      <c r="A762" s="2">
        <v>45875</v>
      </c>
      <c r="B762" s="1" t="s">
        <v>12</v>
      </c>
      <c r="C762">
        <v>6220</v>
      </c>
      <c r="D762" s="1" t="s">
        <v>34</v>
      </c>
      <c r="E762" s="1" t="s">
        <v>40</v>
      </c>
      <c r="F762">
        <v>2734</v>
      </c>
      <c r="G762" s="1" t="str">
        <f>_xlfn.XLOOKUP(tblActuals[[#This Row],[GL Account]],tblGLMap[GL Account],tblGLMap[Cost Category])</f>
        <v>Utilities</v>
      </c>
      <c r="H762" s="1" t="str">
        <f>TEXT(tblActuals[[#This Row],[Date]],"mmm")</f>
        <v>Aug</v>
      </c>
    </row>
    <row r="763" spans="1:8" x14ac:dyDescent="0.25">
      <c r="A763" s="2">
        <v>45876</v>
      </c>
      <c r="B763" s="1" t="s">
        <v>12</v>
      </c>
      <c r="C763">
        <v>6220</v>
      </c>
      <c r="D763" s="1" t="s">
        <v>39</v>
      </c>
      <c r="E763" s="1" t="s">
        <v>40</v>
      </c>
      <c r="F763">
        <v>11788</v>
      </c>
      <c r="G763" s="1" t="str">
        <f>_xlfn.XLOOKUP(tblActuals[[#This Row],[GL Account]],tblGLMap[GL Account],tblGLMap[Cost Category])</f>
        <v>Utilities</v>
      </c>
      <c r="H763" s="1" t="str">
        <f>TEXT(tblActuals[[#This Row],[Date]],"mmm")</f>
        <v>Aug</v>
      </c>
    </row>
    <row r="764" spans="1:8" x14ac:dyDescent="0.25">
      <c r="A764" s="2">
        <v>45874</v>
      </c>
      <c r="B764" s="1" t="s">
        <v>12</v>
      </c>
      <c r="C764">
        <v>6310</v>
      </c>
      <c r="D764" s="1" t="s">
        <v>32</v>
      </c>
      <c r="E764" s="1" t="s">
        <v>41</v>
      </c>
      <c r="F764">
        <v>9101</v>
      </c>
      <c r="G764" s="1" t="str">
        <f>_xlfn.XLOOKUP(tblActuals[[#This Row],[GL Account]],tblGLMap[GL Account],tblGLMap[Cost Category])</f>
        <v>Maintenance &amp; Repairs</v>
      </c>
      <c r="H764" s="1" t="str">
        <f>TEXT(tblActuals[[#This Row],[Date]],"mmm")</f>
        <v>Aug</v>
      </c>
    </row>
    <row r="765" spans="1:8" x14ac:dyDescent="0.25">
      <c r="A765" s="2">
        <v>45875</v>
      </c>
      <c r="B765" s="1" t="s">
        <v>12</v>
      </c>
      <c r="C765">
        <v>6310</v>
      </c>
      <c r="D765" s="1" t="s">
        <v>39</v>
      </c>
      <c r="E765" s="1" t="s">
        <v>41</v>
      </c>
      <c r="F765">
        <v>10994</v>
      </c>
      <c r="G765" s="1" t="str">
        <f>_xlfn.XLOOKUP(tblActuals[[#This Row],[GL Account]],tblGLMap[GL Account],tblGLMap[Cost Category])</f>
        <v>Maintenance &amp; Repairs</v>
      </c>
      <c r="H765" s="1" t="str">
        <f>TEXT(tblActuals[[#This Row],[Date]],"mmm")</f>
        <v>Aug</v>
      </c>
    </row>
    <row r="766" spans="1:8" x14ac:dyDescent="0.25">
      <c r="A766" s="2">
        <v>45876</v>
      </c>
      <c r="B766" s="1" t="s">
        <v>12</v>
      </c>
      <c r="C766">
        <v>6310</v>
      </c>
      <c r="D766" s="1" t="s">
        <v>35</v>
      </c>
      <c r="E766" s="1" t="s">
        <v>41</v>
      </c>
      <c r="F766">
        <v>10748</v>
      </c>
      <c r="G766" s="1" t="str">
        <f>_xlfn.XLOOKUP(tblActuals[[#This Row],[GL Account]],tblGLMap[GL Account],tblGLMap[Cost Category])</f>
        <v>Maintenance &amp; Repairs</v>
      </c>
      <c r="H766" s="1" t="str">
        <f>TEXT(tblActuals[[#This Row],[Date]],"mmm")</f>
        <v>Aug</v>
      </c>
    </row>
    <row r="767" spans="1:8" x14ac:dyDescent="0.25">
      <c r="A767" s="2">
        <v>45874</v>
      </c>
      <c r="B767" s="1" t="s">
        <v>12</v>
      </c>
      <c r="C767">
        <v>6320</v>
      </c>
      <c r="D767" s="1" t="s">
        <v>32</v>
      </c>
      <c r="E767" s="1" t="s">
        <v>42</v>
      </c>
      <c r="F767">
        <v>11908</v>
      </c>
      <c r="G767" s="1" t="str">
        <f>_xlfn.XLOOKUP(tblActuals[[#This Row],[GL Account]],tblGLMap[GL Account],tblGLMap[Cost Category])</f>
        <v>Maintenance &amp; Repairs</v>
      </c>
      <c r="H767" s="1" t="str">
        <f>TEXT(tblActuals[[#This Row],[Date]],"mmm")</f>
        <v>Aug</v>
      </c>
    </row>
    <row r="768" spans="1:8" x14ac:dyDescent="0.25">
      <c r="A768" s="2">
        <v>45875</v>
      </c>
      <c r="B768" s="1" t="s">
        <v>12</v>
      </c>
      <c r="C768">
        <v>6320</v>
      </c>
      <c r="D768" s="1" t="s">
        <v>35</v>
      </c>
      <c r="E768" s="1" t="s">
        <v>42</v>
      </c>
      <c r="F768">
        <v>6795</v>
      </c>
      <c r="G768" s="1" t="str">
        <f>_xlfn.XLOOKUP(tblActuals[[#This Row],[GL Account]],tblGLMap[GL Account],tblGLMap[Cost Category])</f>
        <v>Maintenance &amp; Repairs</v>
      </c>
      <c r="H768" s="1" t="str">
        <f>TEXT(tblActuals[[#This Row],[Date]],"mmm")</f>
        <v>Aug</v>
      </c>
    </row>
    <row r="769" spans="1:8" x14ac:dyDescent="0.25">
      <c r="A769" s="2">
        <v>45876</v>
      </c>
      <c r="B769" s="1" t="s">
        <v>12</v>
      </c>
      <c r="C769">
        <v>6320</v>
      </c>
      <c r="D769" s="1" t="s">
        <v>34</v>
      </c>
      <c r="E769" s="1" t="s">
        <v>42</v>
      </c>
      <c r="F769">
        <v>6679</v>
      </c>
      <c r="G769" s="1" t="str">
        <f>_xlfn.XLOOKUP(tblActuals[[#This Row],[GL Account]],tblGLMap[GL Account],tblGLMap[Cost Category])</f>
        <v>Maintenance &amp; Repairs</v>
      </c>
      <c r="H769" s="1" t="str">
        <f>TEXT(tblActuals[[#This Row],[Date]],"mmm")</f>
        <v>Aug</v>
      </c>
    </row>
    <row r="770" spans="1:8" x14ac:dyDescent="0.25">
      <c r="A770" s="2">
        <v>45905</v>
      </c>
      <c r="B770" s="1" t="s">
        <v>5</v>
      </c>
      <c r="C770">
        <v>6010</v>
      </c>
      <c r="D770" s="1" t="s">
        <v>31</v>
      </c>
      <c r="E770" s="1" t="s">
        <v>30</v>
      </c>
      <c r="F770">
        <v>8705</v>
      </c>
      <c r="G770" s="1" t="str">
        <f>_xlfn.XLOOKUP(tblActuals[[#This Row],[GL Account]],tblGLMap[GL Account],tblGLMap[Cost Category])</f>
        <v>Labor</v>
      </c>
      <c r="H770" s="1" t="str">
        <f>TEXT(tblActuals[[#This Row],[Date]],"mmm")</f>
        <v>Sep</v>
      </c>
    </row>
    <row r="771" spans="1:8" x14ac:dyDescent="0.25">
      <c r="A771" s="2">
        <v>45906</v>
      </c>
      <c r="B771" s="1" t="s">
        <v>5</v>
      </c>
      <c r="C771">
        <v>6010</v>
      </c>
      <c r="D771" s="1" t="s">
        <v>39</v>
      </c>
      <c r="E771" s="1" t="s">
        <v>30</v>
      </c>
      <c r="F771">
        <v>9182</v>
      </c>
      <c r="G771" s="1" t="str">
        <f>_xlfn.XLOOKUP(tblActuals[[#This Row],[GL Account]],tblGLMap[GL Account],tblGLMap[Cost Category])</f>
        <v>Labor</v>
      </c>
      <c r="H771" s="1" t="str">
        <f>TEXT(tblActuals[[#This Row],[Date]],"mmm")</f>
        <v>Sep</v>
      </c>
    </row>
    <row r="772" spans="1:8" x14ac:dyDescent="0.25">
      <c r="A772" s="2">
        <v>45907</v>
      </c>
      <c r="B772" s="1" t="s">
        <v>5</v>
      </c>
      <c r="C772">
        <v>6010</v>
      </c>
      <c r="D772" s="1" t="s">
        <v>29</v>
      </c>
      <c r="E772" s="1" t="s">
        <v>30</v>
      </c>
      <c r="F772">
        <v>11844</v>
      </c>
      <c r="G772" s="1" t="str">
        <f>_xlfn.XLOOKUP(tblActuals[[#This Row],[GL Account]],tblGLMap[GL Account],tblGLMap[Cost Category])</f>
        <v>Labor</v>
      </c>
      <c r="H772" s="1" t="str">
        <f>TEXT(tblActuals[[#This Row],[Date]],"mmm")</f>
        <v>Sep</v>
      </c>
    </row>
    <row r="773" spans="1:8" x14ac:dyDescent="0.25">
      <c r="A773" s="2">
        <v>45905</v>
      </c>
      <c r="B773" s="1" t="s">
        <v>5</v>
      </c>
      <c r="C773">
        <v>6020</v>
      </c>
      <c r="D773" s="1" t="s">
        <v>32</v>
      </c>
      <c r="E773" s="1" t="s">
        <v>33</v>
      </c>
      <c r="F773">
        <v>6000</v>
      </c>
      <c r="G773" s="1" t="str">
        <f>_xlfn.XLOOKUP(tblActuals[[#This Row],[GL Account]],tblGLMap[GL Account],tblGLMap[Cost Category])</f>
        <v>Labor</v>
      </c>
      <c r="H773" s="1" t="str">
        <f>TEXT(tblActuals[[#This Row],[Date]],"mmm")</f>
        <v>Sep</v>
      </c>
    </row>
    <row r="774" spans="1:8" x14ac:dyDescent="0.25">
      <c r="A774" s="2">
        <v>45906</v>
      </c>
      <c r="B774" s="1" t="s">
        <v>5</v>
      </c>
      <c r="C774">
        <v>6020</v>
      </c>
      <c r="D774" s="1" t="s">
        <v>29</v>
      </c>
      <c r="E774" s="1" t="s">
        <v>33</v>
      </c>
      <c r="F774">
        <v>2420</v>
      </c>
      <c r="G774" s="1" t="str">
        <f>_xlfn.XLOOKUP(tblActuals[[#This Row],[GL Account]],tblGLMap[GL Account],tblGLMap[Cost Category])</f>
        <v>Labor</v>
      </c>
      <c r="H774" s="1" t="str">
        <f>TEXT(tblActuals[[#This Row],[Date]],"mmm")</f>
        <v>Sep</v>
      </c>
    </row>
    <row r="775" spans="1:8" x14ac:dyDescent="0.25">
      <c r="A775" s="2">
        <v>45907</v>
      </c>
      <c r="B775" s="1" t="s">
        <v>5</v>
      </c>
      <c r="C775">
        <v>6020</v>
      </c>
      <c r="D775" s="1" t="s">
        <v>31</v>
      </c>
      <c r="E775" s="1" t="s">
        <v>33</v>
      </c>
      <c r="F775">
        <v>9812</v>
      </c>
      <c r="G775" s="1" t="str">
        <f>_xlfn.XLOOKUP(tblActuals[[#This Row],[GL Account]],tblGLMap[GL Account],tblGLMap[Cost Category])</f>
        <v>Labor</v>
      </c>
      <c r="H775" s="1" t="str">
        <f>TEXT(tblActuals[[#This Row],[Date]],"mmm")</f>
        <v>Sep</v>
      </c>
    </row>
    <row r="776" spans="1:8" x14ac:dyDescent="0.25">
      <c r="A776" s="2">
        <v>45905</v>
      </c>
      <c r="B776" s="1" t="s">
        <v>5</v>
      </c>
      <c r="C776">
        <v>6110</v>
      </c>
      <c r="D776" s="1" t="s">
        <v>39</v>
      </c>
      <c r="E776" s="1" t="s">
        <v>36</v>
      </c>
      <c r="F776">
        <v>6585</v>
      </c>
      <c r="G776" s="1" t="str">
        <f>_xlfn.XLOOKUP(tblActuals[[#This Row],[GL Account]],tblGLMap[GL Account],tblGLMap[Cost Category])</f>
        <v>Supplies &amp; Inventory</v>
      </c>
      <c r="H776" s="1" t="str">
        <f>TEXT(tblActuals[[#This Row],[Date]],"mmm")</f>
        <v>Sep</v>
      </c>
    </row>
    <row r="777" spans="1:8" x14ac:dyDescent="0.25">
      <c r="A777" s="2">
        <v>45906</v>
      </c>
      <c r="B777" s="1" t="s">
        <v>5</v>
      </c>
      <c r="C777">
        <v>6110</v>
      </c>
      <c r="D777" s="1" t="s">
        <v>31</v>
      </c>
      <c r="E777" s="1" t="s">
        <v>36</v>
      </c>
      <c r="F777">
        <v>8904</v>
      </c>
      <c r="G777" s="1" t="str">
        <f>_xlfn.XLOOKUP(tblActuals[[#This Row],[GL Account]],tblGLMap[GL Account],tblGLMap[Cost Category])</f>
        <v>Supplies &amp; Inventory</v>
      </c>
      <c r="H777" s="1" t="str">
        <f>TEXT(tblActuals[[#This Row],[Date]],"mmm")</f>
        <v>Sep</v>
      </c>
    </row>
    <row r="778" spans="1:8" x14ac:dyDescent="0.25">
      <c r="A778" s="2">
        <v>45907</v>
      </c>
      <c r="B778" s="1" t="s">
        <v>5</v>
      </c>
      <c r="C778">
        <v>6110</v>
      </c>
      <c r="D778" s="1" t="s">
        <v>29</v>
      </c>
      <c r="E778" s="1" t="s">
        <v>36</v>
      </c>
      <c r="F778">
        <v>2432</v>
      </c>
      <c r="G778" s="1" t="str">
        <f>_xlfn.XLOOKUP(tblActuals[[#This Row],[GL Account]],tblGLMap[GL Account],tblGLMap[Cost Category])</f>
        <v>Supplies &amp; Inventory</v>
      </c>
      <c r="H778" s="1" t="str">
        <f>TEXT(tblActuals[[#This Row],[Date]],"mmm")</f>
        <v>Sep</v>
      </c>
    </row>
    <row r="779" spans="1:8" x14ac:dyDescent="0.25">
      <c r="A779" s="2">
        <v>45905</v>
      </c>
      <c r="B779" s="1" t="s">
        <v>5</v>
      </c>
      <c r="C779">
        <v>6120</v>
      </c>
      <c r="D779" s="1" t="s">
        <v>31</v>
      </c>
      <c r="E779" s="1" t="s">
        <v>37</v>
      </c>
      <c r="F779">
        <v>6203</v>
      </c>
      <c r="G779" s="1" t="str">
        <f>_xlfn.XLOOKUP(tblActuals[[#This Row],[GL Account]],tblGLMap[GL Account],tblGLMap[Cost Category])</f>
        <v>Supplies &amp; Inventory</v>
      </c>
      <c r="H779" s="1" t="str">
        <f>TEXT(tblActuals[[#This Row],[Date]],"mmm")</f>
        <v>Sep</v>
      </c>
    </row>
    <row r="780" spans="1:8" x14ac:dyDescent="0.25">
      <c r="A780" s="2">
        <v>45906</v>
      </c>
      <c r="B780" s="1" t="s">
        <v>5</v>
      </c>
      <c r="C780">
        <v>6120</v>
      </c>
      <c r="D780" s="1" t="s">
        <v>32</v>
      </c>
      <c r="E780" s="1" t="s">
        <v>37</v>
      </c>
      <c r="F780">
        <v>2979</v>
      </c>
      <c r="G780" s="1" t="str">
        <f>_xlfn.XLOOKUP(tblActuals[[#This Row],[GL Account]],tblGLMap[GL Account],tblGLMap[Cost Category])</f>
        <v>Supplies &amp; Inventory</v>
      </c>
      <c r="H780" s="1" t="str">
        <f>TEXT(tblActuals[[#This Row],[Date]],"mmm")</f>
        <v>Sep</v>
      </c>
    </row>
    <row r="781" spans="1:8" x14ac:dyDescent="0.25">
      <c r="A781" s="2">
        <v>45907</v>
      </c>
      <c r="B781" s="1" t="s">
        <v>5</v>
      </c>
      <c r="C781">
        <v>6120</v>
      </c>
      <c r="D781" s="1" t="s">
        <v>32</v>
      </c>
      <c r="E781" s="1" t="s">
        <v>37</v>
      </c>
      <c r="F781">
        <v>11233</v>
      </c>
      <c r="G781" s="1" t="str">
        <f>_xlfn.XLOOKUP(tblActuals[[#This Row],[GL Account]],tblGLMap[GL Account],tblGLMap[Cost Category])</f>
        <v>Supplies &amp; Inventory</v>
      </c>
      <c r="H781" s="1" t="str">
        <f>TEXT(tblActuals[[#This Row],[Date]],"mmm")</f>
        <v>Sep</v>
      </c>
    </row>
    <row r="782" spans="1:8" x14ac:dyDescent="0.25">
      <c r="A782" s="2">
        <v>45905</v>
      </c>
      <c r="B782" s="1" t="s">
        <v>5</v>
      </c>
      <c r="C782">
        <v>6210</v>
      </c>
      <c r="D782" s="1" t="s">
        <v>39</v>
      </c>
      <c r="E782" s="1" t="s">
        <v>38</v>
      </c>
      <c r="F782">
        <v>7799</v>
      </c>
      <c r="G782" s="1" t="str">
        <f>_xlfn.XLOOKUP(tblActuals[[#This Row],[GL Account]],tblGLMap[GL Account],tblGLMap[Cost Category])</f>
        <v>Utilities</v>
      </c>
      <c r="H782" s="1" t="str">
        <f>TEXT(tblActuals[[#This Row],[Date]],"mmm")</f>
        <v>Sep</v>
      </c>
    </row>
    <row r="783" spans="1:8" x14ac:dyDescent="0.25">
      <c r="A783" s="2">
        <v>45906</v>
      </c>
      <c r="B783" s="1" t="s">
        <v>5</v>
      </c>
      <c r="C783">
        <v>6210</v>
      </c>
      <c r="D783" s="1" t="s">
        <v>32</v>
      </c>
      <c r="E783" s="1" t="s">
        <v>38</v>
      </c>
      <c r="F783">
        <v>11008</v>
      </c>
      <c r="G783" s="1" t="str">
        <f>_xlfn.XLOOKUP(tblActuals[[#This Row],[GL Account]],tblGLMap[GL Account],tblGLMap[Cost Category])</f>
        <v>Utilities</v>
      </c>
      <c r="H783" s="1" t="str">
        <f>TEXT(tblActuals[[#This Row],[Date]],"mmm")</f>
        <v>Sep</v>
      </c>
    </row>
    <row r="784" spans="1:8" x14ac:dyDescent="0.25">
      <c r="A784" s="2">
        <v>45907</v>
      </c>
      <c r="B784" s="1" t="s">
        <v>5</v>
      </c>
      <c r="C784">
        <v>6210</v>
      </c>
      <c r="D784" s="1" t="s">
        <v>39</v>
      </c>
      <c r="E784" s="1" t="s">
        <v>38</v>
      </c>
      <c r="F784">
        <v>2172</v>
      </c>
      <c r="G784" s="1" t="str">
        <f>_xlfn.XLOOKUP(tblActuals[[#This Row],[GL Account]],tblGLMap[GL Account],tblGLMap[Cost Category])</f>
        <v>Utilities</v>
      </c>
      <c r="H784" s="1" t="str">
        <f>TEXT(tblActuals[[#This Row],[Date]],"mmm")</f>
        <v>Sep</v>
      </c>
    </row>
    <row r="785" spans="1:8" x14ac:dyDescent="0.25">
      <c r="A785" s="2">
        <v>45905</v>
      </c>
      <c r="B785" s="1" t="s">
        <v>5</v>
      </c>
      <c r="C785">
        <v>6220</v>
      </c>
      <c r="D785" s="1" t="s">
        <v>35</v>
      </c>
      <c r="E785" s="1" t="s">
        <v>40</v>
      </c>
      <c r="F785">
        <v>10866</v>
      </c>
      <c r="G785" s="1" t="str">
        <f>_xlfn.XLOOKUP(tblActuals[[#This Row],[GL Account]],tblGLMap[GL Account],tblGLMap[Cost Category])</f>
        <v>Utilities</v>
      </c>
      <c r="H785" s="1" t="str">
        <f>TEXT(tblActuals[[#This Row],[Date]],"mmm")</f>
        <v>Sep</v>
      </c>
    </row>
    <row r="786" spans="1:8" x14ac:dyDescent="0.25">
      <c r="A786" s="2">
        <v>45906</v>
      </c>
      <c r="B786" s="1" t="s">
        <v>5</v>
      </c>
      <c r="C786">
        <v>6220</v>
      </c>
      <c r="D786" s="1" t="s">
        <v>29</v>
      </c>
      <c r="E786" s="1" t="s">
        <v>40</v>
      </c>
      <c r="F786">
        <v>4584</v>
      </c>
      <c r="G786" s="1" t="str">
        <f>_xlfn.XLOOKUP(tblActuals[[#This Row],[GL Account]],tblGLMap[GL Account],tblGLMap[Cost Category])</f>
        <v>Utilities</v>
      </c>
      <c r="H786" s="1" t="str">
        <f>TEXT(tblActuals[[#This Row],[Date]],"mmm")</f>
        <v>Sep</v>
      </c>
    </row>
    <row r="787" spans="1:8" x14ac:dyDescent="0.25">
      <c r="A787" s="2">
        <v>45907</v>
      </c>
      <c r="B787" s="1" t="s">
        <v>5</v>
      </c>
      <c r="C787">
        <v>6220</v>
      </c>
      <c r="D787" s="1" t="s">
        <v>39</v>
      </c>
      <c r="E787" s="1" t="s">
        <v>40</v>
      </c>
      <c r="F787">
        <v>11412</v>
      </c>
      <c r="G787" s="1" t="str">
        <f>_xlfn.XLOOKUP(tblActuals[[#This Row],[GL Account]],tblGLMap[GL Account],tblGLMap[Cost Category])</f>
        <v>Utilities</v>
      </c>
      <c r="H787" s="1" t="str">
        <f>TEXT(tblActuals[[#This Row],[Date]],"mmm")</f>
        <v>Sep</v>
      </c>
    </row>
    <row r="788" spans="1:8" x14ac:dyDescent="0.25">
      <c r="A788" s="2">
        <v>45905</v>
      </c>
      <c r="B788" s="1" t="s">
        <v>5</v>
      </c>
      <c r="C788">
        <v>6310</v>
      </c>
      <c r="D788" s="1" t="s">
        <v>34</v>
      </c>
      <c r="E788" s="1" t="s">
        <v>41</v>
      </c>
      <c r="F788">
        <v>9714</v>
      </c>
      <c r="G788" s="1" t="str">
        <f>_xlfn.XLOOKUP(tblActuals[[#This Row],[GL Account]],tblGLMap[GL Account],tblGLMap[Cost Category])</f>
        <v>Maintenance &amp; Repairs</v>
      </c>
      <c r="H788" s="1" t="str">
        <f>TEXT(tblActuals[[#This Row],[Date]],"mmm")</f>
        <v>Sep</v>
      </c>
    </row>
    <row r="789" spans="1:8" x14ac:dyDescent="0.25">
      <c r="A789" s="2">
        <v>45906</v>
      </c>
      <c r="B789" s="1" t="s">
        <v>5</v>
      </c>
      <c r="C789">
        <v>6310</v>
      </c>
      <c r="D789" s="1" t="s">
        <v>39</v>
      </c>
      <c r="E789" s="1" t="s">
        <v>41</v>
      </c>
      <c r="F789">
        <v>2513</v>
      </c>
      <c r="G789" s="1" t="str">
        <f>_xlfn.XLOOKUP(tblActuals[[#This Row],[GL Account]],tblGLMap[GL Account],tblGLMap[Cost Category])</f>
        <v>Maintenance &amp; Repairs</v>
      </c>
      <c r="H789" s="1" t="str">
        <f>TEXT(tblActuals[[#This Row],[Date]],"mmm")</f>
        <v>Sep</v>
      </c>
    </row>
    <row r="790" spans="1:8" x14ac:dyDescent="0.25">
      <c r="A790" s="2">
        <v>45907</v>
      </c>
      <c r="B790" s="1" t="s">
        <v>5</v>
      </c>
      <c r="C790">
        <v>6310</v>
      </c>
      <c r="D790" s="1" t="s">
        <v>29</v>
      </c>
      <c r="E790" s="1" t="s">
        <v>41</v>
      </c>
      <c r="F790">
        <v>3195</v>
      </c>
      <c r="G790" s="1" t="str">
        <f>_xlfn.XLOOKUP(tblActuals[[#This Row],[GL Account]],tblGLMap[GL Account],tblGLMap[Cost Category])</f>
        <v>Maintenance &amp; Repairs</v>
      </c>
      <c r="H790" s="1" t="str">
        <f>TEXT(tblActuals[[#This Row],[Date]],"mmm")</f>
        <v>Sep</v>
      </c>
    </row>
    <row r="791" spans="1:8" x14ac:dyDescent="0.25">
      <c r="A791" s="2">
        <v>45905</v>
      </c>
      <c r="B791" s="1" t="s">
        <v>5</v>
      </c>
      <c r="C791">
        <v>6320</v>
      </c>
      <c r="D791" s="1" t="s">
        <v>32</v>
      </c>
      <c r="E791" s="1" t="s">
        <v>42</v>
      </c>
      <c r="F791">
        <v>2881</v>
      </c>
      <c r="G791" s="1" t="str">
        <f>_xlfn.XLOOKUP(tblActuals[[#This Row],[GL Account]],tblGLMap[GL Account],tblGLMap[Cost Category])</f>
        <v>Maintenance &amp; Repairs</v>
      </c>
      <c r="H791" s="1" t="str">
        <f>TEXT(tblActuals[[#This Row],[Date]],"mmm")</f>
        <v>Sep</v>
      </c>
    </row>
    <row r="792" spans="1:8" x14ac:dyDescent="0.25">
      <c r="A792" s="2">
        <v>45906</v>
      </c>
      <c r="B792" s="1" t="s">
        <v>5</v>
      </c>
      <c r="C792">
        <v>6320</v>
      </c>
      <c r="D792" s="1" t="s">
        <v>31</v>
      </c>
      <c r="E792" s="1" t="s">
        <v>42</v>
      </c>
      <c r="F792">
        <v>4327</v>
      </c>
      <c r="G792" s="1" t="str">
        <f>_xlfn.XLOOKUP(tblActuals[[#This Row],[GL Account]],tblGLMap[GL Account],tblGLMap[Cost Category])</f>
        <v>Maintenance &amp; Repairs</v>
      </c>
      <c r="H792" s="1" t="str">
        <f>TEXT(tblActuals[[#This Row],[Date]],"mmm")</f>
        <v>Sep</v>
      </c>
    </row>
    <row r="793" spans="1:8" x14ac:dyDescent="0.25">
      <c r="A793" s="2">
        <v>45907</v>
      </c>
      <c r="B793" s="1" t="s">
        <v>5</v>
      </c>
      <c r="C793">
        <v>6320</v>
      </c>
      <c r="D793" s="1" t="s">
        <v>35</v>
      </c>
      <c r="E793" s="1" t="s">
        <v>42</v>
      </c>
      <c r="F793">
        <v>5559</v>
      </c>
      <c r="G793" s="1" t="str">
        <f>_xlfn.XLOOKUP(tblActuals[[#This Row],[GL Account]],tblGLMap[GL Account],tblGLMap[Cost Category])</f>
        <v>Maintenance &amp; Repairs</v>
      </c>
      <c r="H793" s="1" t="str">
        <f>TEXT(tblActuals[[#This Row],[Date]],"mmm")</f>
        <v>Sep</v>
      </c>
    </row>
    <row r="794" spans="1:8" x14ac:dyDescent="0.25">
      <c r="A794" s="2">
        <v>45905</v>
      </c>
      <c r="B794" s="1" t="s">
        <v>10</v>
      </c>
      <c r="C794">
        <v>6010</v>
      </c>
      <c r="D794" s="1" t="s">
        <v>39</v>
      </c>
      <c r="E794" s="1" t="s">
        <v>30</v>
      </c>
      <c r="F794">
        <v>8672</v>
      </c>
      <c r="G794" s="1" t="str">
        <f>_xlfn.XLOOKUP(tblActuals[[#This Row],[GL Account]],tblGLMap[GL Account],tblGLMap[Cost Category])</f>
        <v>Labor</v>
      </c>
      <c r="H794" s="1" t="str">
        <f>TEXT(tblActuals[[#This Row],[Date]],"mmm")</f>
        <v>Sep</v>
      </c>
    </row>
    <row r="795" spans="1:8" x14ac:dyDescent="0.25">
      <c r="A795" s="2">
        <v>45906</v>
      </c>
      <c r="B795" s="1" t="s">
        <v>10</v>
      </c>
      <c r="C795">
        <v>6010</v>
      </c>
      <c r="D795" s="1" t="s">
        <v>32</v>
      </c>
      <c r="E795" s="1" t="s">
        <v>30</v>
      </c>
      <c r="F795">
        <v>10086</v>
      </c>
      <c r="G795" s="1" t="str">
        <f>_xlfn.XLOOKUP(tblActuals[[#This Row],[GL Account]],tblGLMap[GL Account],tblGLMap[Cost Category])</f>
        <v>Labor</v>
      </c>
      <c r="H795" s="1" t="str">
        <f>TEXT(tblActuals[[#This Row],[Date]],"mmm")</f>
        <v>Sep</v>
      </c>
    </row>
    <row r="796" spans="1:8" x14ac:dyDescent="0.25">
      <c r="A796" s="2">
        <v>45907</v>
      </c>
      <c r="B796" s="1" t="s">
        <v>10</v>
      </c>
      <c r="C796">
        <v>6010</v>
      </c>
      <c r="D796" s="1" t="s">
        <v>34</v>
      </c>
      <c r="E796" s="1" t="s">
        <v>30</v>
      </c>
      <c r="F796">
        <v>11491</v>
      </c>
      <c r="G796" s="1" t="str">
        <f>_xlfn.XLOOKUP(tblActuals[[#This Row],[GL Account]],tblGLMap[GL Account],tblGLMap[Cost Category])</f>
        <v>Labor</v>
      </c>
      <c r="H796" s="1" t="str">
        <f>TEXT(tblActuals[[#This Row],[Date]],"mmm")</f>
        <v>Sep</v>
      </c>
    </row>
    <row r="797" spans="1:8" x14ac:dyDescent="0.25">
      <c r="A797" s="2">
        <v>45905</v>
      </c>
      <c r="B797" s="1" t="s">
        <v>10</v>
      </c>
      <c r="C797">
        <v>6020</v>
      </c>
      <c r="D797" s="1" t="s">
        <v>29</v>
      </c>
      <c r="E797" s="1" t="s">
        <v>33</v>
      </c>
      <c r="F797">
        <v>7462</v>
      </c>
      <c r="G797" s="1" t="str">
        <f>_xlfn.XLOOKUP(tblActuals[[#This Row],[GL Account]],tblGLMap[GL Account],tblGLMap[Cost Category])</f>
        <v>Labor</v>
      </c>
      <c r="H797" s="1" t="str">
        <f>TEXT(tblActuals[[#This Row],[Date]],"mmm")</f>
        <v>Sep</v>
      </c>
    </row>
    <row r="798" spans="1:8" x14ac:dyDescent="0.25">
      <c r="A798" s="2">
        <v>45906</v>
      </c>
      <c r="B798" s="1" t="s">
        <v>10</v>
      </c>
      <c r="C798">
        <v>6020</v>
      </c>
      <c r="D798" s="1" t="s">
        <v>39</v>
      </c>
      <c r="E798" s="1" t="s">
        <v>33</v>
      </c>
      <c r="F798">
        <v>6134</v>
      </c>
      <c r="G798" s="1" t="str">
        <f>_xlfn.XLOOKUP(tblActuals[[#This Row],[GL Account]],tblGLMap[GL Account],tblGLMap[Cost Category])</f>
        <v>Labor</v>
      </c>
      <c r="H798" s="1" t="str">
        <f>TEXT(tblActuals[[#This Row],[Date]],"mmm")</f>
        <v>Sep</v>
      </c>
    </row>
    <row r="799" spans="1:8" x14ac:dyDescent="0.25">
      <c r="A799" s="2">
        <v>45907</v>
      </c>
      <c r="B799" s="1" t="s">
        <v>10</v>
      </c>
      <c r="C799">
        <v>6020</v>
      </c>
      <c r="D799" s="1" t="s">
        <v>29</v>
      </c>
      <c r="E799" s="1" t="s">
        <v>33</v>
      </c>
      <c r="F799">
        <v>8197</v>
      </c>
      <c r="G799" s="1" t="str">
        <f>_xlfn.XLOOKUP(tblActuals[[#This Row],[GL Account]],tblGLMap[GL Account],tblGLMap[Cost Category])</f>
        <v>Labor</v>
      </c>
      <c r="H799" s="1" t="str">
        <f>TEXT(tblActuals[[#This Row],[Date]],"mmm")</f>
        <v>Sep</v>
      </c>
    </row>
    <row r="800" spans="1:8" x14ac:dyDescent="0.25">
      <c r="A800" s="2">
        <v>45905</v>
      </c>
      <c r="B800" s="1" t="s">
        <v>10</v>
      </c>
      <c r="C800">
        <v>6110</v>
      </c>
      <c r="D800" s="1" t="s">
        <v>31</v>
      </c>
      <c r="E800" s="1" t="s">
        <v>36</v>
      </c>
      <c r="F800">
        <v>11295</v>
      </c>
      <c r="G800" s="1" t="str">
        <f>_xlfn.XLOOKUP(tblActuals[[#This Row],[GL Account]],tblGLMap[GL Account],tblGLMap[Cost Category])</f>
        <v>Supplies &amp; Inventory</v>
      </c>
      <c r="H800" s="1" t="str">
        <f>TEXT(tblActuals[[#This Row],[Date]],"mmm")</f>
        <v>Sep</v>
      </c>
    </row>
    <row r="801" spans="1:8" x14ac:dyDescent="0.25">
      <c r="A801" s="2">
        <v>45906</v>
      </c>
      <c r="B801" s="1" t="s">
        <v>10</v>
      </c>
      <c r="C801">
        <v>6110</v>
      </c>
      <c r="D801" s="1" t="s">
        <v>35</v>
      </c>
      <c r="E801" s="1" t="s">
        <v>36</v>
      </c>
      <c r="F801">
        <v>11836</v>
      </c>
      <c r="G801" s="1" t="str">
        <f>_xlfn.XLOOKUP(tblActuals[[#This Row],[GL Account]],tblGLMap[GL Account],tblGLMap[Cost Category])</f>
        <v>Supplies &amp; Inventory</v>
      </c>
      <c r="H801" s="1" t="str">
        <f>TEXT(tblActuals[[#This Row],[Date]],"mmm")</f>
        <v>Sep</v>
      </c>
    </row>
    <row r="802" spans="1:8" x14ac:dyDescent="0.25">
      <c r="A802" s="2">
        <v>45907</v>
      </c>
      <c r="B802" s="1" t="s">
        <v>10</v>
      </c>
      <c r="C802">
        <v>6110</v>
      </c>
      <c r="D802" s="1" t="s">
        <v>31</v>
      </c>
      <c r="E802" s="1" t="s">
        <v>36</v>
      </c>
      <c r="F802">
        <v>6982</v>
      </c>
      <c r="G802" s="1" t="str">
        <f>_xlfn.XLOOKUP(tblActuals[[#This Row],[GL Account]],tblGLMap[GL Account],tblGLMap[Cost Category])</f>
        <v>Supplies &amp; Inventory</v>
      </c>
      <c r="H802" s="1" t="str">
        <f>TEXT(tblActuals[[#This Row],[Date]],"mmm")</f>
        <v>Sep</v>
      </c>
    </row>
    <row r="803" spans="1:8" x14ac:dyDescent="0.25">
      <c r="A803" s="2">
        <v>45905</v>
      </c>
      <c r="B803" s="1" t="s">
        <v>10</v>
      </c>
      <c r="C803">
        <v>6120</v>
      </c>
      <c r="D803" s="1" t="s">
        <v>31</v>
      </c>
      <c r="E803" s="1" t="s">
        <v>37</v>
      </c>
      <c r="F803">
        <v>6901</v>
      </c>
      <c r="G803" s="1" t="str">
        <f>_xlfn.XLOOKUP(tblActuals[[#This Row],[GL Account]],tblGLMap[GL Account],tblGLMap[Cost Category])</f>
        <v>Supplies &amp; Inventory</v>
      </c>
      <c r="H803" s="1" t="str">
        <f>TEXT(tblActuals[[#This Row],[Date]],"mmm")</f>
        <v>Sep</v>
      </c>
    </row>
    <row r="804" spans="1:8" x14ac:dyDescent="0.25">
      <c r="A804" s="2">
        <v>45906</v>
      </c>
      <c r="B804" s="1" t="s">
        <v>10</v>
      </c>
      <c r="C804">
        <v>6120</v>
      </c>
      <c r="D804" s="1" t="s">
        <v>35</v>
      </c>
      <c r="E804" s="1" t="s">
        <v>37</v>
      </c>
      <c r="F804">
        <v>10641</v>
      </c>
      <c r="G804" s="1" t="str">
        <f>_xlfn.XLOOKUP(tblActuals[[#This Row],[GL Account]],tblGLMap[GL Account],tblGLMap[Cost Category])</f>
        <v>Supplies &amp; Inventory</v>
      </c>
      <c r="H804" s="1" t="str">
        <f>TEXT(tblActuals[[#This Row],[Date]],"mmm")</f>
        <v>Sep</v>
      </c>
    </row>
    <row r="805" spans="1:8" x14ac:dyDescent="0.25">
      <c r="A805" s="2">
        <v>45907</v>
      </c>
      <c r="B805" s="1" t="s">
        <v>10</v>
      </c>
      <c r="C805">
        <v>6120</v>
      </c>
      <c r="D805" s="1" t="s">
        <v>29</v>
      </c>
      <c r="E805" s="1" t="s">
        <v>37</v>
      </c>
      <c r="F805">
        <v>7833</v>
      </c>
      <c r="G805" s="1" t="str">
        <f>_xlfn.XLOOKUP(tblActuals[[#This Row],[GL Account]],tblGLMap[GL Account],tblGLMap[Cost Category])</f>
        <v>Supplies &amp; Inventory</v>
      </c>
      <c r="H805" s="1" t="str">
        <f>TEXT(tblActuals[[#This Row],[Date]],"mmm")</f>
        <v>Sep</v>
      </c>
    </row>
    <row r="806" spans="1:8" x14ac:dyDescent="0.25">
      <c r="A806" s="2">
        <v>45905</v>
      </c>
      <c r="B806" s="1" t="s">
        <v>10</v>
      </c>
      <c r="C806">
        <v>6210</v>
      </c>
      <c r="D806" s="1" t="s">
        <v>35</v>
      </c>
      <c r="E806" s="1" t="s">
        <v>38</v>
      </c>
      <c r="F806">
        <v>5628</v>
      </c>
      <c r="G806" s="1" t="str">
        <f>_xlfn.XLOOKUP(tblActuals[[#This Row],[GL Account]],tblGLMap[GL Account],tblGLMap[Cost Category])</f>
        <v>Utilities</v>
      </c>
      <c r="H806" s="1" t="str">
        <f>TEXT(tblActuals[[#This Row],[Date]],"mmm")</f>
        <v>Sep</v>
      </c>
    </row>
    <row r="807" spans="1:8" x14ac:dyDescent="0.25">
      <c r="A807" s="2">
        <v>45906</v>
      </c>
      <c r="B807" s="1" t="s">
        <v>10</v>
      </c>
      <c r="C807">
        <v>6210</v>
      </c>
      <c r="D807" s="1" t="s">
        <v>34</v>
      </c>
      <c r="E807" s="1" t="s">
        <v>38</v>
      </c>
      <c r="F807">
        <v>11374</v>
      </c>
      <c r="G807" s="1" t="str">
        <f>_xlfn.XLOOKUP(tblActuals[[#This Row],[GL Account]],tblGLMap[GL Account],tblGLMap[Cost Category])</f>
        <v>Utilities</v>
      </c>
      <c r="H807" s="1" t="str">
        <f>TEXT(tblActuals[[#This Row],[Date]],"mmm")</f>
        <v>Sep</v>
      </c>
    </row>
    <row r="808" spans="1:8" x14ac:dyDescent="0.25">
      <c r="A808" s="2">
        <v>45907</v>
      </c>
      <c r="B808" s="1" t="s">
        <v>10</v>
      </c>
      <c r="C808">
        <v>6210</v>
      </c>
      <c r="D808" s="1" t="s">
        <v>31</v>
      </c>
      <c r="E808" s="1" t="s">
        <v>38</v>
      </c>
      <c r="F808">
        <v>6961</v>
      </c>
      <c r="G808" s="1" t="str">
        <f>_xlfn.XLOOKUP(tblActuals[[#This Row],[GL Account]],tblGLMap[GL Account],tblGLMap[Cost Category])</f>
        <v>Utilities</v>
      </c>
      <c r="H808" s="1" t="str">
        <f>TEXT(tblActuals[[#This Row],[Date]],"mmm")</f>
        <v>Sep</v>
      </c>
    </row>
    <row r="809" spans="1:8" x14ac:dyDescent="0.25">
      <c r="A809" s="2">
        <v>45905</v>
      </c>
      <c r="B809" s="1" t="s">
        <v>10</v>
      </c>
      <c r="C809">
        <v>6220</v>
      </c>
      <c r="D809" s="1" t="s">
        <v>35</v>
      </c>
      <c r="E809" s="1" t="s">
        <v>40</v>
      </c>
      <c r="F809">
        <v>11047</v>
      </c>
      <c r="G809" s="1" t="str">
        <f>_xlfn.XLOOKUP(tblActuals[[#This Row],[GL Account]],tblGLMap[GL Account],tblGLMap[Cost Category])</f>
        <v>Utilities</v>
      </c>
      <c r="H809" s="1" t="str">
        <f>TEXT(tblActuals[[#This Row],[Date]],"mmm")</f>
        <v>Sep</v>
      </c>
    </row>
    <row r="810" spans="1:8" x14ac:dyDescent="0.25">
      <c r="A810" s="2">
        <v>45906</v>
      </c>
      <c r="B810" s="1" t="s">
        <v>10</v>
      </c>
      <c r="C810">
        <v>6220</v>
      </c>
      <c r="D810" s="1" t="s">
        <v>29</v>
      </c>
      <c r="E810" s="1" t="s">
        <v>40</v>
      </c>
      <c r="F810">
        <v>3817</v>
      </c>
      <c r="G810" s="1" t="str">
        <f>_xlfn.XLOOKUP(tblActuals[[#This Row],[GL Account]],tblGLMap[GL Account],tblGLMap[Cost Category])</f>
        <v>Utilities</v>
      </c>
      <c r="H810" s="1" t="str">
        <f>TEXT(tblActuals[[#This Row],[Date]],"mmm")</f>
        <v>Sep</v>
      </c>
    </row>
    <row r="811" spans="1:8" x14ac:dyDescent="0.25">
      <c r="A811" s="2">
        <v>45907</v>
      </c>
      <c r="B811" s="1" t="s">
        <v>10</v>
      </c>
      <c r="C811">
        <v>6220</v>
      </c>
      <c r="D811" s="1" t="s">
        <v>35</v>
      </c>
      <c r="E811" s="1" t="s">
        <v>40</v>
      </c>
      <c r="F811">
        <v>6582</v>
      </c>
      <c r="G811" s="1" t="str">
        <f>_xlfn.XLOOKUP(tblActuals[[#This Row],[GL Account]],tblGLMap[GL Account],tblGLMap[Cost Category])</f>
        <v>Utilities</v>
      </c>
      <c r="H811" s="1" t="str">
        <f>TEXT(tblActuals[[#This Row],[Date]],"mmm")</f>
        <v>Sep</v>
      </c>
    </row>
    <row r="812" spans="1:8" x14ac:dyDescent="0.25">
      <c r="A812" s="2">
        <v>45905</v>
      </c>
      <c r="B812" s="1" t="s">
        <v>10</v>
      </c>
      <c r="C812">
        <v>6310</v>
      </c>
      <c r="D812" s="1" t="s">
        <v>34</v>
      </c>
      <c r="E812" s="1" t="s">
        <v>41</v>
      </c>
      <c r="F812">
        <v>7921</v>
      </c>
      <c r="G812" s="1" t="str">
        <f>_xlfn.XLOOKUP(tblActuals[[#This Row],[GL Account]],tblGLMap[GL Account],tblGLMap[Cost Category])</f>
        <v>Maintenance &amp; Repairs</v>
      </c>
      <c r="H812" s="1" t="str">
        <f>TEXT(tblActuals[[#This Row],[Date]],"mmm")</f>
        <v>Sep</v>
      </c>
    </row>
    <row r="813" spans="1:8" x14ac:dyDescent="0.25">
      <c r="A813" s="2">
        <v>45906</v>
      </c>
      <c r="B813" s="1" t="s">
        <v>10</v>
      </c>
      <c r="C813">
        <v>6310</v>
      </c>
      <c r="D813" s="1" t="s">
        <v>35</v>
      </c>
      <c r="E813" s="1" t="s">
        <v>41</v>
      </c>
      <c r="F813">
        <v>11249</v>
      </c>
      <c r="G813" s="1" t="str">
        <f>_xlfn.XLOOKUP(tblActuals[[#This Row],[GL Account]],tblGLMap[GL Account],tblGLMap[Cost Category])</f>
        <v>Maintenance &amp; Repairs</v>
      </c>
      <c r="H813" s="1" t="str">
        <f>TEXT(tblActuals[[#This Row],[Date]],"mmm")</f>
        <v>Sep</v>
      </c>
    </row>
    <row r="814" spans="1:8" x14ac:dyDescent="0.25">
      <c r="A814" s="2">
        <v>45907</v>
      </c>
      <c r="B814" s="1" t="s">
        <v>10</v>
      </c>
      <c r="C814">
        <v>6310</v>
      </c>
      <c r="D814" s="1" t="s">
        <v>29</v>
      </c>
      <c r="E814" s="1" t="s">
        <v>41</v>
      </c>
      <c r="F814">
        <v>2888</v>
      </c>
      <c r="G814" s="1" t="str">
        <f>_xlfn.XLOOKUP(tblActuals[[#This Row],[GL Account]],tblGLMap[GL Account],tblGLMap[Cost Category])</f>
        <v>Maintenance &amp; Repairs</v>
      </c>
      <c r="H814" s="1" t="str">
        <f>TEXT(tblActuals[[#This Row],[Date]],"mmm")</f>
        <v>Sep</v>
      </c>
    </row>
    <row r="815" spans="1:8" x14ac:dyDescent="0.25">
      <c r="A815" s="2">
        <v>45905</v>
      </c>
      <c r="B815" s="1" t="s">
        <v>10</v>
      </c>
      <c r="C815">
        <v>6320</v>
      </c>
      <c r="D815" s="1" t="s">
        <v>39</v>
      </c>
      <c r="E815" s="1" t="s">
        <v>42</v>
      </c>
      <c r="F815">
        <v>10657</v>
      </c>
      <c r="G815" s="1" t="str">
        <f>_xlfn.XLOOKUP(tblActuals[[#This Row],[GL Account]],tblGLMap[GL Account],tblGLMap[Cost Category])</f>
        <v>Maintenance &amp; Repairs</v>
      </c>
      <c r="H815" s="1" t="str">
        <f>TEXT(tblActuals[[#This Row],[Date]],"mmm")</f>
        <v>Sep</v>
      </c>
    </row>
    <row r="816" spans="1:8" x14ac:dyDescent="0.25">
      <c r="A816" s="2">
        <v>45906</v>
      </c>
      <c r="B816" s="1" t="s">
        <v>10</v>
      </c>
      <c r="C816">
        <v>6320</v>
      </c>
      <c r="D816" s="1" t="s">
        <v>34</v>
      </c>
      <c r="E816" s="1" t="s">
        <v>42</v>
      </c>
      <c r="F816">
        <v>6881</v>
      </c>
      <c r="G816" s="1" t="str">
        <f>_xlfn.XLOOKUP(tblActuals[[#This Row],[GL Account]],tblGLMap[GL Account],tblGLMap[Cost Category])</f>
        <v>Maintenance &amp; Repairs</v>
      </c>
      <c r="H816" s="1" t="str">
        <f>TEXT(tblActuals[[#This Row],[Date]],"mmm")</f>
        <v>Sep</v>
      </c>
    </row>
    <row r="817" spans="1:8" x14ac:dyDescent="0.25">
      <c r="A817" s="2">
        <v>45907</v>
      </c>
      <c r="B817" s="1" t="s">
        <v>10</v>
      </c>
      <c r="C817">
        <v>6320</v>
      </c>
      <c r="D817" s="1" t="s">
        <v>31</v>
      </c>
      <c r="E817" s="1" t="s">
        <v>42</v>
      </c>
      <c r="F817">
        <v>10124</v>
      </c>
      <c r="G817" s="1" t="str">
        <f>_xlfn.XLOOKUP(tblActuals[[#This Row],[GL Account]],tblGLMap[GL Account],tblGLMap[Cost Category])</f>
        <v>Maintenance &amp; Repairs</v>
      </c>
      <c r="H817" s="1" t="str">
        <f>TEXT(tblActuals[[#This Row],[Date]],"mmm")</f>
        <v>Sep</v>
      </c>
    </row>
    <row r="818" spans="1:8" x14ac:dyDescent="0.25">
      <c r="A818" s="2">
        <v>45905</v>
      </c>
      <c r="B818" s="1" t="s">
        <v>11</v>
      </c>
      <c r="C818">
        <v>6010</v>
      </c>
      <c r="D818" s="1" t="s">
        <v>32</v>
      </c>
      <c r="E818" s="1" t="s">
        <v>30</v>
      </c>
      <c r="F818">
        <v>8437</v>
      </c>
      <c r="G818" s="1" t="str">
        <f>_xlfn.XLOOKUP(tblActuals[[#This Row],[GL Account]],tblGLMap[GL Account],tblGLMap[Cost Category])</f>
        <v>Labor</v>
      </c>
      <c r="H818" s="1" t="str">
        <f>TEXT(tblActuals[[#This Row],[Date]],"mmm")</f>
        <v>Sep</v>
      </c>
    </row>
    <row r="819" spans="1:8" x14ac:dyDescent="0.25">
      <c r="A819" s="2">
        <v>45906</v>
      </c>
      <c r="B819" s="1" t="s">
        <v>11</v>
      </c>
      <c r="C819">
        <v>6010</v>
      </c>
      <c r="D819" s="1" t="s">
        <v>31</v>
      </c>
      <c r="E819" s="1" t="s">
        <v>30</v>
      </c>
      <c r="F819">
        <v>7428</v>
      </c>
      <c r="G819" s="1" t="str">
        <f>_xlfn.XLOOKUP(tblActuals[[#This Row],[GL Account]],tblGLMap[GL Account],tblGLMap[Cost Category])</f>
        <v>Labor</v>
      </c>
      <c r="H819" s="1" t="str">
        <f>TEXT(tblActuals[[#This Row],[Date]],"mmm")</f>
        <v>Sep</v>
      </c>
    </row>
    <row r="820" spans="1:8" x14ac:dyDescent="0.25">
      <c r="A820" s="2">
        <v>45907</v>
      </c>
      <c r="B820" s="1" t="s">
        <v>11</v>
      </c>
      <c r="C820">
        <v>6010</v>
      </c>
      <c r="D820" s="1" t="s">
        <v>29</v>
      </c>
      <c r="E820" s="1" t="s">
        <v>30</v>
      </c>
      <c r="F820">
        <v>7440</v>
      </c>
      <c r="G820" s="1" t="str">
        <f>_xlfn.XLOOKUP(tblActuals[[#This Row],[GL Account]],tblGLMap[GL Account],tblGLMap[Cost Category])</f>
        <v>Labor</v>
      </c>
      <c r="H820" s="1" t="str">
        <f>TEXT(tblActuals[[#This Row],[Date]],"mmm")</f>
        <v>Sep</v>
      </c>
    </row>
    <row r="821" spans="1:8" x14ac:dyDescent="0.25">
      <c r="A821" s="2">
        <v>45905</v>
      </c>
      <c r="B821" s="1" t="s">
        <v>11</v>
      </c>
      <c r="C821">
        <v>6020</v>
      </c>
      <c r="D821" s="1" t="s">
        <v>34</v>
      </c>
      <c r="E821" s="1" t="s">
        <v>33</v>
      </c>
      <c r="F821">
        <v>4453</v>
      </c>
      <c r="G821" s="1" t="str">
        <f>_xlfn.XLOOKUP(tblActuals[[#This Row],[GL Account]],tblGLMap[GL Account],tblGLMap[Cost Category])</f>
        <v>Labor</v>
      </c>
      <c r="H821" s="1" t="str">
        <f>TEXT(tblActuals[[#This Row],[Date]],"mmm")</f>
        <v>Sep</v>
      </c>
    </row>
    <row r="822" spans="1:8" x14ac:dyDescent="0.25">
      <c r="A822" s="2">
        <v>45906</v>
      </c>
      <c r="B822" s="1" t="s">
        <v>11</v>
      </c>
      <c r="C822">
        <v>6020</v>
      </c>
      <c r="D822" s="1" t="s">
        <v>39</v>
      </c>
      <c r="E822" s="1" t="s">
        <v>33</v>
      </c>
      <c r="F822">
        <v>7098</v>
      </c>
      <c r="G822" s="1" t="str">
        <f>_xlfn.XLOOKUP(tblActuals[[#This Row],[GL Account]],tblGLMap[GL Account],tblGLMap[Cost Category])</f>
        <v>Labor</v>
      </c>
      <c r="H822" s="1" t="str">
        <f>TEXT(tblActuals[[#This Row],[Date]],"mmm")</f>
        <v>Sep</v>
      </c>
    </row>
    <row r="823" spans="1:8" x14ac:dyDescent="0.25">
      <c r="A823" s="2">
        <v>45907</v>
      </c>
      <c r="B823" s="1" t="s">
        <v>11</v>
      </c>
      <c r="C823">
        <v>6020</v>
      </c>
      <c r="D823" s="1" t="s">
        <v>34</v>
      </c>
      <c r="E823" s="1" t="s">
        <v>33</v>
      </c>
      <c r="F823">
        <v>4645</v>
      </c>
      <c r="G823" s="1" t="str">
        <f>_xlfn.XLOOKUP(tblActuals[[#This Row],[GL Account]],tblGLMap[GL Account],tblGLMap[Cost Category])</f>
        <v>Labor</v>
      </c>
      <c r="H823" s="1" t="str">
        <f>TEXT(tblActuals[[#This Row],[Date]],"mmm")</f>
        <v>Sep</v>
      </c>
    </row>
    <row r="824" spans="1:8" x14ac:dyDescent="0.25">
      <c r="A824" s="2">
        <v>45905</v>
      </c>
      <c r="B824" s="1" t="s">
        <v>11</v>
      </c>
      <c r="C824">
        <v>6110</v>
      </c>
      <c r="D824" s="1" t="s">
        <v>34</v>
      </c>
      <c r="E824" s="1" t="s">
        <v>36</v>
      </c>
      <c r="F824">
        <v>3753</v>
      </c>
      <c r="G824" s="1" t="str">
        <f>_xlfn.XLOOKUP(tblActuals[[#This Row],[GL Account]],tblGLMap[GL Account],tblGLMap[Cost Category])</f>
        <v>Supplies &amp; Inventory</v>
      </c>
      <c r="H824" s="1" t="str">
        <f>TEXT(tblActuals[[#This Row],[Date]],"mmm")</f>
        <v>Sep</v>
      </c>
    </row>
    <row r="825" spans="1:8" x14ac:dyDescent="0.25">
      <c r="A825" s="2">
        <v>45906</v>
      </c>
      <c r="B825" s="1" t="s">
        <v>11</v>
      </c>
      <c r="C825">
        <v>6110</v>
      </c>
      <c r="D825" s="1" t="s">
        <v>29</v>
      </c>
      <c r="E825" s="1" t="s">
        <v>36</v>
      </c>
      <c r="F825">
        <v>2764</v>
      </c>
      <c r="G825" s="1" t="str">
        <f>_xlfn.XLOOKUP(tblActuals[[#This Row],[GL Account]],tblGLMap[GL Account],tblGLMap[Cost Category])</f>
        <v>Supplies &amp; Inventory</v>
      </c>
      <c r="H825" s="1" t="str">
        <f>TEXT(tblActuals[[#This Row],[Date]],"mmm")</f>
        <v>Sep</v>
      </c>
    </row>
    <row r="826" spans="1:8" x14ac:dyDescent="0.25">
      <c r="A826" s="2">
        <v>45907</v>
      </c>
      <c r="B826" s="1" t="s">
        <v>11</v>
      </c>
      <c r="C826">
        <v>6110</v>
      </c>
      <c r="D826" s="1" t="s">
        <v>32</v>
      </c>
      <c r="E826" s="1" t="s">
        <v>36</v>
      </c>
      <c r="F826">
        <v>3157</v>
      </c>
      <c r="G826" s="1" t="str">
        <f>_xlfn.XLOOKUP(tblActuals[[#This Row],[GL Account]],tblGLMap[GL Account],tblGLMap[Cost Category])</f>
        <v>Supplies &amp; Inventory</v>
      </c>
      <c r="H826" s="1" t="str">
        <f>TEXT(tblActuals[[#This Row],[Date]],"mmm")</f>
        <v>Sep</v>
      </c>
    </row>
    <row r="827" spans="1:8" x14ac:dyDescent="0.25">
      <c r="A827" s="2">
        <v>45905</v>
      </c>
      <c r="B827" s="1" t="s">
        <v>11</v>
      </c>
      <c r="C827">
        <v>6120</v>
      </c>
      <c r="D827" s="1" t="s">
        <v>35</v>
      </c>
      <c r="E827" s="1" t="s">
        <v>37</v>
      </c>
      <c r="F827">
        <v>10343</v>
      </c>
      <c r="G827" s="1" t="str">
        <f>_xlfn.XLOOKUP(tblActuals[[#This Row],[GL Account]],tblGLMap[GL Account],tblGLMap[Cost Category])</f>
        <v>Supplies &amp; Inventory</v>
      </c>
      <c r="H827" s="1" t="str">
        <f>TEXT(tblActuals[[#This Row],[Date]],"mmm")</f>
        <v>Sep</v>
      </c>
    </row>
    <row r="828" spans="1:8" x14ac:dyDescent="0.25">
      <c r="A828" s="2">
        <v>45906</v>
      </c>
      <c r="B828" s="1" t="s">
        <v>11</v>
      </c>
      <c r="C828">
        <v>6120</v>
      </c>
      <c r="D828" s="1" t="s">
        <v>31</v>
      </c>
      <c r="E828" s="1" t="s">
        <v>37</v>
      </c>
      <c r="F828">
        <v>10126</v>
      </c>
      <c r="G828" s="1" t="str">
        <f>_xlfn.XLOOKUP(tblActuals[[#This Row],[GL Account]],tblGLMap[GL Account],tblGLMap[Cost Category])</f>
        <v>Supplies &amp; Inventory</v>
      </c>
      <c r="H828" s="1" t="str">
        <f>TEXT(tblActuals[[#This Row],[Date]],"mmm")</f>
        <v>Sep</v>
      </c>
    </row>
    <row r="829" spans="1:8" x14ac:dyDescent="0.25">
      <c r="A829" s="2">
        <v>45907</v>
      </c>
      <c r="B829" s="1" t="s">
        <v>11</v>
      </c>
      <c r="C829">
        <v>6120</v>
      </c>
      <c r="D829" s="1" t="s">
        <v>32</v>
      </c>
      <c r="E829" s="1" t="s">
        <v>37</v>
      </c>
      <c r="F829">
        <v>7017</v>
      </c>
      <c r="G829" s="1" t="str">
        <f>_xlfn.XLOOKUP(tblActuals[[#This Row],[GL Account]],tblGLMap[GL Account],tblGLMap[Cost Category])</f>
        <v>Supplies &amp; Inventory</v>
      </c>
      <c r="H829" s="1" t="str">
        <f>TEXT(tblActuals[[#This Row],[Date]],"mmm")</f>
        <v>Sep</v>
      </c>
    </row>
    <row r="830" spans="1:8" x14ac:dyDescent="0.25">
      <c r="A830" s="2">
        <v>45905</v>
      </c>
      <c r="B830" s="1" t="s">
        <v>11</v>
      </c>
      <c r="C830">
        <v>6210</v>
      </c>
      <c r="D830" s="1" t="s">
        <v>32</v>
      </c>
      <c r="E830" s="1" t="s">
        <v>38</v>
      </c>
      <c r="F830">
        <v>3647</v>
      </c>
      <c r="G830" s="1" t="str">
        <f>_xlfn.XLOOKUP(tblActuals[[#This Row],[GL Account]],tblGLMap[GL Account],tblGLMap[Cost Category])</f>
        <v>Utilities</v>
      </c>
      <c r="H830" s="1" t="str">
        <f>TEXT(tblActuals[[#This Row],[Date]],"mmm")</f>
        <v>Sep</v>
      </c>
    </row>
    <row r="831" spans="1:8" x14ac:dyDescent="0.25">
      <c r="A831" s="2">
        <v>45906</v>
      </c>
      <c r="B831" s="1" t="s">
        <v>11</v>
      </c>
      <c r="C831">
        <v>6210</v>
      </c>
      <c r="D831" s="1" t="s">
        <v>34</v>
      </c>
      <c r="E831" s="1" t="s">
        <v>38</v>
      </c>
      <c r="F831">
        <v>7672</v>
      </c>
      <c r="G831" s="1" t="str">
        <f>_xlfn.XLOOKUP(tblActuals[[#This Row],[GL Account]],tblGLMap[GL Account],tblGLMap[Cost Category])</f>
        <v>Utilities</v>
      </c>
      <c r="H831" s="1" t="str">
        <f>TEXT(tblActuals[[#This Row],[Date]],"mmm")</f>
        <v>Sep</v>
      </c>
    </row>
    <row r="832" spans="1:8" x14ac:dyDescent="0.25">
      <c r="A832" s="2">
        <v>45907</v>
      </c>
      <c r="B832" s="1" t="s">
        <v>11</v>
      </c>
      <c r="C832">
        <v>6210</v>
      </c>
      <c r="D832" s="1" t="s">
        <v>34</v>
      </c>
      <c r="E832" s="1" t="s">
        <v>38</v>
      </c>
      <c r="F832">
        <v>4158</v>
      </c>
      <c r="G832" s="1" t="str">
        <f>_xlfn.XLOOKUP(tblActuals[[#This Row],[GL Account]],tblGLMap[GL Account],tblGLMap[Cost Category])</f>
        <v>Utilities</v>
      </c>
      <c r="H832" s="1" t="str">
        <f>TEXT(tblActuals[[#This Row],[Date]],"mmm")</f>
        <v>Sep</v>
      </c>
    </row>
    <row r="833" spans="1:8" x14ac:dyDescent="0.25">
      <c r="A833" s="2">
        <v>45905</v>
      </c>
      <c r="B833" s="1" t="s">
        <v>11</v>
      </c>
      <c r="C833">
        <v>6220</v>
      </c>
      <c r="D833" s="1" t="s">
        <v>34</v>
      </c>
      <c r="E833" s="1" t="s">
        <v>40</v>
      </c>
      <c r="F833">
        <v>11735</v>
      </c>
      <c r="G833" s="1" t="str">
        <f>_xlfn.XLOOKUP(tblActuals[[#This Row],[GL Account]],tblGLMap[GL Account],tblGLMap[Cost Category])</f>
        <v>Utilities</v>
      </c>
      <c r="H833" s="1" t="str">
        <f>TEXT(tblActuals[[#This Row],[Date]],"mmm")</f>
        <v>Sep</v>
      </c>
    </row>
    <row r="834" spans="1:8" x14ac:dyDescent="0.25">
      <c r="A834" s="2">
        <v>45906</v>
      </c>
      <c r="B834" s="1" t="s">
        <v>11</v>
      </c>
      <c r="C834">
        <v>6220</v>
      </c>
      <c r="D834" s="1" t="s">
        <v>31</v>
      </c>
      <c r="E834" s="1" t="s">
        <v>40</v>
      </c>
      <c r="F834">
        <v>8670</v>
      </c>
      <c r="G834" s="1" t="str">
        <f>_xlfn.XLOOKUP(tblActuals[[#This Row],[GL Account]],tblGLMap[GL Account],tblGLMap[Cost Category])</f>
        <v>Utilities</v>
      </c>
      <c r="H834" s="1" t="str">
        <f>TEXT(tblActuals[[#This Row],[Date]],"mmm")</f>
        <v>Sep</v>
      </c>
    </row>
    <row r="835" spans="1:8" x14ac:dyDescent="0.25">
      <c r="A835" s="2">
        <v>45907</v>
      </c>
      <c r="B835" s="1" t="s">
        <v>11</v>
      </c>
      <c r="C835">
        <v>6220</v>
      </c>
      <c r="D835" s="1" t="s">
        <v>29</v>
      </c>
      <c r="E835" s="1" t="s">
        <v>40</v>
      </c>
      <c r="F835">
        <v>8231</v>
      </c>
      <c r="G835" s="1" t="str">
        <f>_xlfn.XLOOKUP(tblActuals[[#This Row],[GL Account]],tblGLMap[GL Account],tblGLMap[Cost Category])</f>
        <v>Utilities</v>
      </c>
      <c r="H835" s="1" t="str">
        <f>TEXT(tblActuals[[#This Row],[Date]],"mmm")</f>
        <v>Sep</v>
      </c>
    </row>
    <row r="836" spans="1:8" x14ac:dyDescent="0.25">
      <c r="A836" s="2">
        <v>45905</v>
      </c>
      <c r="B836" s="1" t="s">
        <v>11</v>
      </c>
      <c r="C836">
        <v>6310</v>
      </c>
      <c r="D836" s="1" t="s">
        <v>39</v>
      </c>
      <c r="E836" s="1" t="s">
        <v>41</v>
      </c>
      <c r="F836">
        <v>5391</v>
      </c>
      <c r="G836" s="1" t="str">
        <f>_xlfn.XLOOKUP(tblActuals[[#This Row],[GL Account]],tblGLMap[GL Account],tblGLMap[Cost Category])</f>
        <v>Maintenance &amp; Repairs</v>
      </c>
      <c r="H836" s="1" t="str">
        <f>TEXT(tblActuals[[#This Row],[Date]],"mmm")</f>
        <v>Sep</v>
      </c>
    </row>
    <row r="837" spans="1:8" x14ac:dyDescent="0.25">
      <c r="A837" s="2">
        <v>45906</v>
      </c>
      <c r="B837" s="1" t="s">
        <v>11</v>
      </c>
      <c r="C837">
        <v>6310</v>
      </c>
      <c r="D837" s="1" t="s">
        <v>29</v>
      </c>
      <c r="E837" s="1" t="s">
        <v>41</v>
      </c>
      <c r="F837">
        <v>11503</v>
      </c>
      <c r="G837" s="1" t="str">
        <f>_xlfn.XLOOKUP(tblActuals[[#This Row],[GL Account]],tblGLMap[GL Account],tblGLMap[Cost Category])</f>
        <v>Maintenance &amp; Repairs</v>
      </c>
      <c r="H837" s="1" t="str">
        <f>TEXT(tblActuals[[#This Row],[Date]],"mmm")</f>
        <v>Sep</v>
      </c>
    </row>
    <row r="838" spans="1:8" x14ac:dyDescent="0.25">
      <c r="A838" s="2">
        <v>45907</v>
      </c>
      <c r="B838" s="1" t="s">
        <v>11</v>
      </c>
      <c r="C838">
        <v>6310</v>
      </c>
      <c r="D838" s="1" t="s">
        <v>34</v>
      </c>
      <c r="E838" s="1" t="s">
        <v>41</v>
      </c>
      <c r="F838">
        <v>8855</v>
      </c>
      <c r="G838" s="1" t="str">
        <f>_xlfn.XLOOKUP(tblActuals[[#This Row],[GL Account]],tblGLMap[GL Account],tblGLMap[Cost Category])</f>
        <v>Maintenance &amp; Repairs</v>
      </c>
      <c r="H838" s="1" t="str">
        <f>TEXT(tblActuals[[#This Row],[Date]],"mmm")</f>
        <v>Sep</v>
      </c>
    </row>
    <row r="839" spans="1:8" x14ac:dyDescent="0.25">
      <c r="A839" s="2">
        <v>45905</v>
      </c>
      <c r="B839" s="1" t="s">
        <v>11</v>
      </c>
      <c r="C839">
        <v>6320</v>
      </c>
      <c r="D839" s="1" t="s">
        <v>34</v>
      </c>
      <c r="E839" s="1" t="s">
        <v>42</v>
      </c>
      <c r="F839">
        <v>10249</v>
      </c>
      <c r="G839" s="1" t="str">
        <f>_xlfn.XLOOKUP(tblActuals[[#This Row],[GL Account]],tblGLMap[GL Account],tblGLMap[Cost Category])</f>
        <v>Maintenance &amp; Repairs</v>
      </c>
      <c r="H839" s="1" t="str">
        <f>TEXT(tblActuals[[#This Row],[Date]],"mmm")</f>
        <v>Sep</v>
      </c>
    </row>
    <row r="840" spans="1:8" x14ac:dyDescent="0.25">
      <c r="A840" s="2">
        <v>45906</v>
      </c>
      <c r="B840" s="1" t="s">
        <v>11</v>
      </c>
      <c r="C840">
        <v>6320</v>
      </c>
      <c r="D840" s="1" t="s">
        <v>39</v>
      </c>
      <c r="E840" s="1" t="s">
        <v>42</v>
      </c>
      <c r="F840">
        <v>6570</v>
      </c>
      <c r="G840" s="1" t="str">
        <f>_xlfn.XLOOKUP(tblActuals[[#This Row],[GL Account]],tblGLMap[GL Account],tblGLMap[Cost Category])</f>
        <v>Maintenance &amp; Repairs</v>
      </c>
      <c r="H840" s="1" t="str">
        <f>TEXT(tblActuals[[#This Row],[Date]],"mmm")</f>
        <v>Sep</v>
      </c>
    </row>
    <row r="841" spans="1:8" x14ac:dyDescent="0.25">
      <c r="A841" s="2">
        <v>45907</v>
      </c>
      <c r="B841" s="1" t="s">
        <v>11</v>
      </c>
      <c r="C841">
        <v>6320</v>
      </c>
      <c r="D841" s="1" t="s">
        <v>29</v>
      </c>
      <c r="E841" s="1" t="s">
        <v>42</v>
      </c>
      <c r="F841">
        <v>4678</v>
      </c>
      <c r="G841" s="1" t="str">
        <f>_xlfn.XLOOKUP(tblActuals[[#This Row],[GL Account]],tblGLMap[GL Account],tblGLMap[Cost Category])</f>
        <v>Maintenance &amp; Repairs</v>
      </c>
      <c r="H841" s="1" t="str">
        <f>TEXT(tblActuals[[#This Row],[Date]],"mmm")</f>
        <v>Sep</v>
      </c>
    </row>
    <row r="842" spans="1:8" x14ac:dyDescent="0.25">
      <c r="A842" s="2">
        <v>45905</v>
      </c>
      <c r="B842" s="1" t="s">
        <v>12</v>
      </c>
      <c r="C842">
        <v>6010</v>
      </c>
      <c r="D842" s="1" t="s">
        <v>39</v>
      </c>
      <c r="E842" s="1" t="s">
        <v>30</v>
      </c>
      <c r="F842">
        <v>10845</v>
      </c>
      <c r="G842" s="1" t="str">
        <f>_xlfn.XLOOKUP(tblActuals[[#This Row],[GL Account]],tblGLMap[GL Account],tblGLMap[Cost Category])</f>
        <v>Labor</v>
      </c>
      <c r="H842" s="1" t="str">
        <f>TEXT(tblActuals[[#This Row],[Date]],"mmm")</f>
        <v>Sep</v>
      </c>
    </row>
    <row r="843" spans="1:8" x14ac:dyDescent="0.25">
      <c r="A843" s="2">
        <v>45906</v>
      </c>
      <c r="B843" s="1" t="s">
        <v>12</v>
      </c>
      <c r="C843">
        <v>6010</v>
      </c>
      <c r="D843" s="1" t="s">
        <v>29</v>
      </c>
      <c r="E843" s="1" t="s">
        <v>30</v>
      </c>
      <c r="F843">
        <v>9064</v>
      </c>
      <c r="G843" s="1" t="str">
        <f>_xlfn.XLOOKUP(tblActuals[[#This Row],[GL Account]],tblGLMap[GL Account],tblGLMap[Cost Category])</f>
        <v>Labor</v>
      </c>
      <c r="H843" s="1" t="str">
        <f>TEXT(tblActuals[[#This Row],[Date]],"mmm")</f>
        <v>Sep</v>
      </c>
    </row>
    <row r="844" spans="1:8" x14ac:dyDescent="0.25">
      <c r="A844" s="2">
        <v>45907</v>
      </c>
      <c r="B844" s="1" t="s">
        <v>12</v>
      </c>
      <c r="C844">
        <v>6010</v>
      </c>
      <c r="D844" s="1" t="s">
        <v>32</v>
      </c>
      <c r="E844" s="1" t="s">
        <v>30</v>
      </c>
      <c r="F844">
        <v>7756</v>
      </c>
      <c r="G844" s="1" t="str">
        <f>_xlfn.XLOOKUP(tblActuals[[#This Row],[GL Account]],tblGLMap[GL Account],tblGLMap[Cost Category])</f>
        <v>Labor</v>
      </c>
      <c r="H844" s="1" t="str">
        <f>TEXT(tblActuals[[#This Row],[Date]],"mmm")</f>
        <v>Sep</v>
      </c>
    </row>
    <row r="845" spans="1:8" x14ac:dyDescent="0.25">
      <c r="A845" s="2">
        <v>45905</v>
      </c>
      <c r="B845" s="1" t="s">
        <v>12</v>
      </c>
      <c r="C845">
        <v>6020</v>
      </c>
      <c r="D845" s="1" t="s">
        <v>39</v>
      </c>
      <c r="E845" s="1" t="s">
        <v>33</v>
      </c>
      <c r="F845">
        <v>10141</v>
      </c>
      <c r="G845" s="1" t="str">
        <f>_xlfn.XLOOKUP(tblActuals[[#This Row],[GL Account]],tblGLMap[GL Account],tblGLMap[Cost Category])</f>
        <v>Labor</v>
      </c>
      <c r="H845" s="1" t="str">
        <f>TEXT(tblActuals[[#This Row],[Date]],"mmm")</f>
        <v>Sep</v>
      </c>
    </row>
    <row r="846" spans="1:8" x14ac:dyDescent="0.25">
      <c r="A846" s="2">
        <v>45906</v>
      </c>
      <c r="B846" s="1" t="s">
        <v>12</v>
      </c>
      <c r="C846">
        <v>6020</v>
      </c>
      <c r="D846" s="1" t="s">
        <v>34</v>
      </c>
      <c r="E846" s="1" t="s">
        <v>33</v>
      </c>
      <c r="F846">
        <v>4155</v>
      </c>
      <c r="G846" s="1" t="str">
        <f>_xlfn.XLOOKUP(tblActuals[[#This Row],[GL Account]],tblGLMap[GL Account],tblGLMap[Cost Category])</f>
        <v>Labor</v>
      </c>
      <c r="H846" s="1" t="str">
        <f>TEXT(tblActuals[[#This Row],[Date]],"mmm")</f>
        <v>Sep</v>
      </c>
    </row>
    <row r="847" spans="1:8" x14ac:dyDescent="0.25">
      <c r="A847" s="2">
        <v>45907</v>
      </c>
      <c r="B847" s="1" t="s">
        <v>12</v>
      </c>
      <c r="C847">
        <v>6020</v>
      </c>
      <c r="D847" s="1" t="s">
        <v>34</v>
      </c>
      <c r="E847" s="1" t="s">
        <v>33</v>
      </c>
      <c r="F847">
        <v>11406</v>
      </c>
      <c r="G847" s="1" t="str">
        <f>_xlfn.XLOOKUP(tblActuals[[#This Row],[GL Account]],tblGLMap[GL Account],tblGLMap[Cost Category])</f>
        <v>Labor</v>
      </c>
      <c r="H847" s="1" t="str">
        <f>TEXT(tblActuals[[#This Row],[Date]],"mmm")</f>
        <v>Sep</v>
      </c>
    </row>
    <row r="848" spans="1:8" x14ac:dyDescent="0.25">
      <c r="A848" s="2">
        <v>45905</v>
      </c>
      <c r="B848" s="1" t="s">
        <v>12</v>
      </c>
      <c r="C848">
        <v>6110</v>
      </c>
      <c r="D848" s="1" t="s">
        <v>31</v>
      </c>
      <c r="E848" s="1" t="s">
        <v>36</v>
      </c>
      <c r="F848">
        <v>5596</v>
      </c>
      <c r="G848" s="1" t="str">
        <f>_xlfn.XLOOKUP(tblActuals[[#This Row],[GL Account]],tblGLMap[GL Account],tblGLMap[Cost Category])</f>
        <v>Supplies &amp; Inventory</v>
      </c>
      <c r="H848" s="1" t="str">
        <f>TEXT(tblActuals[[#This Row],[Date]],"mmm")</f>
        <v>Sep</v>
      </c>
    </row>
    <row r="849" spans="1:8" x14ac:dyDescent="0.25">
      <c r="A849" s="2">
        <v>45906</v>
      </c>
      <c r="B849" s="1" t="s">
        <v>12</v>
      </c>
      <c r="C849">
        <v>6110</v>
      </c>
      <c r="D849" s="1" t="s">
        <v>29</v>
      </c>
      <c r="E849" s="1" t="s">
        <v>36</v>
      </c>
      <c r="F849">
        <v>9373</v>
      </c>
      <c r="G849" s="1" t="str">
        <f>_xlfn.XLOOKUP(tblActuals[[#This Row],[GL Account]],tblGLMap[GL Account],tblGLMap[Cost Category])</f>
        <v>Supplies &amp; Inventory</v>
      </c>
      <c r="H849" s="1" t="str">
        <f>TEXT(tblActuals[[#This Row],[Date]],"mmm")</f>
        <v>Sep</v>
      </c>
    </row>
    <row r="850" spans="1:8" x14ac:dyDescent="0.25">
      <c r="A850" s="2">
        <v>45907</v>
      </c>
      <c r="B850" s="1" t="s">
        <v>12</v>
      </c>
      <c r="C850">
        <v>6110</v>
      </c>
      <c r="D850" s="1" t="s">
        <v>31</v>
      </c>
      <c r="E850" s="1" t="s">
        <v>36</v>
      </c>
      <c r="F850">
        <v>10585</v>
      </c>
      <c r="G850" s="1" t="str">
        <f>_xlfn.XLOOKUP(tblActuals[[#This Row],[GL Account]],tblGLMap[GL Account],tblGLMap[Cost Category])</f>
        <v>Supplies &amp; Inventory</v>
      </c>
      <c r="H850" s="1" t="str">
        <f>TEXT(tblActuals[[#This Row],[Date]],"mmm")</f>
        <v>Sep</v>
      </c>
    </row>
    <row r="851" spans="1:8" x14ac:dyDescent="0.25">
      <c r="A851" s="2">
        <v>45905</v>
      </c>
      <c r="B851" s="1" t="s">
        <v>12</v>
      </c>
      <c r="C851">
        <v>6120</v>
      </c>
      <c r="D851" s="1" t="s">
        <v>31</v>
      </c>
      <c r="E851" s="1" t="s">
        <v>37</v>
      </c>
      <c r="F851">
        <v>9952</v>
      </c>
      <c r="G851" s="1" t="str">
        <f>_xlfn.XLOOKUP(tblActuals[[#This Row],[GL Account]],tblGLMap[GL Account],tblGLMap[Cost Category])</f>
        <v>Supplies &amp; Inventory</v>
      </c>
      <c r="H851" s="1" t="str">
        <f>TEXT(tblActuals[[#This Row],[Date]],"mmm")</f>
        <v>Sep</v>
      </c>
    </row>
    <row r="852" spans="1:8" x14ac:dyDescent="0.25">
      <c r="A852" s="2">
        <v>45906</v>
      </c>
      <c r="B852" s="1" t="s">
        <v>12</v>
      </c>
      <c r="C852">
        <v>6120</v>
      </c>
      <c r="D852" s="1" t="s">
        <v>31</v>
      </c>
      <c r="E852" s="1" t="s">
        <v>37</v>
      </c>
      <c r="F852">
        <v>6170</v>
      </c>
      <c r="G852" s="1" t="str">
        <f>_xlfn.XLOOKUP(tblActuals[[#This Row],[GL Account]],tblGLMap[GL Account],tblGLMap[Cost Category])</f>
        <v>Supplies &amp; Inventory</v>
      </c>
      <c r="H852" s="1" t="str">
        <f>TEXT(tblActuals[[#This Row],[Date]],"mmm")</f>
        <v>Sep</v>
      </c>
    </row>
    <row r="853" spans="1:8" x14ac:dyDescent="0.25">
      <c r="A853" s="2">
        <v>45907</v>
      </c>
      <c r="B853" s="1" t="s">
        <v>12</v>
      </c>
      <c r="C853">
        <v>6120</v>
      </c>
      <c r="D853" s="1" t="s">
        <v>29</v>
      </c>
      <c r="E853" s="1" t="s">
        <v>37</v>
      </c>
      <c r="F853">
        <v>4126</v>
      </c>
      <c r="G853" s="1" t="str">
        <f>_xlfn.XLOOKUP(tblActuals[[#This Row],[GL Account]],tblGLMap[GL Account],tblGLMap[Cost Category])</f>
        <v>Supplies &amp; Inventory</v>
      </c>
      <c r="H853" s="1" t="str">
        <f>TEXT(tblActuals[[#This Row],[Date]],"mmm")</f>
        <v>Sep</v>
      </c>
    </row>
    <row r="854" spans="1:8" x14ac:dyDescent="0.25">
      <c r="A854" s="2">
        <v>45905</v>
      </c>
      <c r="B854" s="1" t="s">
        <v>12</v>
      </c>
      <c r="C854">
        <v>6210</v>
      </c>
      <c r="D854" s="1" t="s">
        <v>32</v>
      </c>
      <c r="E854" s="1" t="s">
        <v>38</v>
      </c>
      <c r="F854">
        <v>8861</v>
      </c>
      <c r="G854" s="1" t="str">
        <f>_xlfn.XLOOKUP(tblActuals[[#This Row],[GL Account]],tblGLMap[GL Account],tblGLMap[Cost Category])</f>
        <v>Utilities</v>
      </c>
      <c r="H854" s="1" t="str">
        <f>TEXT(tblActuals[[#This Row],[Date]],"mmm")</f>
        <v>Sep</v>
      </c>
    </row>
    <row r="855" spans="1:8" x14ac:dyDescent="0.25">
      <c r="A855" s="2">
        <v>45906</v>
      </c>
      <c r="B855" s="1" t="s">
        <v>12</v>
      </c>
      <c r="C855">
        <v>6210</v>
      </c>
      <c r="D855" s="1" t="s">
        <v>39</v>
      </c>
      <c r="E855" s="1" t="s">
        <v>38</v>
      </c>
      <c r="F855">
        <v>3914</v>
      </c>
      <c r="G855" s="1" t="str">
        <f>_xlfn.XLOOKUP(tblActuals[[#This Row],[GL Account]],tblGLMap[GL Account],tblGLMap[Cost Category])</f>
        <v>Utilities</v>
      </c>
      <c r="H855" s="1" t="str">
        <f>TEXT(tblActuals[[#This Row],[Date]],"mmm")</f>
        <v>Sep</v>
      </c>
    </row>
    <row r="856" spans="1:8" x14ac:dyDescent="0.25">
      <c r="A856" s="2">
        <v>45907</v>
      </c>
      <c r="B856" s="1" t="s">
        <v>12</v>
      </c>
      <c r="C856">
        <v>6210</v>
      </c>
      <c r="D856" s="1" t="s">
        <v>34</v>
      </c>
      <c r="E856" s="1" t="s">
        <v>38</v>
      </c>
      <c r="F856">
        <v>3002</v>
      </c>
      <c r="G856" s="1" t="str">
        <f>_xlfn.XLOOKUP(tblActuals[[#This Row],[GL Account]],tblGLMap[GL Account],tblGLMap[Cost Category])</f>
        <v>Utilities</v>
      </c>
      <c r="H856" s="1" t="str">
        <f>TEXT(tblActuals[[#This Row],[Date]],"mmm")</f>
        <v>Sep</v>
      </c>
    </row>
    <row r="857" spans="1:8" x14ac:dyDescent="0.25">
      <c r="A857" s="2">
        <v>45905</v>
      </c>
      <c r="B857" s="1" t="s">
        <v>12</v>
      </c>
      <c r="C857">
        <v>6220</v>
      </c>
      <c r="D857" s="1" t="s">
        <v>29</v>
      </c>
      <c r="E857" s="1" t="s">
        <v>40</v>
      </c>
      <c r="F857">
        <v>8891</v>
      </c>
      <c r="G857" s="1" t="str">
        <f>_xlfn.XLOOKUP(tblActuals[[#This Row],[GL Account]],tblGLMap[GL Account],tblGLMap[Cost Category])</f>
        <v>Utilities</v>
      </c>
      <c r="H857" s="1" t="str">
        <f>TEXT(tblActuals[[#This Row],[Date]],"mmm")</f>
        <v>Sep</v>
      </c>
    </row>
    <row r="858" spans="1:8" x14ac:dyDescent="0.25">
      <c r="A858" s="2">
        <v>45906</v>
      </c>
      <c r="B858" s="1" t="s">
        <v>12</v>
      </c>
      <c r="C858">
        <v>6220</v>
      </c>
      <c r="D858" s="1" t="s">
        <v>39</v>
      </c>
      <c r="E858" s="1" t="s">
        <v>40</v>
      </c>
      <c r="F858">
        <v>1936</v>
      </c>
      <c r="G858" s="1" t="str">
        <f>_xlfn.XLOOKUP(tblActuals[[#This Row],[GL Account]],tblGLMap[GL Account],tblGLMap[Cost Category])</f>
        <v>Utilities</v>
      </c>
      <c r="H858" s="1" t="str">
        <f>TEXT(tblActuals[[#This Row],[Date]],"mmm")</f>
        <v>Sep</v>
      </c>
    </row>
    <row r="859" spans="1:8" x14ac:dyDescent="0.25">
      <c r="A859" s="2">
        <v>45907</v>
      </c>
      <c r="B859" s="1" t="s">
        <v>12</v>
      </c>
      <c r="C859">
        <v>6220</v>
      </c>
      <c r="D859" s="1" t="s">
        <v>39</v>
      </c>
      <c r="E859" s="1" t="s">
        <v>40</v>
      </c>
      <c r="F859">
        <v>2372</v>
      </c>
      <c r="G859" s="1" t="str">
        <f>_xlfn.XLOOKUP(tblActuals[[#This Row],[GL Account]],tblGLMap[GL Account],tblGLMap[Cost Category])</f>
        <v>Utilities</v>
      </c>
      <c r="H859" s="1" t="str">
        <f>TEXT(tblActuals[[#This Row],[Date]],"mmm")</f>
        <v>Sep</v>
      </c>
    </row>
    <row r="860" spans="1:8" x14ac:dyDescent="0.25">
      <c r="A860" s="2">
        <v>45905</v>
      </c>
      <c r="B860" s="1" t="s">
        <v>12</v>
      </c>
      <c r="C860">
        <v>6310</v>
      </c>
      <c r="D860" s="1" t="s">
        <v>29</v>
      </c>
      <c r="E860" s="1" t="s">
        <v>41</v>
      </c>
      <c r="F860">
        <v>9724</v>
      </c>
      <c r="G860" s="1" t="str">
        <f>_xlfn.XLOOKUP(tblActuals[[#This Row],[GL Account]],tblGLMap[GL Account],tblGLMap[Cost Category])</f>
        <v>Maintenance &amp; Repairs</v>
      </c>
      <c r="H860" s="1" t="str">
        <f>TEXT(tblActuals[[#This Row],[Date]],"mmm")</f>
        <v>Sep</v>
      </c>
    </row>
    <row r="861" spans="1:8" x14ac:dyDescent="0.25">
      <c r="A861" s="2">
        <v>45906</v>
      </c>
      <c r="B861" s="1" t="s">
        <v>12</v>
      </c>
      <c r="C861">
        <v>6310</v>
      </c>
      <c r="D861" s="1" t="s">
        <v>39</v>
      </c>
      <c r="E861" s="1" t="s">
        <v>41</v>
      </c>
      <c r="F861">
        <v>5362</v>
      </c>
      <c r="G861" s="1" t="str">
        <f>_xlfn.XLOOKUP(tblActuals[[#This Row],[GL Account]],tblGLMap[GL Account],tblGLMap[Cost Category])</f>
        <v>Maintenance &amp; Repairs</v>
      </c>
      <c r="H861" s="1" t="str">
        <f>TEXT(tblActuals[[#This Row],[Date]],"mmm")</f>
        <v>Sep</v>
      </c>
    </row>
    <row r="862" spans="1:8" x14ac:dyDescent="0.25">
      <c r="A862" s="2">
        <v>45907</v>
      </c>
      <c r="B862" s="1" t="s">
        <v>12</v>
      </c>
      <c r="C862">
        <v>6310</v>
      </c>
      <c r="D862" s="1" t="s">
        <v>29</v>
      </c>
      <c r="E862" s="1" t="s">
        <v>41</v>
      </c>
      <c r="F862">
        <v>2837</v>
      </c>
      <c r="G862" s="1" t="str">
        <f>_xlfn.XLOOKUP(tblActuals[[#This Row],[GL Account]],tblGLMap[GL Account],tblGLMap[Cost Category])</f>
        <v>Maintenance &amp; Repairs</v>
      </c>
      <c r="H862" s="1" t="str">
        <f>TEXT(tblActuals[[#This Row],[Date]],"mmm")</f>
        <v>Sep</v>
      </c>
    </row>
    <row r="863" spans="1:8" x14ac:dyDescent="0.25">
      <c r="A863" s="2">
        <v>45905</v>
      </c>
      <c r="B863" s="1" t="s">
        <v>12</v>
      </c>
      <c r="C863">
        <v>6320</v>
      </c>
      <c r="D863" s="1" t="s">
        <v>31</v>
      </c>
      <c r="E863" s="1" t="s">
        <v>42</v>
      </c>
      <c r="F863">
        <v>5178</v>
      </c>
      <c r="G863" s="1" t="str">
        <f>_xlfn.XLOOKUP(tblActuals[[#This Row],[GL Account]],tblGLMap[GL Account],tblGLMap[Cost Category])</f>
        <v>Maintenance &amp; Repairs</v>
      </c>
      <c r="H863" s="1" t="str">
        <f>TEXT(tblActuals[[#This Row],[Date]],"mmm")</f>
        <v>Sep</v>
      </c>
    </row>
    <row r="864" spans="1:8" x14ac:dyDescent="0.25">
      <c r="A864" s="2">
        <v>45906</v>
      </c>
      <c r="B864" s="1" t="s">
        <v>12</v>
      </c>
      <c r="C864">
        <v>6320</v>
      </c>
      <c r="D864" s="1" t="s">
        <v>31</v>
      </c>
      <c r="E864" s="1" t="s">
        <v>42</v>
      </c>
      <c r="F864">
        <v>6721</v>
      </c>
      <c r="G864" s="1" t="str">
        <f>_xlfn.XLOOKUP(tblActuals[[#This Row],[GL Account]],tblGLMap[GL Account],tblGLMap[Cost Category])</f>
        <v>Maintenance &amp; Repairs</v>
      </c>
      <c r="H864" s="1" t="str">
        <f>TEXT(tblActuals[[#This Row],[Date]],"mmm")</f>
        <v>Sep</v>
      </c>
    </row>
    <row r="865" spans="1:8" x14ac:dyDescent="0.25">
      <c r="A865" s="2">
        <v>45907</v>
      </c>
      <c r="B865" s="1" t="s">
        <v>12</v>
      </c>
      <c r="C865">
        <v>6320</v>
      </c>
      <c r="D865" s="1" t="s">
        <v>34</v>
      </c>
      <c r="E865" s="1" t="s">
        <v>42</v>
      </c>
      <c r="F865">
        <v>6993</v>
      </c>
      <c r="G865" s="1" t="str">
        <f>_xlfn.XLOOKUP(tblActuals[[#This Row],[GL Account]],tblGLMap[GL Account],tblGLMap[Cost Category])</f>
        <v>Maintenance &amp; Repairs</v>
      </c>
      <c r="H865" s="1" t="str">
        <f>TEXT(tblActuals[[#This Row],[Date]],"mmm")</f>
        <v>Sep</v>
      </c>
    </row>
    <row r="866" spans="1:8" x14ac:dyDescent="0.25">
      <c r="A866" s="2">
        <v>45935</v>
      </c>
      <c r="B866" s="1" t="s">
        <v>5</v>
      </c>
      <c r="C866">
        <v>6010</v>
      </c>
      <c r="D866" s="1" t="s">
        <v>31</v>
      </c>
      <c r="E866" s="1" t="s">
        <v>30</v>
      </c>
      <c r="F866">
        <v>3754</v>
      </c>
      <c r="G866" s="1" t="str">
        <f>_xlfn.XLOOKUP(tblActuals[[#This Row],[GL Account]],tblGLMap[GL Account],tblGLMap[Cost Category])</f>
        <v>Labor</v>
      </c>
      <c r="H866" s="1" t="str">
        <f>TEXT(tblActuals[[#This Row],[Date]],"mmm")</f>
        <v>Oct</v>
      </c>
    </row>
    <row r="867" spans="1:8" x14ac:dyDescent="0.25">
      <c r="A867" s="2">
        <v>45936</v>
      </c>
      <c r="B867" s="1" t="s">
        <v>5</v>
      </c>
      <c r="C867">
        <v>6010</v>
      </c>
      <c r="D867" s="1" t="s">
        <v>39</v>
      </c>
      <c r="E867" s="1" t="s">
        <v>30</v>
      </c>
      <c r="F867">
        <v>6200</v>
      </c>
      <c r="G867" s="1" t="str">
        <f>_xlfn.XLOOKUP(tblActuals[[#This Row],[GL Account]],tblGLMap[GL Account],tblGLMap[Cost Category])</f>
        <v>Labor</v>
      </c>
      <c r="H867" s="1" t="str">
        <f>TEXT(tblActuals[[#This Row],[Date]],"mmm")</f>
        <v>Oct</v>
      </c>
    </row>
    <row r="868" spans="1:8" x14ac:dyDescent="0.25">
      <c r="A868" s="2">
        <v>45937</v>
      </c>
      <c r="B868" s="1" t="s">
        <v>5</v>
      </c>
      <c r="C868">
        <v>6010</v>
      </c>
      <c r="D868" s="1" t="s">
        <v>35</v>
      </c>
      <c r="E868" s="1" t="s">
        <v>30</v>
      </c>
      <c r="F868">
        <v>3773</v>
      </c>
      <c r="G868" s="1" t="str">
        <f>_xlfn.XLOOKUP(tblActuals[[#This Row],[GL Account]],tblGLMap[GL Account],tblGLMap[Cost Category])</f>
        <v>Labor</v>
      </c>
      <c r="H868" s="1" t="str">
        <f>TEXT(tblActuals[[#This Row],[Date]],"mmm")</f>
        <v>Oct</v>
      </c>
    </row>
    <row r="869" spans="1:8" x14ac:dyDescent="0.25">
      <c r="A869" s="2">
        <v>45935</v>
      </c>
      <c r="B869" s="1" t="s">
        <v>5</v>
      </c>
      <c r="C869">
        <v>6020</v>
      </c>
      <c r="D869" s="1" t="s">
        <v>39</v>
      </c>
      <c r="E869" s="1" t="s">
        <v>33</v>
      </c>
      <c r="F869">
        <v>9185</v>
      </c>
      <c r="G869" s="1" t="str">
        <f>_xlfn.XLOOKUP(tblActuals[[#This Row],[GL Account]],tblGLMap[GL Account],tblGLMap[Cost Category])</f>
        <v>Labor</v>
      </c>
      <c r="H869" s="1" t="str">
        <f>TEXT(tblActuals[[#This Row],[Date]],"mmm")</f>
        <v>Oct</v>
      </c>
    </row>
    <row r="870" spans="1:8" x14ac:dyDescent="0.25">
      <c r="A870" s="2">
        <v>45936</v>
      </c>
      <c r="B870" s="1" t="s">
        <v>5</v>
      </c>
      <c r="C870">
        <v>6020</v>
      </c>
      <c r="D870" s="1" t="s">
        <v>31</v>
      </c>
      <c r="E870" s="1" t="s">
        <v>33</v>
      </c>
      <c r="F870">
        <v>11581</v>
      </c>
      <c r="G870" s="1" t="str">
        <f>_xlfn.XLOOKUP(tblActuals[[#This Row],[GL Account]],tblGLMap[GL Account],tblGLMap[Cost Category])</f>
        <v>Labor</v>
      </c>
      <c r="H870" s="1" t="str">
        <f>TEXT(tblActuals[[#This Row],[Date]],"mmm")</f>
        <v>Oct</v>
      </c>
    </row>
    <row r="871" spans="1:8" x14ac:dyDescent="0.25">
      <c r="A871" s="2">
        <v>45937</v>
      </c>
      <c r="B871" s="1" t="s">
        <v>5</v>
      </c>
      <c r="C871">
        <v>6020</v>
      </c>
      <c r="D871" s="1" t="s">
        <v>31</v>
      </c>
      <c r="E871" s="1" t="s">
        <v>33</v>
      </c>
      <c r="F871">
        <v>2798</v>
      </c>
      <c r="G871" s="1" t="str">
        <f>_xlfn.XLOOKUP(tblActuals[[#This Row],[GL Account]],tblGLMap[GL Account],tblGLMap[Cost Category])</f>
        <v>Labor</v>
      </c>
      <c r="H871" s="1" t="str">
        <f>TEXT(tblActuals[[#This Row],[Date]],"mmm")</f>
        <v>Oct</v>
      </c>
    </row>
    <row r="872" spans="1:8" x14ac:dyDescent="0.25">
      <c r="A872" s="2">
        <v>45935</v>
      </c>
      <c r="B872" s="1" t="s">
        <v>5</v>
      </c>
      <c r="C872">
        <v>6110</v>
      </c>
      <c r="D872" s="1" t="s">
        <v>34</v>
      </c>
      <c r="E872" s="1" t="s">
        <v>36</v>
      </c>
      <c r="F872">
        <v>5693</v>
      </c>
      <c r="G872" s="1" t="str">
        <f>_xlfn.XLOOKUP(tblActuals[[#This Row],[GL Account]],tblGLMap[GL Account],tblGLMap[Cost Category])</f>
        <v>Supplies &amp; Inventory</v>
      </c>
      <c r="H872" s="1" t="str">
        <f>TEXT(tblActuals[[#This Row],[Date]],"mmm")</f>
        <v>Oct</v>
      </c>
    </row>
    <row r="873" spans="1:8" x14ac:dyDescent="0.25">
      <c r="A873" s="2">
        <v>45936</v>
      </c>
      <c r="B873" s="1" t="s">
        <v>5</v>
      </c>
      <c r="C873">
        <v>6110</v>
      </c>
      <c r="D873" s="1" t="s">
        <v>32</v>
      </c>
      <c r="E873" s="1" t="s">
        <v>36</v>
      </c>
      <c r="F873">
        <v>3949</v>
      </c>
      <c r="G873" s="1" t="str">
        <f>_xlfn.XLOOKUP(tblActuals[[#This Row],[GL Account]],tblGLMap[GL Account],tblGLMap[Cost Category])</f>
        <v>Supplies &amp; Inventory</v>
      </c>
      <c r="H873" s="1" t="str">
        <f>TEXT(tblActuals[[#This Row],[Date]],"mmm")</f>
        <v>Oct</v>
      </c>
    </row>
    <row r="874" spans="1:8" x14ac:dyDescent="0.25">
      <c r="A874" s="2">
        <v>45937</v>
      </c>
      <c r="B874" s="1" t="s">
        <v>5</v>
      </c>
      <c r="C874">
        <v>6110</v>
      </c>
      <c r="D874" s="1" t="s">
        <v>32</v>
      </c>
      <c r="E874" s="1" t="s">
        <v>36</v>
      </c>
      <c r="F874">
        <v>11475</v>
      </c>
      <c r="G874" s="1" t="str">
        <f>_xlfn.XLOOKUP(tblActuals[[#This Row],[GL Account]],tblGLMap[GL Account],tblGLMap[Cost Category])</f>
        <v>Supplies &amp; Inventory</v>
      </c>
      <c r="H874" s="1" t="str">
        <f>TEXT(tblActuals[[#This Row],[Date]],"mmm")</f>
        <v>Oct</v>
      </c>
    </row>
    <row r="875" spans="1:8" x14ac:dyDescent="0.25">
      <c r="A875" s="2">
        <v>45935</v>
      </c>
      <c r="B875" s="1" t="s">
        <v>5</v>
      </c>
      <c r="C875">
        <v>6120</v>
      </c>
      <c r="D875" s="1" t="s">
        <v>31</v>
      </c>
      <c r="E875" s="1" t="s">
        <v>37</v>
      </c>
      <c r="F875">
        <v>8434</v>
      </c>
      <c r="G875" s="1" t="str">
        <f>_xlfn.XLOOKUP(tblActuals[[#This Row],[GL Account]],tblGLMap[GL Account],tblGLMap[Cost Category])</f>
        <v>Supplies &amp; Inventory</v>
      </c>
      <c r="H875" s="1" t="str">
        <f>TEXT(tblActuals[[#This Row],[Date]],"mmm")</f>
        <v>Oct</v>
      </c>
    </row>
    <row r="876" spans="1:8" x14ac:dyDescent="0.25">
      <c r="A876" s="2">
        <v>45936</v>
      </c>
      <c r="B876" s="1" t="s">
        <v>5</v>
      </c>
      <c r="C876">
        <v>6120</v>
      </c>
      <c r="D876" s="1" t="s">
        <v>34</v>
      </c>
      <c r="E876" s="1" t="s">
        <v>37</v>
      </c>
      <c r="F876">
        <v>6220</v>
      </c>
      <c r="G876" s="1" t="str">
        <f>_xlfn.XLOOKUP(tblActuals[[#This Row],[GL Account]],tblGLMap[GL Account],tblGLMap[Cost Category])</f>
        <v>Supplies &amp; Inventory</v>
      </c>
      <c r="H876" s="1" t="str">
        <f>TEXT(tblActuals[[#This Row],[Date]],"mmm")</f>
        <v>Oct</v>
      </c>
    </row>
    <row r="877" spans="1:8" x14ac:dyDescent="0.25">
      <c r="A877" s="2">
        <v>45937</v>
      </c>
      <c r="B877" s="1" t="s">
        <v>5</v>
      </c>
      <c r="C877">
        <v>6120</v>
      </c>
      <c r="D877" s="1" t="s">
        <v>31</v>
      </c>
      <c r="E877" s="1" t="s">
        <v>37</v>
      </c>
      <c r="F877">
        <v>6434</v>
      </c>
      <c r="G877" s="1" t="str">
        <f>_xlfn.XLOOKUP(tblActuals[[#This Row],[GL Account]],tblGLMap[GL Account],tblGLMap[Cost Category])</f>
        <v>Supplies &amp; Inventory</v>
      </c>
      <c r="H877" s="1" t="str">
        <f>TEXT(tblActuals[[#This Row],[Date]],"mmm")</f>
        <v>Oct</v>
      </c>
    </row>
    <row r="878" spans="1:8" x14ac:dyDescent="0.25">
      <c r="A878" s="2">
        <v>45935</v>
      </c>
      <c r="B878" s="1" t="s">
        <v>5</v>
      </c>
      <c r="C878">
        <v>6210</v>
      </c>
      <c r="D878" s="1" t="s">
        <v>34</v>
      </c>
      <c r="E878" s="1" t="s">
        <v>38</v>
      </c>
      <c r="F878">
        <v>2282</v>
      </c>
      <c r="G878" s="1" t="str">
        <f>_xlfn.XLOOKUP(tblActuals[[#This Row],[GL Account]],tblGLMap[GL Account],tblGLMap[Cost Category])</f>
        <v>Utilities</v>
      </c>
      <c r="H878" s="1" t="str">
        <f>TEXT(tblActuals[[#This Row],[Date]],"mmm")</f>
        <v>Oct</v>
      </c>
    </row>
    <row r="879" spans="1:8" x14ac:dyDescent="0.25">
      <c r="A879" s="2">
        <v>45936</v>
      </c>
      <c r="B879" s="1" t="s">
        <v>5</v>
      </c>
      <c r="C879">
        <v>6210</v>
      </c>
      <c r="D879" s="1" t="s">
        <v>35</v>
      </c>
      <c r="E879" s="1" t="s">
        <v>38</v>
      </c>
      <c r="F879">
        <v>8378</v>
      </c>
      <c r="G879" s="1" t="str">
        <f>_xlfn.XLOOKUP(tblActuals[[#This Row],[GL Account]],tblGLMap[GL Account],tblGLMap[Cost Category])</f>
        <v>Utilities</v>
      </c>
      <c r="H879" s="1" t="str">
        <f>TEXT(tblActuals[[#This Row],[Date]],"mmm")</f>
        <v>Oct</v>
      </c>
    </row>
    <row r="880" spans="1:8" x14ac:dyDescent="0.25">
      <c r="A880" s="2">
        <v>45937</v>
      </c>
      <c r="B880" s="1" t="s">
        <v>5</v>
      </c>
      <c r="C880">
        <v>6210</v>
      </c>
      <c r="D880" s="1" t="s">
        <v>39</v>
      </c>
      <c r="E880" s="1" t="s">
        <v>38</v>
      </c>
      <c r="F880">
        <v>11704</v>
      </c>
      <c r="G880" s="1" t="str">
        <f>_xlfn.XLOOKUP(tblActuals[[#This Row],[GL Account]],tblGLMap[GL Account],tblGLMap[Cost Category])</f>
        <v>Utilities</v>
      </c>
      <c r="H880" s="1" t="str">
        <f>TEXT(tblActuals[[#This Row],[Date]],"mmm")</f>
        <v>Oct</v>
      </c>
    </row>
    <row r="881" spans="1:8" x14ac:dyDescent="0.25">
      <c r="A881" s="2">
        <v>45935</v>
      </c>
      <c r="B881" s="1" t="s">
        <v>5</v>
      </c>
      <c r="C881">
        <v>6220</v>
      </c>
      <c r="D881" s="1" t="s">
        <v>31</v>
      </c>
      <c r="E881" s="1" t="s">
        <v>40</v>
      </c>
      <c r="F881">
        <v>2529</v>
      </c>
      <c r="G881" s="1" t="str">
        <f>_xlfn.XLOOKUP(tblActuals[[#This Row],[GL Account]],tblGLMap[GL Account],tblGLMap[Cost Category])</f>
        <v>Utilities</v>
      </c>
      <c r="H881" s="1" t="str">
        <f>TEXT(tblActuals[[#This Row],[Date]],"mmm")</f>
        <v>Oct</v>
      </c>
    </row>
    <row r="882" spans="1:8" x14ac:dyDescent="0.25">
      <c r="A882" s="2">
        <v>45936</v>
      </c>
      <c r="B882" s="1" t="s">
        <v>5</v>
      </c>
      <c r="C882">
        <v>6220</v>
      </c>
      <c r="D882" s="1" t="s">
        <v>32</v>
      </c>
      <c r="E882" s="1" t="s">
        <v>40</v>
      </c>
      <c r="F882">
        <v>9689</v>
      </c>
      <c r="G882" s="1" t="str">
        <f>_xlfn.XLOOKUP(tblActuals[[#This Row],[GL Account]],tblGLMap[GL Account],tblGLMap[Cost Category])</f>
        <v>Utilities</v>
      </c>
      <c r="H882" s="1" t="str">
        <f>TEXT(tblActuals[[#This Row],[Date]],"mmm")</f>
        <v>Oct</v>
      </c>
    </row>
    <row r="883" spans="1:8" x14ac:dyDescent="0.25">
      <c r="A883" s="2">
        <v>45937</v>
      </c>
      <c r="B883" s="1" t="s">
        <v>5</v>
      </c>
      <c r="C883">
        <v>6220</v>
      </c>
      <c r="D883" s="1" t="s">
        <v>31</v>
      </c>
      <c r="E883" s="1" t="s">
        <v>40</v>
      </c>
      <c r="F883">
        <v>10282</v>
      </c>
      <c r="G883" s="1" t="str">
        <f>_xlfn.XLOOKUP(tblActuals[[#This Row],[GL Account]],tblGLMap[GL Account],tblGLMap[Cost Category])</f>
        <v>Utilities</v>
      </c>
      <c r="H883" s="1" t="str">
        <f>TEXT(tblActuals[[#This Row],[Date]],"mmm")</f>
        <v>Oct</v>
      </c>
    </row>
    <row r="884" spans="1:8" x14ac:dyDescent="0.25">
      <c r="A884" s="2">
        <v>45935</v>
      </c>
      <c r="B884" s="1" t="s">
        <v>5</v>
      </c>
      <c r="C884">
        <v>6310</v>
      </c>
      <c r="D884" s="1" t="s">
        <v>32</v>
      </c>
      <c r="E884" s="1" t="s">
        <v>41</v>
      </c>
      <c r="F884">
        <v>11853</v>
      </c>
      <c r="G884" s="1" t="str">
        <f>_xlfn.XLOOKUP(tblActuals[[#This Row],[GL Account]],tblGLMap[GL Account],tblGLMap[Cost Category])</f>
        <v>Maintenance &amp; Repairs</v>
      </c>
      <c r="H884" s="1" t="str">
        <f>TEXT(tblActuals[[#This Row],[Date]],"mmm")</f>
        <v>Oct</v>
      </c>
    </row>
    <row r="885" spans="1:8" x14ac:dyDescent="0.25">
      <c r="A885" s="2">
        <v>45936</v>
      </c>
      <c r="B885" s="1" t="s">
        <v>5</v>
      </c>
      <c r="C885">
        <v>6310</v>
      </c>
      <c r="D885" s="1" t="s">
        <v>34</v>
      </c>
      <c r="E885" s="1" t="s">
        <v>41</v>
      </c>
      <c r="F885">
        <v>10921</v>
      </c>
      <c r="G885" s="1" t="str">
        <f>_xlfn.XLOOKUP(tblActuals[[#This Row],[GL Account]],tblGLMap[GL Account],tblGLMap[Cost Category])</f>
        <v>Maintenance &amp; Repairs</v>
      </c>
      <c r="H885" s="1" t="str">
        <f>TEXT(tblActuals[[#This Row],[Date]],"mmm")</f>
        <v>Oct</v>
      </c>
    </row>
    <row r="886" spans="1:8" x14ac:dyDescent="0.25">
      <c r="A886" s="2">
        <v>45937</v>
      </c>
      <c r="B886" s="1" t="s">
        <v>5</v>
      </c>
      <c r="C886">
        <v>6310</v>
      </c>
      <c r="D886" s="1" t="s">
        <v>29</v>
      </c>
      <c r="E886" s="1" t="s">
        <v>41</v>
      </c>
      <c r="F886">
        <v>3852</v>
      </c>
      <c r="G886" s="1" t="str">
        <f>_xlfn.XLOOKUP(tblActuals[[#This Row],[GL Account]],tblGLMap[GL Account],tblGLMap[Cost Category])</f>
        <v>Maintenance &amp; Repairs</v>
      </c>
      <c r="H886" s="1" t="str">
        <f>TEXT(tblActuals[[#This Row],[Date]],"mmm")</f>
        <v>Oct</v>
      </c>
    </row>
    <row r="887" spans="1:8" x14ac:dyDescent="0.25">
      <c r="A887" s="2">
        <v>45935</v>
      </c>
      <c r="B887" s="1" t="s">
        <v>5</v>
      </c>
      <c r="C887">
        <v>6320</v>
      </c>
      <c r="D887" s="1" t="s">
        <v>31</v>
      </c>
      <c r="E887" s="1" t="s">
        <v>42</v>
      </c>
      <c r="F887">
        <v>8532</v>
      </c>
      <c r="G887" s="1" t="str">
        <f>_xlfn.XLOOKUP(tblActuals[[#This Row],[GL Account]],tblGLMap[GL Account],tblGLMap[Cost Category])</f>
        <v>Maintenance &amp; Repairs</v>
      </c>
      <c r="H887" s="1" t="str">
        <f>TEXT(tblActuals[[#This Row],[Date]],"mmm")</f>
        <v>Oct</v>
      </c>
    </row>
    <row r="888" spans="1:8" x14ac:dyDescent="0.25">
      <c r="A888" s="2">
        <v>45936</v>
      </c>
      <c r="B888" s="1" t="s">
        <v>5</v>
      </c>
      <c r="C888">
        <v>6320</v>
      </c>
      <c r="D888" s="1" t="s">
        <v>29</v>
      </c>
      <c r="E888" s="1" t="s">
        <v>42</v>
      </c>
      <c r="F888">
        <v>11573</v>
      </c>
      <c r="G888" s="1" t="str">
        <f>_xlfn.XLOOKUP(tblActuals[[#This Row],[GL Account]],tblGLMap[GL Account],tblGLMap[Cost Category])</f>
        <v>Maintenance &amp; Repairs</v>
      </c>
      <c r="H888" s="1" t="str">
        <f>TEXT(tblActuals[[#This Row],[Date]],"mmm")</f>
        <v>Oct</v>
      </c>
    </row>
    <row r="889" spans="1:8" x14ac:dyDescent="0.25">
      <c r="A889" s="2">
        <v>45937</v>
      </c>
      <c r="B889" s="1" t="s">
        <v>5</v>
      </c>
      <c r="C889">
        <v>6320</v>
      </c>
      <c r="D889" s="1" t="s">
        <v>32</v>
      </c>
      <c r="E889" s="1" t="s">
        <v>42</v>
      </c>
      <c r="F889">
        <v>5441</v>
      </c>
      <c r="G889" s="1" t="str">
        <f>_xlfn.XLOOKUP(tblActuals[[#This Row],[GL Account]],tblGLMap[GL Account],tblGLMap[Cost Category])</f>
        <v>Maintenance &amp; Repairs</v>
      </c>
      <c r="H889" s="1" t="str">
        <f>TEXT(tblActuals[[#This Row],[Date]],"mmm")</f>
        <v>Oct</v>
      </c>
    </row>
    <row r="890" spans="1:8" x14ac:dyDescent="0.25">
      <c r="A890" s="2">
        <v>45935</v>
      </c>
      <c r="B890" s="1" t="s">
        <v>10</v>
      </c>
      <c r="C890">
        <v>6010</v>
      </c>
      <c r="D890" s="1" t="s">
        <v>34</v>
      </c>
      <c r="E890" s="1" t="s">
        <v>30</v>
      </c>
      <c r="F890">
        <v>8325</v>
      </c>
      <c r="G890" s="1" t="str">
        <f>_xlfn.XLOOKUP(tblActuals[[#This Row],[GL Account]],tblGLMap[GL Account],tblGLMap[Cost Category])</f>
        <v>Labor</v>
      </c>
      <c r="H890" s="1" t="str">
        <f>TEXT(tblActuals[[#This Row],[Date]],"mmm")</f>
        <v>Oct</v>
      </c>
    </row>
    <row r="891" spans="1:8" x14ac:dyDescent="0.25">
      <c r="A891" s="2">
        <v>45936</v>
      </c>
      <c r="B891" s="1" t="s">
        <v>10</v>
      </c>
      <c r="C891">
        <v>6010</v>
      </c>
      <c r="D891" s="1" t="s">
        <v>32</v>
      </c>
      <c r="E891" s="1" t="s">
        <v>30</v>
      </c>
      <c r="F891">
        <v>2902</v>
      </c>
      <c r="G891" s="1" t="str">
        <f>_xlfn.XLOOKUP(tblActuals[[#This Row],[GL Account]],tblGLMap[GL Account],tblGLMap[Cost Category])</f>
        <v>Labor</v>
      </c>
      <c r="H891" s="1" t="str">
        <f>TEXT(tblActuals[[#This Row],[Date]],"mmm")</f>
        <v>Oct</v>
      </c>
    </row>
    <row r="892" spans="1:8" x14ac:dyDescent="0.25">
      <c r="A892" s="2">
        <v>45937</v>
      </c>
      <c r="B892" s="1" t="s">
        <v>10</v>
      </c>
      <c r="C892">
        <v>6010</v>
      </c>
      <c r="D892" s="1" t="s">
        <v>31</v>
      </c>
      <c r="E892" s="1" t="s">
        <v>30</v>
      </c>
      <c r="F892">
        <v>7408</v>
      </c>
      <c r="G892" s="1" t="str">
        <f>_xlfn.XLOOKUP(tblActuals[[#This Row],[GL Account]],tblGLMap[GL Account],tblGLMap[Cost Category])</f>
        <v>Labor</v>
      </c>
      <c r="H892" s="1" t="str">
        <f>TEXT(tblActuals[[#This Row],[Date]],"mmm")</f>
        <v>Oct</v>
      </c>
    </row>
    <row r="893" spans="1:8" x14ac:dyDescent="0.25">
      <c r="A893" s="2">
        <v>45935</v>
      </c>
      <c r="B893" s="1" t="s">
        <v>10</v>
      </c>
      <c r="C893">
        <v>6020</v>
      </c>
      <c r="D893" s="1" t="s">
        <v>32</v>
      </c>
      <c r="E893" s="1" t="s">
        <v>33</v>
      </c>
      <c r="F893">
        <v>10118</v>
      </c>
      <c r="G893" s="1" t="str">
        <f>_xlfn.XLOOKUP(tblActuals[[#This Row],[GL Account]],tblGLMap[GL Account],tblGLMap[Cost Category])</f>
        <v>Labor</v>
      </c>
      <c r="H893" s="1" t="str">
        <f>TEXT(tblActuals[[#This Row],[Date]],"mmm")</f>
        <v>Oct</v>
      </c>
    </row>
    <row r="894" spans="1:8" x14ac:dyDescent="0.25">
      <c r="A894" s="2">
        <v>45936</v>
      </c>
      <c r="B894" s="1" t="s">
        <v>10</v>
      </c>
      <c r="C894">
        <v>6020</v>
      </c>
      <c r="D894" s="1" t="s">
        <v>32</v>
      </c>
      <c r="E894" s="1" t="s">
        <v>33</v>
      </c>
      <c r="F894">
        <v>9812</v>
      </c>
      <c r="G894" s="1" t="str">
        <f>_xlfn.XLOOKUP(tblActuals[[#This Row],[GL Account]],tblGLMap[GL Account],tblGLMap[Cost Category])</f>
        <v>Labor</v>
      </c>
      <c r="H894" s="1" t="str">
        <f>TEXT(tblActuals[[#This Row],[Date]],"mmm")</f>
        <v>Oct</v>
      </c>
    </row>
    <row r="895" spans="1:8" x14ac:dyDescent="0.25">
      <c r="A895" s="2">
        <v>45937</v>
      </c>
      <c r="B895" s="1" t="s">
        <v>10</v>
      </c>
      <c r="C895">
        <v>6020</v>
      </c>
      <c r="D895" s="1" t="s">
        <v>31</v>
      </c>
      <c r="E895" s="1" t="s">
        <v>33</v>
      </c>
      <c r="F895">
        <v>10579</v>
      </c>
      <c r="G895" s="1" t="str">
        <f>_xlfn.XLOOKUP(tblActuals[[#This Row],[GL Account]],tblGLMap[GL Account],tblGLMap[Cost Category])</f>
        <v>Labor</v>
      </c>
      <c r="H895" s="1" t="str">
        <f>TEXT(tblActuals[[#This Row],[Date]],"mmm")</f>
        <v>Oct</v>
      </c>
    </row>
    <row r="896" spans="1:8" x14ac:dyDescent="0.25">
      <c r="A896" s="2">
        <v>45935</v>
      </c>
      <c r="B896" s="1" t="s">
        <v>10</v>
      </c>
      <c r="C896">
        <v>6110</v>
      </c>
      <c r="D896" s="1" t="s">
        <v>39</v>
      </c>
      <c r="E896" s="1" t="s">
        <v>36</v>
      </c>
      <c r="F896">
        <v>7897</v>
      </c>
      <c r="G896" s="1" t="str">
        <f>_xlfn.XLOOKUP(tblActuals[[#This Row],[GL Account]],tblGLMap[GL Account],tblGLMap[Cost Category])</f>
        <v>Supplies &amp; Inventory</v>
      </c>
      <c r="H896" s="1" t="str">
        <f>TEXT(tblActuals[[#This Row],[Date]],"mmm")</f>
        <v>Oct</v>
      </c>
    </row>
    <row r="897" spans="1:8" x14ac:dyDescent="0.25">
      <c r="A897" s="2">
        <v>45936</v>
      </c>
      <c r="B897" s="1" t="s">
        <v>10</v>
      </c>
      <c r="C897">
        <v>6110</v>
      </c>
      <c r="D897" s="1" t="s">
        <v>35</v>
      </c>
      <c r="E897" s="1" t="s">
        <v>36</v>
      </c>
      <c r="F897">
        <v>2213</v>
      </c>
      <c r="G897" s="1" t="str">
        <f>_xlfn.XLOOKUP(tblActuals[[#This Row],[GL Account]],tblGLMap[GL Account],tblGLMap[Cost Category])</f>
        <v>Supplies &amp; Inventory</v>
      </c>
      <c r="H897" s="1" t="str">
        <f>TEXT(tblActuals[[#This Row],[Date]],"mmm")</f>
        <v>Oct</v>
      </c>
    </row>
    <row r="898" spans="1:8" x14ac:dyDescent="0.25">
      <c r="A898" s="2">
        <v>45937</v>
      </c>
      <c r="B898" s="1" t="s">
        <v>10</v>
      </c>
      <c r="C898">
        <v>6110</v>
      </c>
      <c r="D898" s="1" t="s">
        <v>29</v>
      </c>
      <c r="E898" s="1" t="s">
        <v>36</v>
      </c>
      <c r="F898">
        <v>7838</v>
      </c>
      <c r="G898" s="1" t="str">
        <f>_xlfn.XLOOKUP(tblActuals[[#This Row],[GL Account]],tblGLMap[GL Account],tblGLMap[Cost Category])</f>
        <v>Supplies &amp; Inventory</v>
      </c>
      <c r="H898" s="1" t="str">
        <f>TEXT(tblActuals[[#This Row],[Date]],"mmm")</f>
        <v>Oct</v>
      </c>
    </row>
    <row r="899" spans="1:8" x14ac:dyDescent="0.25">
      <c r="A899" s="2">
        <v>45935</v>
      </c>
      <c r="B899" s="1" t="s">
        <v>10</v>
      </c>
      <c r="C899">
        <v>6120</v>
      </c>
      <c r="D899" s="1" t="s">
        <v>35</v>
      </c>
      <c r="E899" s="1" t="s">
        <v>37</v>
      </c>
      <c r="F899">
        <v>5655</v>
      </c>
      <c r="G899" s="1" t="str">
        <f>_xlfn.XLOOKUP(tblActuals[[#This Row],[GL Account]],tblGLMap[GL Account],tblGLMap[Cost Category])</f>
        <v>Supplies &amp; Inventory</v>
      </c>
      <c r="H899" s="1" t="str">
        <f>TEXT(tblActuals[[#This Row],[Date]],"mmm")</f>
        <v>Oct</v>
      </c>
    </row>
    <row r="900" spans="1:8" x14ac:dyDescent="0.25">
      <c r="A900" s="2">
        <v>45936</v>
      </c>
      <c r="B900" s="1" t="s">
        <v>10</v>
      </c>
      <c r="C900">
        <v>6120</v>
      </c>
      <c r="D900" s="1" t="s">
        <v>29</v>
      </c>
      <c r="E900" s="1" t="s">
        <v>37</v>
      </c>
      <c r="F900">
        <v>1766</v>
      </c>
      <c r="G900" s="1" t="str">
        <f>_xlfn.XLOOKUP(tblActuals[[#This Row],[GL Account]],tblGLMap[GL Account],tblGLMap[Cost Category])</f>
        <v>Supplies &amp; Inventory</v>
      </c>
      <c r="H900" s="1" t="str">
        <f>TEXT(tblActuals[[#This Row],[Date]],"mmm")</f>
        <v>Oct</v>
      </c>
    </row>
    <row r="901" spans="1:8" x14ac:dyDescent="0.25">
      <c r="A901" s="2">
        <v>45937</v>
      </c>
      <c r="B901" s="1" t="s">
        <v>10</v>
      </c>
      <c r="C901">
        <v>6120</v>
      </c>
      <c r="D901" s="1" t="s">
        <v>29</v>
      </c>
      <c r="E901" s="1" t="s">
        <v>37</v>
      </c>
      <c r="F901">
        <v>2606</v>
      </c>
      <c r="G901" s="1" t="str">
        <f>_xlfn.XLOOKUP(tblActuals[[#This Row],[GL Account]],tblGLMap[GL Account],tblGLMap[Cost Category])</f>
        <v>Supplies &amp; Inventory</v>
      </c>
      <c r="H901" s="1" t="str">
        <f>TEXT(tblActuals[[#This Row],[Date]],"mmm")</f>
        <v>Oct</v>
      </c>
    </row>
    <row r="902" spans="1:8" x14ac:dyDescent="0.25">
      <c r="A902" s="2">
        <v>45935</v>
      </c>
      <c r="B902" s="1" t="s">
        <v>10</v>
      </c>
      <c r="C902">
        <v>6210</v>
      </c>
      <c r="D902" s="1" t="s">
        <v>35</v>
      </c>
      <c r="E902" s="1" t="s">
        <v>38</v>
      </c>
      <c r="F902">
        <v>5450</v>
      </c>
      <c r="G902" s="1" t="str">
        <f>_xlfn.XLOOKUP(tblActuals[[#This Row],[GL Account]],tblGLMap[GL Account],tblGLMap[Cost Category])</f>
        <v>Utilities</v>
      </c>
      <c r="H902" s="1" t="str">
        <f>TEXT(tblActuals[[#This Row],[Date]],"mmm")</f>
        <v>Oct</v>
      </c>
    </row>
    <row r="903" spans="1:8" x14ac:dyDescent="0.25">
      <c r="A903" s="2">
        <v>45936</v>
      </c>
      <c r="B903" s="1" t="s">
        <v>10</v>
      </c>
      <c r="C903">
        <v>6210</v>
      </c>
      <c r="D903" s="1" t="s">
        <v>31</v>
      </c>
      <c r="E903" s="1" t="s">
        <v>38</v>
      </c>
      <c r="F903">
        <v>11793</v>
      </c>
      <c r="G903" s="1" t="str">
        <f>_xlfn.XLOOKUP(tblActuals[[#This Row],[GL Account]],tblGLMap[GL Account],tblGLMap[Cost Category])</f>
        <v>Utilities</v>
      </c>
      <c r="H903" s="1" t="str">
        <f>TEXT(tblActuals[[#This Row],[Date]],"mmm")</f>
        <v>Oct</v>
      </c>
    </row>
    <row r="904" spans="1:8" x14ac:dyDescent="0.25">
      <c r="A904" s="2">
        <v>45937</v>
      </c>
      <c r="B904" s="1" t="s">
        <v>10</v>
      </c>
      <c r="C904">
        <v>6210</v>
      </c>
      <c r="D904" s="1" t="s">
        <v>35</v>
      </c>
      <c r="E904" s="1" t="s">
        <v>38</v>
      </c>
      <c r="F904">
        <v>11033</v>
      </c>
      <c r="G904" s="1" t="str">
        <f>_xlfn.XLOOKUP(tblActuals[[#This Row],[GL Account]],tblGLMap[GL Account],tblGLMap[Cost Category])</f>
        <v>Utilities</v>
      </c>
      <c r="H904" s="1" t="str">
        <f>TEXT(tblActuals[[#This Row],[Date]],"mmm")</f>
        <v>Oct</v>
      </c>
    </row>
    <row r="905" spans="1:8" x14ac:dyDescent="0.25">
      <c r="A905" s="2">
        <v>45935</v>
      </c>
      <c r="B905" s="1" t="s">
        <v>10</v>
      </c>
      <c r="C905">
        <v>6220</v>
      </c>
      <c r="D905" s="1" t="s">
        <v>34</v>
      </c>
      <c r="E905" s="1" t="s">
        <v>40</v>
      </c>
      <c r="F905">
        <v>6947</v>
      </c>
      <c r="G905" s="1" t="str">
        <f>_xlfn.XLOOKUP(tblActuals[[#This Row],[GL Account]],tblGLMap[GL Account],tblGLMap[Cost Category])</f>
        <v>Utilities</v>
      </c>
      <c r="H905" s="1" t="str">
        <f>TEXT(tblActuals[[#This Row],[Date]],"mmm")</f>
        <v>Oct</v>
      </c>
    </row>
    <row r="906" spans="1:8" x14ac:dyDescent="0.25">
      <c r="A906" s="2">
        <v>45936</v>
      </c>
      <c r="B906" s="1" t="s">
        <v>10</v>
      </c>
      <c r="C906">
        <v>6220</v>
      </c>
      <c r="D906" s="1" t="s">
        <v>29</v>
      </c>
      <c r="E906" s="1" t="s">
        <v>40</v>
      </c>
      <c r="F906">
        <v>2226</v>
      </c>
      <c r="G906" s="1" t="str">
        <f>_xlfn.XLOOKUP(tblActuals[[#This Row],[GL Account]],tblGLMap[GL Account],tblGLMap[Cost Category])</f>
        <v>Utilities</v>
      </c>
      <c r="H906" s="1" t="str">
        <f>TEXT(tblActuals[[#This Row],[Date]],"mmm")</f>
        <v>Oct</v>
      </c>
    </row>
    <row r="907" spans="1:8" x14ac:dyDescent="0.25">
      <c r="A907" s="2">
        <v>45937</v>
      </c>
      <c r="B907" s="1" t="s">
        <v>10</v>
      </c>
      <c r="C907">
        <v>6220</v>
      </c>
      <c r="D907" s="1" t="s">
        <v>29</v>
      </c>
      <c r="E907" s="1" t="s">
        <v>40</v>
      </c>
      <c r="F907">
        <v>10445</v>
      </c>
      <c r="G907" s="1" t="str">
        <f>_xlfn.XLOOKUP(tblActuals[[#This Row],[GL Account]],tblGLMap[GL Account],tblGLMap[Cost Category])</f>
        <v>Utilities</v>
      </c>
      <c r="H907" s="1" t="str">
        <f>TEXT(tblActuals[[#This Row],[Date]],"mmm")</f>
        <v>Oct</v>
      </c>
    </row>
    <row r="908" spans="1:8" x14ac:dyDescent="0.25">
      <c r="A908" s="2">
        <v>45935</v>
      </c>
      <c r="B908" s="1" t="s">
        <v>10</v>
      </c>
      <c r="C908">
        <v>6310</v>
      </c>
      <c r="D908" s="1" t="s">
        <v>35</v>
      </c>
      <c r="E908" s="1" t="s">
        <v>41</v>
      </c>
      <c r="F908">
        <v>4368</v>
      </c>
      <c r="G908" s="1" t="str">
        <f>_xlfn.XLOOKUP(tblActuals[[#This Row],[GL Account]],tblGLMap[GL Account],tblGLMap[Cost Category])</f>
        <v>Maintenance &amp; Repairs</v>
      </c>
      <c r="H908" s="1" t="str">
        <f>TEXT(tblActuals[[#This Row],[Date]],"mmm")</f>
        <v>Oct</v>
      </c>
    </row>
    <row r="909" spans="1:8" x14ac:dyDescent="0.25">
      <c r="A909" s="2">
        <v>45936</v>
      </c>
      <c r="B909" s="1" t="s">
        <v>10</v>
      </c>
      <c r="C909">
        <v>6310</v>
      </c>
      <c r="D909" s="1" t="s">
        <v>35</v>
      </c>
      <c r="E909" s="1" t="s">
        <v>41</v>
      </c>
      <c r="F909">
        <v>9112</v>
      </c>
      <c r="G909" s="1" t="str">
        <f>_xlfn.XLOOKUP(tblActuals[[#This Row],[GL Account]],tblGLMap[GL Account],tblGLMap[Cost Category])</f>
        <v>Maintenance &amp; Repairs</v>
      </c>
      <c r="H909" s="1" t="str">
        <f>TEXT(tblActuals[[#This Row],[Date]],"mmm")</f>
        <v>Oct</v>
      </c>
    </row>
    <row r="910" spans="1:8" x14ac:dyDescent="0.25">
      <c r="A910" s="2">
        <v>45937</v>
      </c>
      <c r="B910" s="1" t="s">
        <v>10</v>
      </c>
      <c r="C910">
        <v>6310</v>
      </c>
      <c r="D910" s="1" t="s">
        <v>35</v>
      </c>
      <c r="E910" s="1" t="s">
        <v>41</v>
      </c>
      <c r="F910">
        <v>9340</v>
      </c>
      <c r="G910" s="1" t="str">
        <f>_xlfn.XLOOKUP(tblActuals[[#This Row],[GL Account]],tblGLMap[GL Account],tblGLMap[Cost Category])</f>
        <v>Maintenance &amp; Repairs</v>
      </c>
      <c r="H910" s="1" t="str">
        <f>TEXT(tblActuals[[#This Row],[Date]],"mmm")</f>
        <v>Oct</v>
      </c>
    </row>
    <row r="911" spans="1:8" x14ac:dyDescent="0.25">
      <c r="A911" s="2">
        <v>45935</v>
      </c>
      <c r="B911" s="1" t="s">
        <v>10</v>
      </c>
      <c r="C911">
        <v>6320</v>
      </c>
      <c r="D911" s="1" t="s">
        <v>34</v>
      </c>
      <c r="E911" s="1" t="s">
        <v>42</v>
      </c>
      <c r="F911">
        <v>4486</v>
      </c>
      <c r="G911" s="1" t="str">
        <f>_xlfn.XLOOKUP(tblActuals[[#This Row],[GL Account]],tblGLMap[GL Account],tblGLMap[Cost Category])</f>
        <v>Maintenance &amp; Repairs</v>
      </c>
      <c r="H911" s="1" t="str">
        <f>TEXT(tblActuals[[#This Row],[Date]],"mmm")</f>
        <v>Oct</v>
      </c>
    </row>
    <row r="912" spans="1:8" x14ac:dyDescent="0.25">
      <c r="A912" s="2">
        <v>45936</v>
      </c>
      <c r="B912" s="1" t="s">
        <v>10</v>
      </c>
      <c r="C912">
        <v>6320</v>
      </c>
      <c r="D912" s="1" t="s">
        <v>35</v>
      </c>
      <c r="E912" s="1" t="s">
        <v>42</v>
      </c>
      <c r="F912">
        <v>2533</v>
      </c>
      <c r="G912" s="1" t="str">
        <f>_xlfn.XLOOKUP(tblActuals[[#This Row],[GL Account]],tblGLMap[GL Account],tblGLMap[Cost Category])</f>
        <v>Maintenance &amp; Repairs</v>
      </c>
      <c r="H912" s="1" t="str">
        <f>TEXT(tblActuals[[#This Row],[Date]],"mmm")</f>
        <v>Oct</v>
      </c>
    </row>
    <row r="913" spans="1:8" x14ac:dyDescent="0.25">
      <c r="A913" s="2">
        <v>45937</v>
      </c>
      <c r="B913" s="1" t="s">
        <v>10</v>
      </c>
      <c r="C913">
        <v>6320</v>
      </c>
      <c r="D913" s="1" t="s">
        <v>31</v>
      </c>
      <c r="E913" s="1" t="s">
        <v>42</v>
      </c>
      <c r="F913">
        <v>8998</v>
      </c>
      <c r="G913" s="1" t="str">
        <f>_xlfn.XLOOKUP(tblActuals[[#This Row],[GL Account]],tblGLMap[GL Account],tblGLMap[Cost Category])</f>
        <v>Maintenance &amp; Repairs</v>
      </c>
      <c r="H913" s="1" t="str">
        <f>TEXT(tblActuals[[#This Row],[Date]],"mmm")</f>
        <v>Oct</v>
      </c>
    </row>
    <row r="914" spans="1:8" x14ac:dyDescent="0.25">
      <c r="A914" s="2">
        <v>45935</v>
      </c>
      <c r="B914" s="1" t="s">
        <v>11</v>
      </c>
      <c r="C914">
        <v>6010</v>
      </c>
      <c r="D914" s="1" t="s">
        <v>34</v>
      </c>
      <c r="E914" s="1" t="s">
        <v>30</v>
      </c>
      <c r="F914">
        <v>6307</v>
      </c>
      <c r="G914" s="1" t="str">
        <f>_xlfn.XLOOKUP(tblActuals[[#This Row],[GL Account]],tblGLMap[GL Account],tblGLMap[Cost Category])</f>
        <v>Labor</v>
      </c>
      <c r="H914" s="1" t="str">
        <f>TEXT(tblActuals[[#This Row],[Date]],"mmm")</f>
        <v>Oct</v>
      </c>
    </row>
    <row r="915" spans="1:8" x14ac:dyDescent="0.25">
      <c r="A915" s="2">
        <v>45936</v>
      </c>
      <c r="B915" s="1" t="s">
        <v>11</v>
      </c>
      <c r="C915">
        <v>6010</v>
      </c>
      <c r="D915" s="1" t="s">
        <v>34</v>
      </c>
      <c r="E915" s="1" t="s">
        <v>30</v>
      </c>
      <c r="F915">
        <v>2217</v>
      </c>
      <c r="G915" s="1" t="str">
        <f>_xlfn.XLOOKUP(tblActuals[[#This Row],[GL Account]],tblGLMap[GL Account],tblGLMap[Cost Category])</f>
        <v>Labor</v>
      </c>
      <c r="H915" s="1" t="str">
        <f>TEXT(tblActuals[[#This Row],[Date]],"mmm")</f>
        <v>Oct</v>
      </c>
    </row>
    <row r="916" spans="1:8" x14ac:dyDescent="0.25">
      <c r="A916" s="2">
        <v>45937</v>
      </c>
      <c r="B916" s="1" t="s">
        <v>11</v>
      </c>
      <c r="C916">
        <v>6010</v>
      </c>
      <c r="D916" s="1" t="s">
        <v>29</v>
      </c>
      <c r="E916" s="1" t="s">
        <v>30</v>
      </c>
      <c r="F916">
        <v>2186</v>
      </c>
      <c r="G916" s="1" t="str">
        <f>_xlfn.XLOOKUP(tblActuals[[#This Row],[GL Account]],tblGLMap[GL Account],tblGLMap[Cost Category])</f>
        <v>Labor</v>
      </c>
      <c r="H916" s="1" t="str">
        <f>TEXT(tblActuals[[#This Row],[Date]],"mmm")</f>
        <v>Oct</v>
      </c>
    </row>
    <row r="917" spans="1:8" x14ac:dyDescent="0.25">
      <c r="A917" s="2">
        <v>45935</v>
      </c>
      <c r="B917" s="1" t="s">
        <v>11</v>
      </c>
      <c r="C917">
        <v>6020</v>
      </c>
      <c r="D917" s="1" t="s">
        <v>32</v>
      </c>
      <c r="E917" s="1" t="s">
        <v>33</v>
      </c>
      <c r="F917">
        <v>6580</v>
      </c>
      <c r="G917" s="1" t="str">
        <f>_xlfn.XLOOKUP(tblActuals[[#This Row],[GL Account]],tblGLMap[GL Account],tblGLMap[Cost Category])</f>
        <v>Labor</v>
      </c>
      <c r="H917" s="1" t="str">
        <f>TEXT(tblActuals[[#This Row],[Date]],"mmm")</f>
        <v>Oct</v>
      </c>
    </row>
    <row r="918" spans="1:8" x14ac:dyDescent="0.25">
      <c r="A918" s="2">
        <v>45936</v>
      </c>
      <c r="B918" s="1" t="s">
        <v>11</v>
      </c>
      <c r="C918">
        <v>6020</v>
      </c>
      <c r="D918" s="1" t="s">
        <v>32</v>
      </c>
      <c r="E918" s="1" t="s">
        <v>33</v>
      </c>
      <c r="F918">
        <v>8024</v>
      </c>
      <c r="G918" s="1" t="str">
        <f>_xlfn.XLOOKUP(tblActuals[[#This Row],[GL Account]],tblGLMap[GL Account],tblGLMap[Cost Category])</f>
        <v>Labor</v>
      </c>
      <c r="H918" s="1" t="str">
        <f>TEXT(tblActuals[[#This Row],[Date]],"mmm")</f>
        <v>Oct</v>
      </c>
    </row>
    <row r="919" spans="1:8" x14ac:dyDescent="0.25">
      <c r="A919" s="2">
        <v>45937</v>
      </c>
      <c r="B919" s="1" t="s">
        <v>11</v>
      </c>
      <c r="C919">
        <v>6020</v>
      </c>
      <c r="D919" s="1" t="s">
        <v>29</v>
      </c>
      <c r="E919" s="1" t="s">
        <v>33</v>
      </c>
      <c r="F919">
        <v>9256</v>
      </c>
      <c r="G919" s="1" t="str">
        <f>_xlfn.XLOOKUP(tblActuals[[#This Row],[GL Account]],tblGLMap[GL Account],tblGLMap[Cost Category])</f>
        <v>Labor</v>
      </c>
      <c r="H919" s="1" t="str">
        <f>TEXT(tblActuals[[#This Row],[Date]],"mmm")</f>
        <v>Oct</v>
      </c>
    </row>
    <row r="920" spans="1:8" x14ac:dyDescent="0.25">
      <c r="A920" s="2">
        <v>45935</v>
      </c>
      <c r="B920" s="1" t="s">
        <v>11</v>
      </c>
      <c r="C920">
        <v>6110</v>
      </c>
      <c r="D920" s="1" t="s">
        <v>35</v>
      </c>
      <c r="E920" s="1" t="s">
        <v>36</v>
      </c>
      <c r="F920">
        <v>2099</v>
      </c>
      <c r="G920" s="1" t="str">
        <f>_xlfn.XLOOKUP(tblActuals[[#This Row],[GL Account]],tblGLMap[GL Account],tblGLMap[Cost Category])</f>
        <v>Supplies &amp; Inventory</v>
      </c>
      <c r="H920" s="1" t="str">
        <f>TEXT(tblActuals[[#This Row],[Date]],"mmm")</f>
        <v>Oct</v>
      </c>
    </row>
    <row r="921" spans="1:8" x14ac:dyDescent="0.25">
      <c r="A921" s="2">
        <v>45936</v>
      </c>
      <c r="B921" s="1" t="s">
        <v>11</v>
      </c>
      <c r="C921">
        <v>6110</v>
      </c>
      <c r="D921" s="1" t="s">
        <v>29</v>
      </c>
      <c r="E921" s="1" t="s">
        <v>36</v>
      </c>
      <c r="F921">
        <v>4631</v>
      </c>
      <c r="G921" s="1" t="str">
        <f>_xlfn.XLOOKUP(tblActuals[[#This Row],[GL Account]],tblGLMap[GL Account],tblGLMap[Cost Category])</f>
        <v>Supplies &amp; Inventory</v>
      </c>
      <c r="H921" s="1" t="str">
        <f>TEXT(tblActuals[[#This Row],[Date]],"mmm")</f>
        <v>Oct</v>
      </c>
    </row>
    <row r="922" spans="1:8" x14ac:dyDescent="0.25">
      <c r="A922" s="2">
        <v>45937</v>
      </c>
      <c r="B922" s="1" t="s">
        <v>11</v>
      </c>
      <c r="C922">
        <v>6110</v>
      </c>
      <c r="D922" s="1" t="s">
        <v>31</v>
      </c>
      <c r="E922" s="1" t="s">
        <v>36</v>
      </c>
      <c r="F922">
        <v>7348</v>
      </c>
      <c r="G922" s="1" t="str">
        <f>_xlfn.XLOOKUP(tblActuals[[#This Row],[GL Account]],tblGLMap[GL Account],tblGLMap[Cost Category])</f>
        <v>Supplies &amp; Inventory</v>
      </c>
      <c r="H922" s="1" t="str">
        <f>TEXT(tblActuals[[#This Row],[Date]],"mmm")</f>
        <v>Oct</v>
      </c>
    </row>
    <row r="923" spans="1:8" x14ac:dyDescent="0.25">
      <c r="A923" s="2">
        <v>45935</v>
      </c>
      <c r="B923" s="1" t="s">
        <v>11</v>
      </c>
      <c r="C923">
        <v>6120</v>
      </c>
      <c r="D923" s="1" t="s">
        <v>29</v>
      </c>
      <c r="E923" s="1" t="s">
        <v>37</v>
      </c>
      <c r="F923">
        <v>6938</v>
      </c>
      <c r="G923" s="1" t="str">
        <f>_xlfn.XLOOKUP(tblActuals[[#This Row],[GL Account]],tblGLMap[GL Account],tblGLMap[Cost Category])</f>
        <v>Supplies &amp; Inventory</v>
      </c>
      <c r="H923" s="1" t="str">
        <f>TEXT(tblActuals[[#This Row],[Date]],"mmm")</f>
        <v>Oct</v>
      </c>
    </row>
    <row r="924" spans="1:8" x14ac:dyDescent="0.25">
      <c r="A924" s="2">
        <v>45936</v>
      </c>
      <c r="B924" s="1" t="s">
        <v>11</v>
      </c>
      <c r="C924">
        <v>6120</v>
      </c>
      <c r="D924" s="1" t="s">
        <v>29</v>
      </c>
      <c r="E924" s="1" t="s">
        <v>37</v>
      </c>
      <c r="F924">
        <v>3539</v>
      </c>
      <c r="G924" s="1" t="str">
        <f>_xlfn.XLOOKUP(tblActuals[[#This Row],[GL Account]],tblGLMap[GL Account],tblGLMap[Cost Category])</f>
        <v>Supplies &amp; Inventory</v>
      </c>
      <c r="H924" s="1" t="str">
        <f>TEXT(tblActuals[[#This Row],[Date]],"mmm")</f>
        <v>Oct</v>
      </c>
    </row>
    <row r="925" spans="1:8" x14ac:dyDescent="0.25">
      <c r="A925" s="2">
        <v>45937</v>
      </c>
      <c r="B925" s="1" t="s">
        <v>11</v>
      </c>
      <c r="C925">
        <v>6120</v>
      </c>
      <c r="D925" s="1" t="s">
        <v>39</v>
      </c>
      <c r="E925" s="1" t="s">
        <v>37</v>
      </c>
      <c r="F925">
        <v>8659</v>
      </c>
      <c r="G925" s="1" t="str">
        <f>_xlfn.XLOOKUP(tblActuals[[#This Row],[GL Account]],tblGLMap[GL Account],tblGLMap[Cost Category])</f>
        <v>Supplies &amp; Inventory</v>
      </c>
      <c r="H925" s="1" t="str">
        <f>TEXT(tblActuals[[#This Row],[Date]],"mmm")</f>
        <v>Oct</v>
      </c>
    </row>
    <row r="926" spans="1:8" x14ac:dyDescent="0.25">
      <c r="A926" s="2">
        <v>45935</v>
      </c>
      <c r="B926" s="1" t="s">
        <v>11</v>
      </c>
      <c r="C926">
        <v>6210</v>
      </c>
      <c r="D926" s="1" t="s">
        <v>39</v>
      </c>
      <c r="E926" s="1" t="s">
        <v>38</v>
      </c>
      <c r="F926">
        <v>8704</v>
      </c>
      <c r="G926" s="1" t="str">
        <f>_xlfn.XLOOKUP(tblActuals[[#This Row],[GL Account]],tblGLMap[GL Account],tblGLMap[Cost Category])</f>
        <v>Utilities</v>
      </c>
      <c r="H926" s="1" t="str">
        <f>TEXT(tblActuals[[#This Row],[Date]],"mmm")</f>
        <v>Oct</v>
      </c>
    </row>
    <row r="927" spans="1:8" x14ac:dyDescent="0.25">
      <c r="A927" s="2">
        <v>45936</v>
      </c>
      <c r="B927" s="1" t="s">
        <v>11</v>
      </c>
      <c r="C927">
        <v>6210</v>
      </c>
      <c r="D927" s="1" t="s">
        <v>34</v>
      </c>
      <c r="E927" s="1" t="s">
        <v>38</v>
      </c>
      <c r="F927">
        <v>7054</v>
      </c>
      <c r="G927" s="1" t="str">
        <f>_xlfn.XLOOKUP(tblActuals[[#This Row],[GL Account]],tblGLMap[GL Account],tblGLMap[Cost Category])</f>
        <v>Utilities</v>
      </c>
      <c r="H927" s="1" t="str">
        <f>TEXT(tblActuals[[#This Row],[Date]],"mmm")</f>
        <v>Oct</v>
      </c>
    </row>
    <row r="928" spans="1:8" x14ac:dyDescent="0.25">
      <c r="A928" s="2">
        <v>45937</v>
      </c>
      <c r="B928" s="1" t="s">
        <v>11</v>
      </c>
      <c r="C928">
        <v>6210</v>
      </c>
      <c r="D928" s="1" t="s">
        <v>35</v>
      </c>
      <c r="E928" s="1" t="s">
        <v>38</v>
      </c>
      <c r="F928">
        <v>9629</v>
      </c>
      <c r="G928" s="1" t="str">
        <f>_xlfn.XLOOKUP(tblActuals[[#This Row],[GL Account]],tblGLMap[GL Account],tblGLMap[Cost Category])</f>
        <v>Utilities</v>
      </c>
      <c r="H928" s="1" t="str">
        <f>TEXT(tblActuals[[#This Row],[Date]],"mmm")</f>
        <v>Oct</v>
      </c>
    </row>
    <row r="929" spans="1:8" x14ac:dyDescent="0.25">
      <c r="A929" s="2">
        <v>45935</v>
      </c>
      <c r="B929" s="1" t="s">
        <v>11</v>
      </c>
      <c r="C929">
        <v>6220</v>
      </c>
      <c r="D929" s="1" t="s">
        <v>29</v>
      </c>
      <c r="E929" s="1" t="s">
        <v>40</v>
      </c>
      <c r="F929">
        <v>9651</v>
      </c>
      <c r="G929" s="1" t="str">
        <f>_xlfn.XLOOKUP(tblActuals[[#This Row],[GL Account]],tblGLMap[GL Account],tblGLMap[Cost Category])</f>
        <v>Utilities</v>
      </c>
      <c r="H929" s="1" t="str">
        <f>TEXT(tblActuals[[#This Row],[Date]],"mmm")</f>
        <v>Oct</v>
      </c>
    </row>
    <row r="930" spans="1:8" x14ac:dyDescent="0.25">
      <c r="A930" s="2">
        <v>45936</v>
      </c>
      <c r="B930" s="1" t="s">
        <v>11</v>
      </c>
      <c r="C930">
        <v>6220</v>
      </c>
      <c r="D930" s="1" t="s">
        <v>29</v>
      </c>
      <c r="E930" s="1" t="s">
        <v>40</v>
      </c>
      <c r="F930">
        <v>10007</v>
      </c>
      <c r="G930" s="1" t="str">
        <f>_xlfn.XLOOKUP(tblActuals[[#This Row],[GL Account]],tblGLMap[GL Account],tblGLMap[Cost Category])</f>
        <v>Utilities</v>
      </c>
      <c r="H930" s="1" t="str">
        <f>TEXT(tblActuals[[#This Row],[Date]],"mmm")</f>
        <v>Oct</v>
      </c>
    </row>
    <row r="931" spans="1:8" x14ac:dyDescent="0.25">
      <c r="A931" s="2">
        <v>45937</v>
      </c>
      <c r="B931" s="1" t="s">
        <v>11</v>
      </c>
      <c r="C931">
        <v>6220</v>
      </c>
      <c r="D931" s="1" t="s">
        <v>35</v>
      </c>
      <c r="E931" s="1" t="s">
        <v>40</v>
      </c>
      <c r="F931">
        <v>2853</v>
      </c>
      <c r="G931" s="1" t="str">
        <f>_xlfn.XLOOKUP(tblActuals[[#This Row],[GL Account]],tblGLMap[GL Account],tblGLMap[Cost Category])</f>
        <v>Utilities</v>
      </c>
      <c r="H931" s="1" t="str">
        <f>TEXT(tblActuals[[#This Row],[Date]],"mmm")</f>
        <v>Oct</v>
      </c>
    </row>
    <row r="932" spans="1:8" x14ac:dyDescent="0.25">
      <c r="A932" s="2">
        <v>45935</v>
      </c>
      <c r="B932" s="1" t="s">
        <v>11</v>
      </c>
      <c r="C932">
        <v>6310</v>
      </c>
      <c r="D932" s="1" t="s">
        <v>31</v>
      </c>
      <c r="E932" s="1" t="s">
        <v>41</v>
      </c>
      <c r="F932">
        <v>8455</v>
      </c>
      <c r="G932" s="1" t="str">
        <f>_xlfn.XLOOKUP(tblActuals[[#This Row],[GL Account]],tblGLMap[GL Account],tblGLMap[Cost Category])</f>
        <v>Maintenance &amp; Repairs</v>
      </c>
      <c r="H932" s="1" t="str">
        <f>TEXT(tblActuals[[#This Row],[Date]],"mmm")</f>
        <v>Oct</v>
      </c>
    </row>
    <row r="933" spans="1:8" x14ac:dyDescent="0.25">
      <c r="A933" s="2">
        <v>45936</v>
      </c>
      <c r="B933" s="1" t="s">
        <v>11</v>
      </c>
      <c r="C933">
        <v>6310</v>
      </c>
      <c r="D933" s="1" t="s">
        <v>32</v>
      </c>
      <c r="E933" s="1" t="s">
        <v>41</v>
      </c>
      <c r="F933">
        <v>8555</v>
      </c>
      <c r="G933" s="1" t="str">
        <f>_xlfn.XLOOKUP(tblActuals[[#This Row],[GL Account]],tblGLMap[GL Account],tblGLMap[Cost Category])</f>
        <v>Maintenance &amp; Repairs</v>
      </c>
      <c r="H933" s="1" t="str">
        <f>TEXT(tblActuals[[#This Row],[Date]],"mmm")</f>
        <v>Oct</v>
      </c>
    </row>
    <row r="934" spans="1:8" x14ac:dyDescent="0.25">
      <c r="A934" s="2">
        <v>45937</v>
      </c>
      <c r="B934" s="1" t="s">
        <v>11</v>
      </c>
      <c r="C934">
        <v>6310</v>
      </c>
      <c r="D934" s="1" t="s">
        <v>32</v>
      </c>
      <c r="E934" s="1" t="s">
        <v>41</v>
      </c>
      <c r="F934">
        <v>4456</v>
      </c>
      <c r="G934" s="1" t="str">
        <f>_xlfn.XLOOKUP(tblActuals[[#This Row],[GL Account]],tblGLMap[GL Account],tblGLMap[Cost Category])</f>
        <v>Maintenance &amp; Repairs</v>
      </c>
      <c r="H934" s="1" t="str">
        <f>TEXT(tblActuals[[#This Row],[Date]],"mmm")</f>
        <v>Oct</v>
      </c>
    </row>
    <row r="935" spans="1:8" x14ac:dyDescent="0.25">
      <c r="A935" s="2">
        <v>45935</v>
      </c>
      <c r="B935" s="1" t="s">
        <v>11</v>
      </c>
      <c r="C935">
        <v>6320</v>
      </c>
      <c r="D935" s="1" t="s">
        <v>29</v>
      </c>
      <c r="E935" s="1" t="s">
        <v>42</v>
      </c>
      <c r="F935">
        <v>6313</v>
      </c>
      <c r="G935" s="1" t="str">
        <f>_xlfn.XLOOKUP(tblActuals[[#This Row],[GL Account]],tblGLMap[GL Account],tblGLMap[Cost Category])</f>
        <v>Maintenance &amp; Repairs</v>
      </c>
      <c r="H935" s="1" t="str">
        <f>TEXT(tblActuals[[#This Row],[Date]],"mmm")</f>
        <v>Oct</v>
      </c>
    </row>
    <row r="936" spans="1:8" x14ac:dyDescent="0.25">
      <c r="A936" s="2">
        <v>45936</v>
      </c>
      <c r="B936" s="1" t="s">
        <v>11</v>
      </c>
      <c r="C936">
        <v>6320</v>
      </c>
      <c r="D936" s="1" t="s">
        <v>31</v>
      </c>
      <c r="E936" s="1" t="s">
        <v>42</v>
      </c>
      <c r="F936">
        <v>3180</v>
      </c>
      <c r="G936" s="1" t="str">
        <f>_xlfn.XLOOKUP(tblActuals[[#This Row],[GL Account]],tblGLMap[GL Account],tblGLMap[Cost Category])</f>
        <v>Maintenance &amp; Repairs</v>
      </c>
      <c r="H936" s="1" t="str">
        <f>TEXT(tblActuals[[#This Row],[Date]],"mmm")</f>
        <v>Oct</v>
      </c>
    </row>
    <row r="937" spans="1:8" x14ac:dyDescent="0.25">
      <c r="A937" s="2">
        <v>45937</v>
      </c>
      <c r="B937" s="1" t="s">
        <v>11</v>
      </c>
      <c r="C937">
        <v>6320</v>
      </c>
      <c r="D937" s="1" t="s">
        <v>35</v>
      </c>
      <c r="E937" s="1" t="s">
        <v>42</v>
      </c>
      <c r="F937">
        <v>6872</v>
      </c>
      <c r="G937" s="1" t="str">
        <f>_xlfn.XLOOKUP(tblActuals[[#This Row],[GL Account]],tblGLMap[GL Account],tblGLMap[Cost Category])</f>
        <v>Maintenance &amp; Repairs</v>
      </c>
      <c r="H937" s="1" t="str">
        <f>TEXT(tblActuals[[#This Row],[Date]],"mmm")</f>
        <v>Oct</v>
      </c>
    </row>
    <row r="938" spans="1:8" x14ac:dyDescent="0.25">
      <c r="A938" s="2">
        <v>45935</v>
      </c>
      <c r="B938" s="1" t="s">
        <v>12</v>
      </c>
      <c r="C938">
        <v>6010</v>
      </c>
      <c r="D938" s="1" t="s">
        <v>29</v>
      </c>
      <c r="E938" s="1" t="s">
        <v>30</v>
      </c>
      <c r="F938">
        <v>6343</v>
      </c>
      <c r="G938" s="1" t="str">
        <f>_xlfn.XLOOKUP(tblActuals[[#This Row],[GL Account]],tblGLMap[GL Account],tblGLMap[Cost Category])</f>
        <v>Labor</v>
      </c>
      <c r="H938" s="1" t="str">
        <f>TEXT(tblActuals[[#This Row],[Date]],"mmm")</f>
        <v>Oct</v>
      </c>
    </row>
    <row r="939" spans="1:8" x14ac:dyDescent="0.25">
      <c r="A939" s="2">
        <v>45936</v>
      </c>
      <c r="B939" s="1" t="s">
        <v>12</v>
      </c>
      <c r="C939">
        <v>6010</v>
      </c>
      <c r="D939" s="1" t="s">
        <v>32</v>
      </c>
      <c r="E939" s="1" t="s">
        <v>30</v>
      </c>
      <c r="F939">
        <v>8805</v>
      </c>
      <c r="G939" s="1" t="str">
        <f>_xlfn.XLOOKUP(tblActuals[[#This Row],[GL Account]],tblGLMap[GL Account],tblGLMap[Cost Category])</f>
        <v>Labor</v>
      </c>
      <c r="H939" s="1" t="str">
        <f>TEXT(tblActuals[[#This Row],[Date]],"mmm")</f>
        <v>Oct</v>
      </c>
    </row>
    <row r="940" spans="1:8" x14ac:dyDescent="0.25">
      <c r="A940" s="2">
        <v>45937</v>
      </c>
      <c r="B940" s="1" t="s">
        <v>12</v>
      </c>
      <c r="C940">
        <v>6010</v>
      </c>
      <c r="D940" s="1" t="s">
        <v>34</v>
      </c>
      <c r="E940" s="1" t="s">
        <v>30</v>
      </c>
      <c r="F940">
        <v>8481</v>
      </c>
      <c r="G940" s="1" t="str">
        <f>_xlfn.XLOOKUP(tblActuals[[#This Row],[GL Account]],tblGLMap[GL Account],tblGLMap[Cost Category])</f>
        <v>Labor</v>
      </c>
      <c r="H940" s="1" t="str">
        <f>TEXT(tblActuals[[#This Row],[Date]],"mmm")</f>
        <v>Oct</v>
      </c>
    </row>
    <row r="941" spans="1:8" x14ac:dyDescent="0.25">
      <c r="A941" s="2">
        <v>45935</v>
      </c>
      <c r="B941" s="1" t="s">
        <v>12</v>
      </c>
      <c r="C941">
        <v>6020</v>
      </c>
      <c r="D941" s="1" t="s">
        <v>29</v>
      </c>
      <c r="E941" s="1" t="s">
        <v>33</v>
      </c>
      <c r="F941">
        <v>8772</v>
      </c>
      <c r="G941" s="1" t="str">
        <f>_xlfn.XLOOKUP(tblActuals[[#This Row],[GL Account]],tblGLMap[GL Account],tblGLMap[Cost Category])</f>
        <v>Labor</v>
      </c>
      <c r="H941" s="1" t="str">
        <f>TEXT(tblActuals[[#This Row],[Date]],"mmm")</f>
        <v>Oct</v>
      </c>
    </row>
    <row r="942" spans="1:8" x14ac:dyDescent="0.25">
      <c r="A942" s="2">
        <v>45936</v>
      </c>
      <c r="B942" s="1" t="s">
        <v>12</v>
      </c>
      <c r="C942">
        <v>6020</v>
      </c>
      <c r="D942" s="1" t="s">
        <v>31</v>
      </c>
      <c r="E942" s="1" t="s">
        <v>33</v>
      </c>
      <c r="F942">
        <v>8825</v>
      </c>
      <c r="G942" s="1" t="str">
        <f>_xlfn.XLOOKUP(tblActuals[[#This Row],[GL Account]],tblGLMap[GL Account],tblGLMap[Cost Category])</f>
        <v>Labor</v>
      </c>
      <c r="H942" s="1" t="str">
        <f>TEXT(tblActuals[[#This Row],[Date]],"mmm")</f>
        <v>Oct</v>
      </c>
    </row>
    <row r="943" spans="1:8" x14ac:dyDescent="0.25">
      <c r="A943" s="2">
        <v>45937</v>
      </c>
      <c r="B943" s="1" t="s">
        <v>12</v>
      </c>
      <c r="C943">
        <v>6020</v>
      </c>
      <c r="D943" s="1" t="s">
        <v>32</v>
      </c>
      <c r="E943" s="1" t="s">
        <v>33</v>
      </c>
      <c r="F943">
        <v>7276</v>
      </c>
      <c r="G943" s="1" t="str">
        <f>_xlfn.XLOOKUP(tblActuals[[#This Row],[GL Account]],tblGLMap[GL Account],tblGLMap[Cost Category])</f>
        <v>Labor</v>
      </c>
      <c r="H943" s="1" t="str">
        <f>TEXT(tblActuals[[#This Row],[Date]],"mmm")</f>
        <v>Oct</v>
      </c>
    </row>
    <row r="944" spans="1:8" x14ac:dyDescent="0.25">
      <c r="A944" s="2">
        <v>45935</v>
      </c>
      <c r="B944" s="1" t="s">
        <v>12</v>
      </c>
      <c r="C944">
        <v>6110</v>
      </c>
      <c r="D944" s="1" t="s">
        <v>29</v>
      </c>
      <c r="E944" s="1" t="s">
        <v>36</v>
      </c>
      <c r="F944">
        <v>8626</v>
      </c>
      <c r="G944" s="1" t="str">
        <f>_xlfn.XLOOKUP(tblActuals[[#This Row],[GL Account]],tblGLMap[GL Account],tblGLMap[Cost Category])</f>
        <v>Supplies &amp; Inventory</v>
      </c>
      <c r="H944" s="1" t="str">
        <f>TEXT(tblActuals[[#This Row],[Date]],"mmm")</f>
        <v>Oct</v>
      </c>
    </row>
    <row r="945" spans="1:8" x14ac:dyDescent="0.25">
      <c r="A945" s="2">
        <v>45936</v>
      </c>
      <c r="B945" s="1" t="s">
        <v>12</v>
      </c>
      <c r="C945">
        <v>6110</v>
      </c>
      <c r="D945" s="1" t="s">
        <v>31</v>
      </c>
      <c r="E945" s="1" t="s">
        <v>36</v>
      </c>
      <c r="F945">
        <v>11977</v>
      </c>
      <c r="G945" s="1" t="str">
        <f>_xlfn.XLOOKUP(tblActuals[[#This Row],[GL Account]],tblGLMap[GL Account],tblGLMap[Cost Category])</f>
        <v>Supplies &amp; Inventory</v>
      </c>
      <c r="H945" s="1" t="str">
        <f>TEXT(tblActuals[[#This Row],[Date]],"mmm")</f>
        <v>Oct</v>
      </c>
    </row>
    <row r="946" spans="1:8" x14ac:dyDescent="0.25">
      <c r="A946" s="2">
        <v>45937</v>
      </c>
      <c r="B946" s="1" t="s">
        <v>12</v>
      </c>
      <c r="C946">
        <v>6110</v>
      </c>
      <c r="D946" s="1" t="s">
        <v>35</v>
      </c>
      <c r="E946" s="1" t="s">
        <v>36</v>
      </c>
      <c r="F946">
        <v>2729</v>
      </c>
      <c r="G946" s="1" t="str">
        <f>_xlfn.XLOOKUP(tblActuals[[#This Row],[GL Account]],tblGLMap[GL Account],tblGLMap[Cost Category])</f>
        <v>Supplies &amp; Inventory</v>
      </c>
      <c r="H946" s="1" t="str">
        <f>TEXT(tblActuals[[#This Row],[Date]],"mmm")</f>
        <v>Oct</v>
      </c>
    </row>
    <row r="947" spans="1:8" x14ac:dyDescent="0.25">
      <c r="A947" s="2">
        <v>45935</v>
      </c>
      <c r="B947" s="1" t="s">
        <v>12</v>
      </c>
      <c r="C947">
        <v>6120</v>
      </c>
      <c r="D947" s="1" t="s">
        <v>39</v>
      </c>
      <c r="E947" s="1" t="s">
        <v>37</v>
      </c>
      <c r="F947">
        <v>11945</v>
      </c>
      <c r="G947" s="1" t="str">
        <f>_xlfn.XLOOKUP(tblActuals[[#This Row],[GL Account]],tblGLMap[GL Account],tblGLMap[Cost Category])</f>
        <v>Supplies &amp; Inventory</v>
      </c>
      <c r="H947" s="1" t="str">
        <f>TEXT(tblActuals[[#This Row],[Date]],"mmm")</f>
        <v>Oct</v>
      </c>
    </row>
    <row r="948" spans="1:8" x14ac:dyDescent="0.25">
      <c r="A948" s="2">
        <v>45936</v>
      </c>
      <c r="B948" s="1" t="s">
        <v>12</v>
      </c>
      <c r="C948">
        <v>6120</v>
      </c>
      <c r="D948" s="1" t="s">
        <v>32</v>
      </c>
      <c r="E948" s="1" t="s">
        <v>37</v>
      </c>
      <c r="F948">
        <v>7452</v>
      </c>
      <c r="G948" s="1" t="str">
        <f>_xlfn.XLOOKUP(tblActuals[[#This Row],[GL Account]],tblGLMap[GL Account],tblGLMap[Cost Category])</f>
        <v>Supplies &amp; Inventory</v>
      </c>
      <c r="H948" s="1" t="str">
        <f>TEXT(tblActuals[[#This Row],[Date]],"mmm")</f>
        <v>Oct</v>
      </c>
    </row>
    <row r="949" spans="1:8" x14ac:dyDescent="0.25">
      <c r="A949" s="2">
        <v>45937</v>
      </c>
      <c r="B949" s="1" t="s">
        <v>12</v>
      </c>
      <c r="C949">
        <v>6120</v>
      </c>
      <c r="D949" s="1" t="s">
        <v>31</v>
      </c>
      <c r="E949" s="1" t="s">
        <v>37</v>
      </c>
      <c r="F949">
        <v>4121</v>
      </c>
      <c r="G949" s="1" t="str">
        <f>_xlfn.XLOOKUP(tblActuals[[#This Row],[GL Account]],tblGLMap[GL Account],tblGLMap[Cost Category])</f>
        <v>Supplies &amp; Inventory</v>
      </c>
      <c r="H949" s="1" t="str">
        <f>TEXT(tblActuals[[#This Row],[Date]],"mmm")</f>
        <v>Oct</v>
      </c>
    </row>
    <row r="950" spans="1:8" x14ac:dyDescent="0.25">
      <c r="A950" s="2">
        <v>45935</v>
      </c>
      <c r="B950" s="1" t="s">
        <v>12</v>
      </c>
      <c r="C950">
        <v>6210</v>
      </c>
      <c r="D950" s="1" t="s">
        <v>32</v>
      </c>
      <c r="E950" s="1" t="s">
        <v>38</v>
      </c>
      <c r="F950">
        <v>3839</v>
      </c>
      <c r="G950" s="1" t="str">
        <f>_xlfn.XLOOKUP(tblActuals[[#This Row],[GL Account]],tblGLMap[GL Account],tblGLMap[Cost Category])</f>
        <v>Utilities</v>
      </c>
      <c r="H950" s="1" t="str">
        <f>TEXT(tblActuals[[#This Row],[Date]],"mmm")</f>
        <v>Oct</v>
      </c>
    </row>
    <row r="951" spans="1:8" x14ac:dyDescent="0.25">
      <c r="A951" s="2">
        <v>45936</v>
      </c>
      <c r="B951" s="1" t="s">
        <v>12</v>
      </c>
      <c r="C951">
        <v>6210</v>
      </c>
      <c r="D951" s="1" t="s">
        <v>31</v>
      </c>
      <c r="E951" s="1" t="s">
        <v>38</v>
      </c>
      <c r="F951">
        <v>8679</v>
      </c>
      <c r="G951" s="1" t="str">
        <f>_xlfn.XLOOKUP(tblActuals[[#This Row],[GL Account]],tblGLMap[GL Account],tblGLMap[Cost Category])</f>
        <v>Utilities</v>
      </c>
      <c r="H951" s="1" t="str">
        <f>TEXT(tblActuals[[#This Row],[Date]],"mmm")</f>
        <v>Oct</v>
      </c>
    </row>
    <row r="952" spans="1:8" x14ac:dyDescent="0.25">
      <c r="A952" s="2">
        <v>45937</v>
      </c>
      <c r="B952" s="1" t="s">
        <v>12</v>
      </c>
      <c r="C952">
        <v>6210</v>
      </c>
      <c r="D952" s="1" t="s">
        <v>31</v>
      </c>
      <c r="E952" s="1" t="s">
        <v>38</v>
      </c>
      <c r="F952">
        <v>3568</v>
      </c>
      <c r="G952" s="1" t="str">
        <f>_xlfn.XLOOKUP(tblActuals[[#This Row],[GL Account]],tblGLMap[GL Account],tblGLMap[Cost Category])</f>
        <v>Utilities</v>
      </c>
      <c r="H952" s="1" t="str">
        <f>TEXT(tblActuals[[#This Row],[Date]],"mmm")</f>
        <v>Oct</v>
      </c>
    </row>
    <row r="953" spans="1:8" x14ac:dyDescent="0.25">
      <c r="A953" s="2">
        <v>45935</v>
      </c>
      <c r="B953" s="1" t="s">
        <v>12</v>
      </c>
      <c r="C953">
        <v>6220</v>
      </c>
      <c r="D953" s="1" t="s">
        <v>35</v>
      </c>
      <c r="E953" s="1" t="s">
        <v>40</v>
      </c>
      <c r="F953">
        <v>5366</v>
      </c>
      <c r="G953" s="1" t="str">
        <f>_xlfn.XLOOKUP(tblActuals[[#This Row],[GL Account]],tblGLMap[GL Account],tblGLMap[Cost Category])</f>
        <v>Utilities</v>
      </c>
      <c r="H953" s="1" t="str">
        <f>TEXT(tblActuals[[#This Row],[Date]],"mmm")</f>
        <v>Oct</v>
      </c>
    </row>
    <row r="954" spans="1:8" x14ac:dyDescent="0.25">
      <c r="A954" s="2">
        <v>45936</v>
      </c>
      <c r="B954" s="1" t="s">
        <v>12</v>
      </c>
      <c r="C954">
        <v>6220</v>
      </c>
      <c r="D954" s="1" t="s">
        <v>29</v>
      </c>
      <c r="E954" s="1" t="s">
        <v>40</v>
      </c>
      <c r="F954">
        <v>7501</v>
      </c>
      <c r="G954" s="1" t="str">
        <f>_xlfn.XLOOKUP(tblActuals[[#This Row],[GL Account]],tblGLMap[GL Account],tblGLMap[Cost Category])</f>
        <v>Utilities</v>
      </c>
      <c r="H954" s="1" t="str">
        <f>TEXT(tblActuals[[#This Row],[Date]],"mmm")</f>
        <v>Oct</v>
      </c>
    </row>
    <row r="955" spans="1:8" x14ac:dyDescent="0.25">
      <c r="A955" s="2">
        <v>45937</v>
      </c>
      <c r="B955" s="1" t="s">
        <v>12</v>
      </c>
      <c r="C955">
        <v>6220</v>
      </c>
      <c r="D955" s="1" t="s">
        <v>32</v>
      </c>
      <c r="E955" s="1" t="s">
        <v>40</v>
      </c>
      <c r="F955">
        <v>7772</v>
      </c>
      <c r="G955" s="1" t="str">
        <f>_xlfn.XLOOKUP(tblActuals[[#This Row],[GL Account]],tblGLMap[GL Account],tblGLMap[Cost Category])</f>
        <v>Utilities</v>
      </c>
      <c r="H955" s="1" t="str">
        <f>TEXT(tblActuals[[#This Row],[Date]],"mmm")</f>
        <v>Oct</v>
      </c>
    </row>
    <row r="956" spans="1:8" x14ac:dyDescent="0.25">
      <c r="A956" s="2">
        <v>45935</v>
      </c>
      <c r="B956" s="1" t="s">
        <v>12</v>
      </c>
      <c r="C956">
        <v>6310</v>
      </c>
      <c r="D956" s="1" t="s">
        <v>32</v>
      </c>
      <c r="E956" s="1" t="s">
        <v>41</v>
      </c>
      <c r="F956">
        <v>2030</v>
      </c>
      <c r="G956" s="1" t="str">
        <f>_xlfn.XLOOKUP(tblActuals[[#This Row],[GL Account]],tblGLMap[GL Account],tblGLMap[Cost Category])</f>
        <v>Maintenance &amp; Repairs</v>
      </c>
      <c r="H956" s="1" t="str">
        <f>TEXT(tblActuals[[#This Row],[Date]],"mmm")</f>
        <v>Oct</v>
      </c>
    </row>
    <row r="957" spans="1:8" x14ac:dyDescent="0.25">
      <c r="A957" s="2">
        <v>45936</v>
      </c>
      <c r="B957" s="1" t="s">
        <v>12</v>
      </c>
      <c r="C957">
        <v>6310</v>
      </c>
      <c r="D957" s="1" t="s">
        <v>35</v>
      </c>
      <c r="E957" s="1" t="s">
        <v>41</v>
      </c>
      <c r="F957">
        <v>4013</v>
      </c>
      <c r="G957" s="1" t="str">
        <f>_xlfn.XLOOKUP(tblActuals[[#This Row],[GL Account]],tblGLMap[GL Account],tblGLMap[Cost Category])</f>
        <v>Maintenance &amp; Repairs</v>
      </c>
      <c r="H957" s="1" t="str">
        <f>TEXT(tblActuals[[#This Row],[Date]],"mmm")</f>
        <v>Oct</v>
      </c>
    </row>
    <row r="958" spans="1:8" x14ac:dyDescent="0.25">
      <c r="A958" s="2">
        <v>45937</v>
      </c>
      <c r="B958" s="1" t="s">
        <v>12</v>
      </c>
      <c r="C958">
        <v>6310</v>
      </c>
      <c r="D958" s="1" t="s">
        <v>29</v>
      </c>
      <c r="E958" s="1" t="s">
        <v>41</v>
      </c>
      <c r="F958">
        <v>8871</v>
      </c>
      <c r="G958" s="1" t="str">
        <f>_xlfn.XLOOKUP(tblActuals[[#This Row],[GL Account]],tblGLMap[GL Account],tblGLMap[Cost Category])</f>
        <v>Maintenance &amp; Repairs</v>
      </c>
      <c r="H958" s="1" t="str">
        <f>TEXT(tblActuals[[#This Row],[Date]],"mmm")</f>
        <v>Oct</v>
      </c>
    </row>
    <row r="959" spans="1:8" x14ac:dyDescent="0.25">
      <c r="A959" s="2">
        <v>45935</v>
      </c>
      <c r="B959" s="1" t="s">
        <v>12</v>
      </c>
      <c r="C959">
        <v>6320</v>
      </c>
      <c r="D959" s="1" t="s">
        <v>39</v>
      </c>
      <c r="E959" s="1" t="s">
        <v>42</v>
      </c>
      <c r="F959">
        <v>7595</v>
      </c>
      <c r="G959" s="1" t="str">
        <f>_xlfn.XLOOKUP(tblActuals[[#This Row],[GL Account]],tblGLMap[GL Account],tblGLMap[Cost Category])</f>
        <v>Maintenance &amp; Repairs</v>
      </c>
      <c r="H959" s="1" t="str">
        <f>TEXT(tblActuals[[#This Row],[Date]],"mmm")</f>
        <v>Oct</v>
      </c>
    </row>
    <row r="960" spans="1:8" x14ac:dyDescent="0.25">
      <c r="A960" s="2">
        <v>45936</v>
      </c>
      <c r="B960" s="1" t="s">
        <v>12</v>
      </c>
      <c r="C960">
        <v>6320</v>
      </c>
      <c r="D960" s="1" t="s">
        <v>32</v>
      </c>
      <c r="E960" s="1" t="s">
        <v>42</v>
      </c>
      <c r="F960">
        <v>2759</v>
      </c>
      <c r="G960" s="1" t="str">
        <f>_xlfn.XLOOKUP(tblActuals[[#This Row],[GL Account]],tblGLMap[GL Account],tblGLMap[Cost Category])</f>
        <v>Maintenance &amp; Repairs</v>
      </c>
      <c r="H960" s="1" t="str">
        <f>TEXT(tblActuals[[#This Row],[Date]],"mmm")</f>
        <v>Oct</v>
      </c>
    </row>
    <row r="961" spans="1:8" x14ac:dyDescent="0.25">
      <c r="A961" s="2">
        <v>45937</v>
      </c>
      <c r="B961" s="1" t="s">
        <v>12</v>
      </c>
      <c r="C961">
        <v>6320</v>
      </c>
      <c r="D961" s="1" t="s">
        <v>32</v>
      </c>
      <c r="E961" s="1" t="s">
        <v>42</v>
      </c>
      <c r="F961">
        <v>3755</v>
      </c>
      <c r="G961" s="1" t="str">
        <f>_xlfn.XLOOKUP(tblActuals[[#This Row],[GL Account]],tblGLMap[GL Account],tblGLMap[Cost Category])</f>
        <v>Maintenance &amp; Repairs</v>
      </c>
      <c r="H961" s="1" t="str">
        <f>TEXT(tblActuals[[#This Row],[Date]],"mmm")</f>
        <v>Oct</v>
      </c>
    </row>
    <row r="962" spans="1:8" x14ac:dyDescent="0.25">
      <c r="A962" s="2">
        <v>45966</v>
      </c>
      <c r="B962" s="1" t="s">
        <v>5</v>
      </c>
      <c r="C962">
        <v>6010</v>
      </c>
      <c r="D962" s="1" t="s">
        <v>39</v>
      </c>
      <c r="E962" s="1" t="s">
        <v>30</v>
      </c>
      <c r="F962">
        <v>7512</v>
      </c>
      <c r="G962" s="1" t="str">
        <f>_xlfn.XLOOKUP(tblActuals[[#This Row],[GL Account]],tblGLMap[GL Account],tblGLMap[Cost Category])</f>
        <v>Labor</v>
      </c>
      <c r="H962" s="1" t="str">
        <f>TEXT(tblActuals[[#This Row],[Date]],"mmm")</f>
        <v>Nov</v>
      </c>
    </row>
    <row r="963" spans="1:8" x14ac:dyDescent="0.25">
      <c r="A963" s="2">
        <v>45967</v>
      </c>
      <c r="B963" s="1" t="s">
        <v>5</v>
      </c>
      <c r="C963">
        <v>6010</v>
      </c>
      <c r="D963" s="1" t="s">
        <v>35</v>
      </c>
      <c r="E963" s="1" t="s">
        <v>30</v>
      </c>
      <c r="F963">
        <v>6650</v>
      </c>
      <c r="G963" s="1" t="str">
        <f>_xlfn.XLOOKUP(tblActuals[[#This Row],[GL Account]],tblGLMap[GL Account],tblGLMap[Cost Category])</f>
        <v>Labor</v>
      </c>
      <c r="H963" s="1" t="str">
        <f>TEXT(tblActuals[[#This Row],[Date]],"mmm")</f>
        <v>Nov</v>
      </c>
    </row>
    <row r="964" spans="1:8" x14ac:dyDescent="0.25">
      <c r="A964" s="2">
        <v>45968</v>
      </c>
      <c r="B964" s="1" t="s">
        <v>5</v>
      </c>
      <c r="C964">
        <v>6010</v>
      </c>
      <c r="D964" s="1" t="s">
        <v>34</v>
      </c>
      <c r="E964" s="1" t="s">
        <v>30</v>
      </c>
      <c r="F964">
        <v>6066</v>
      </c>
      <c r="G964" s="1" t="str">
        <f>_xlfn.XLOOKUP(tblActuals[[#This Row],[GL Account]],tblGLMap[GL Account],tblGLMap[Cost Category])</f>
        <v>Labor</v>
      </c>
      <c r="H964" s="1" t="str">
        <f>TEXT(tblActuals[[#This Row],[Date]],"mmm")</f>
        <v>Nov</v>
      </c>
    </row>
    <row r="965" spans="1:8" x14ac:dyDescent="0.25">
      <c r="A965" s="2">
        <v>45966</v>
      </c>
      <c r="B965" s="1" t="s">
        <v>5</v>
      </c>
      <c r="C965">
        <v>6020</v>
      </c>
      <c r="D965" s="1" t="s">
        <v>31</v>
      </c>
      <c r="E965" s="1" t="s">
        <v>33</v>
      </c>
      <c r="F965">
        <v>3358</v>
      </c>
      <c r="G965" s="1" t="str">
        <f>_xlfn.XLOOKUP(tblActuals[[#This Row],[GL Account]],tblGLMap[GL Account],tblGLMap[Cost Category])</f>
        <v>Labor</v>
      </c>
      <c r="H965" s="1" t="str">
        <f>TEXT(tblActuals[[#This Row],[Date]],"mmm")</f>
        <v>Nov</v>
      </c>
    </row>
    <row r="966" spans="1:8" x14ac:dyDescent="0.25">
      <c r="A966" s="2">
        <v>45967</v>
      </c>
      <c r="B966" s="1" t="s">
        <v>5</v>
      </c>
      <c r="C966">
        <v>6020</v>
      </c>
      <c r="D966" s="1" t="s">
        <v>39</v>
      </c>
      <c r="E966" s="1" t="s">
        <v>33</v>
      </c>
      <c r="F966">
        <v>4548</v>
      </c>
      <c r="G966" s="1" t="str">
        <f>_xlfn.XLOOKUP(tblActuals[[#This Row],[GL Account]],tblGLMap[GL Account],tblGLMap[Cost Category])</f>
        <v>Labor</v>
      </c>
      <c r="H966" s="1" t="str">
        <f>TEXT(tblActuals[[#This Row],[Date]],"mmm")</f>
        <v>Nov</v>
      </c>
    </row>
    <row r="967" spans="1:8" x14ac:dyDescent="0.25">
      <c r="A967" s="2">
        <v>45968</v>
      </c>
      <c r="B967" s="1" t="s">
        <v>5</v>
      </c>
      <c r="C967">
        <v>6020</v>
      </c>
      <c r="D967" s="1" t="s">
        <v>39</v>
      </c>
      <c r="E967" s="1" t="s">
        <v>33</v>
      </c>
      <c r="F967">
        <v>9982</v>
      </c>
      <c r="G967" s="1" t="str">
        <f>_xlfn.XLOOKUP(tblActuals[[#This Row],[GL Account]],tblGLMap[GL Account],tblGLMap[Cost Category])</f>
        <v>Labor</v>
      </c>
      <c r="H967" s="1" t="str">
        <f>TEXT(tblActuals[[#This Row],[Date]],"mmm")</f>
        <v>Nov</v>
      </c>
    </row>
    <row r="968" spans="1:8" x14ac:dyDescent="0.25">
      <c r="A968" s="2">
        <v>45966</v>
      </c>
      <c r="B968" s="1" t="s">
        <v>5</v>
      </c>
      <c r="C968">
        <v>6110</v>
      </c>
      <c r="D968" s="1" t="s">
        <v>31</v>
      </c>
      <c r="E968" s="1" t="s">
        <v>36</v>
      </c>
      <c r="F968">
        <v>10702</v>
      </c>
      <c r="G968" s="1" t="str">
        <f>_xlfn.XLOOKUP(tblActuals[[#This Row],[GL Account]],tblGLMap[GL Account],tblGLMap[Cost Category])</f>
        <v>Supplies &amp; Inventory</v>
      </c>
      <c r="H968" s="1" t="str">
        <f>TEXT(tblActuals[[#This Row],[Date]],"mmm")</f>
        <v>Nov</v>
      </c>
    </row>
    <row r="969" spans="1:8" x14ac:dyDescent="0.25">
      <c r="A969" s="2">
        <v>45967</v>
      </c>
      <c r="B969" s="1" t="s">
        <v>5</v>
      </c>
      <c r="C969">
        <v>6110</v>
      </c>
      <c r="D969" s="1" t="s">
        <v>29</v>
      </c>
      <c r="E969" s="1" t="s">
        <v>36</v>
      </c>
      <c r="F969">
        <v>5788</v>
      </c>
      <c r="G969" s="1" t="str">
        <f>_xlfn.XLOOKUP(tblActuals[[#This Row],[GL Account]],tblGLMap[GL Account],tblGLMap[Cost Category])</f>
        <v>Supplies &amp; Inventory</v>
      </c>
      <c r="H969" s="1" t="str">
        <f>TEXT(tblActuals[[#This Row],[Date]],"mmm")</f>
        <v>Nov</v>
      </c>
    </row>
    <row r="970" spans="1:8" x14ac:dyDescent="0.25">
      <c r="A970" s="2">
        <v>45968</v>
      </c>
      <c r="B970" s="1" t="s">
        <v>5</v>
      </c>
      <c r="C970">
        <v>6110</v>
      </c>
      <c r="D970" s="1" t="s">
        <v>34</v>
      </c>
      <c r="E970" s="1" t="s">
        <v>36</v>
      </c>
      <c r="F970">
        <v>8811</v>
      </c>
      <c r="G970" s="1" t="str">
        <f>_xlfn.XLOOKUP(tblActuals[[#This Row],[GL Account]],tblGLMap[GL Account],tblGLMap[Cost Category])</f>
        <v>Supplies &amp; Inventory</v>
      </c>
      <c r="H970" s="1" t="str">
        <f>TEXT(tblActuals[[#This Row],[Date]],"mmm")</f>
        <v>Nov</v>
      </c>
    </row>
    <row r="971" spans="1:8" x14ac:dyDescent="0.25">
      <c r="A971" s="2">
        <v>45966</v>
      </c>
      <c r="B971" s="1" t="s">
        <v>5</v>
      </c>
      <c r="C971">
        <v>6120</v>
      </c>
      <c r="D971" s="1" t="s">
        <v>29</v>
      </c>
      <c r="E971" s="1" t="s">
        <v>37</v>
      </c>
      <c r="F971">
        <v>11524</v>
      </c>
      <c r="G971" s="1" t="str">
        <f>_xlfn.XLOOKUP(tblActuals[[#This Row],[GL Account]],tblGLMap[GL Account],tblGLMap[Cost Category])</f>
        <v>Supplies &amp; Inventory</v>
      </c>
      <c r="H971" s="1" t="str">
        <f>TEXT(tblActuals[[#This Row],[Date]],"mmm")</f>
        <v>Nov</v>
      </c>
    </row>
    <row r="972" spans="1:8" x14ac:dyDescent="0.25">
      <c r="A972" s="2">
        <v>45967</v>
      </c>
      <c r="B972" s="1" t="s">
        <v>5</v>
      </c>
      <c r="C972">
        <v>6120</v>
      </c>
      <c r="D972" s="1" t="s">
        <v>34</v>
      </c>
      <c r="E972" s="1" t="s">
        <v>37</v>
      </c>
      <c r="F972">
        <v>9547</v>
      </c>
      <c r="G972" s="1" t="str">
        <f>_xlfn.XLOOKUP(tblActuals[[#This Row],[GL Account]],tblGLMap[GL Account],tblGLMap[Cost Category])</f>
        <v>Supplies &amp; Inventory</v>
      </c>
      <c r="H972" s="1" t="str">
        <f>TEXT(tblActuals[[#This Row],[Date]],"mmm")</f>
        <v>Nov</v>
      </c>
    </row>
    <row r="973" spans="1:8" x14ac:dyDescent="0.25">
      <c r="A973" s="2">
        <v>45968</v>
      </c>
      <c r="B973" s="1" t="s">
        <v>5</v>
      </c>
      <c r="C973">
        <v>6120</v>
      </c>
      <c r="D973" s="1" t="s">
        <v>34</v>
      </c>
      <c r="E973" s="1" t="s">
        <v>37</v>
      </c>
      <c r="F973">
        <v>3509</v>
      </c>
      <c r="G973" s="1" t="str">
        <f>_xlfn.XLOOKUP(tblActuals[[#This Row],[GL Account]],tblGLMap[GL Account],tblGLMap[Cost Category])</f>
        <v>Supplies &amp; Inventory</v>
      </c>
      <c r="H973" s="1" t="str">
        <f>TEXT(tblActuals[[#This Row],[Date]],"mmm")</f>
        <v>Nov</v>
      </c>
    </row>
    <row r="974" spans="1:8" x14ac:dyDescent="0.25">
      <c r="A974" s="2">
        <v>45966</v>
      </c>
      <c r="B974" s="1" t="s">
        <v>5</v>
      </c>
      <c r="C974">
        <v>6210</v>
      </c>
      <c r="D974" s="1" t="s">
        <v>39</v>
      </c>
      <c r="E974" s="1" t="s">
        <v>38</v>
      </c>
      <c r="F974">
        <v>2713</v>
      </c>
      <c r="G974" s="1" t="str">
        <f>_xlfn.XLOOKUP(tblActuals[[#This Row],[GL Account]],tblGLMap[GL Account],tblGLMap[Cost Category])</f>
        <v>Utilities</v>
      </c>
      <c r="H974" s="1" t="str">
        <f>TEXT(tblActuals[[#This Row],[Date]],"mmm")</f>
        <v>Nov</v>
      </c>
    </row>
    <row r="975" spans="1:8" x14ac:dyDescent="0.25">
      <c r="A975" s="2">
        <v>45967</v>
      </c>
      <c r="B975" s="1" t="s">
        <v>5</v>
      </c>
      <c r="C975">
        <v>6210</v>
      </c>
      <c r="D975" s="1" t="s">
        <v>35</v>
      </c>
      <c r="E975" s="1" t="s">
        <v>38</v>
      </c>
      <c r="F975">
        <v>4328</v>
      </c>
      <c r="G975" s="1" t="str">
        <f>_xlfn.XLOOKUP(tblActuals[[#This Row],[GL Account]],tblGLMap[GL Account],tblGLMap[Cost Category])</f>
        <v>Utilities</v>
      </c>
      <c r="H975" s="1" t="str">
        <f>TEXT(tblActuals[[#This Row],[Date]],"mmm")</f>
        <v>Nov</v>
      </c>
    </row>
    <row r="976" spans="1:8" x14ac:dyDescent="0.25">
      <c r="A976" s="2">
        <v>45968</v>
      </c>
      <c r="B976" s="1" t="s">
        <v>5</v>
      </c>
      <c r="C976">
        <v>6210</v>
      </c>
      <c r="D976" s="1" t="s">
        <v>31</v>
      </c>
      <c r="E976" s="1" t="s">
        <v>38</v>
      </c>
      <c r="F976">
        <v>8792</v>
      </c>
      <c r="G976" s="1" t="str">
        <f>_xlfn.XLOOKUP(tblActuals[[#This Row],[GL Account]],tblGLMap[GL Account],tblGLMap[Cost Category])</f>
        <v>Utilities</v>
      </c>
      <c r="H976" s="1" t="str">
        <f>TEXT(tblActuals[[#This Row],[Date]],"mmm")</f>
        <v>Nov</v>
      </c>
    </row>
    <row r="977" spans="1:8" x14ac:dyDescent="0.25">
      <c r="A977" s="2">
        <v>45966</v>
      </c>
      <c r="B977" s="1" t="s">
        <v>5</v>
      </c>
      <c r="C977">
        <v>6220</v>
      </c>
      <c r="D977" s="1" t="s">
        <v>35</v>
      </c>
      <c r="E977" s="1" t="s">
        <v>40</v>
      </c>
      <c r="F977">
        <v>6736</v>
      </c>
      <c r="G977" s="1" t="str">
        <f>_xlfn.XLOOKUP(tblActuals[[#This Row],[GL Account]],tblGLMap[GL Account],tblGLMap[Cost Category])</f>
        <v>Utilities</v>
      </c>
      <c r="H977" s="1" t="str">
        <f>TEXT(tblActuals[[#This Row],[Date]],"mmm")</f>
        <v>Nov</v>
      </c>
    </row>
    <row r="978" spans="1:8" x14ac:dyDescent="0.25">
      <c r="A978" s="2">
        <v>45967</v>
      </c>
      <c r="B978" s="1" t="s">
        <v>5</v>
      </c>
      <c r="C978">
        <v>6220</v>
      </c>
      <c r="D978" s="1" t="s">
        <v>35</v>
      </c>
      <c r="E978" s="1" t="s">
        <v>40</v>
      </c>
      <c r="F978">
        <v>7192</v>
      </c>
      <c r="G978" s="1" t="str">
        <f>_xlfn.XLOOKUP(tblActuals[[#This Row],[GL Account]],tblGLMap[GL Account],tblGLMap[Cost Category])</f>
        <v>Utilities</v>
      </c>
      <c r="H978" s="1" t="str">
        <f>TEXT(tblActuals[[#This Row],[Date]],"mmm")</f>
        <v>Nov</v>
      </c>
    </row>
    <row r="979" spans="1:8" x14ac:dyDescent="0.25">
      <c r="A979" s="2">
        <v>45968</v>
      </c>
      <c r="B979" s="1" t="s">
        <v>5</v>
      </c>
      <c r="C979">
        <v>6220</v>
      </c>
      <c r="D979" s="1" t="s">
        <v>32</v>
      </c>
      <c r="E979" s="1" t="s">
        <v>40</v>
      </c>
      <c r="F979">
        <v>2563</v>
      </c>
      <c r="G979" s="1" t="str">
        <f>_xlfn.XLOOKUP(tblActuals[[#This Row],[GL Account]],tblGLMap[GL Account],tblGLMap[Cost Category])</f>
        <v>Utilities</v>
      </c>
      <c r="H979" s="1" t="str">
        <f>TEXT(tblActuals[[#This Row],[Date]],"mmm")</f>
        <v>Nov</v>
      </c>
    </row>
    <row r="980" spans="1:8" x14ac:dyDescent="0.25">
      <c r="A980" s="2">
        <v>45966</v>
      </c>
      <c r="B980" s="1" t="s">
        <v>5</v>
      </c>
      <c r="C980">
        <v>6310</v>
      </c>
      <c r="D980" s="1" t="s">
        <v>29</v>
      </c>
      <c r="E980" s="1" t="s">
        <v>41</v>
      </c>
      <c r="F980">
        <v>10382</v>
      </c>
      <c r="G980" s="1" t="str">
        <f>_xlfn.XLOOKUP(tblActuals[[#This Row],[GL Account]],tblGLMap[GL Account],tblGLMap[Cost Category])</f>
        <v>Maintenance &amp; Repairs</v>
      </c>
      <c r="H980" s="1" t="str">
        <f>TEXT(tblActuals[[#This Row],[Date]],"mmm")</f>
        <v>Nov</v>
      </c>
    </row>
    <row r="981" spans="1:8" x14ac:dyDescent="0.25">
      <c r="A981" s="2">
        <v>45967</v>
      </c>
      <c r="B981" s="1" t="s">
        <v>5</v>
      </c>
      <c r="C981">
        <v>6310</v>
      </c>
      <c r="D981" s="1" t="s">
        <v>34</v>
      </c>
      <c r="E981" s="1" t="s">
        <v>41</v>
      </c>
      <c r="F981">
        <v>6414</v>
      </c>
      <c r="G981" s="1" t="str">
        <f>_xlfn.XLOOKUP(tblActuals[[#This Row],[GL Account]],tblGLMap[GL Account],tblGLMap[Cost Category])</f>
        <v>Maintenance &amp; Repairs</v>
      </c>
      <c r="H981" s="1" t="str">
        <f>TEXT(tblActuals[[#This Row],[Date]],"mmm")</f>
        <v>Nov</v>
      </c>
    </row>
    <row r="982" spans="1:8" x14ac:dyDescent="0.25">
      <c r="A982" s="2">
        <v>45968</v>
      </c>
      <c r="B982" s="1" t="s">
        <v>5</v>
      </c>
      <c r="C982">
        <v>6310</v>
      </c>
      <c r="D982" s="1" t="s">
        <v>34</v>
      </c>
      <c r="E982" s="1" t="s">
        <v>41</v>
      </c>
      <c r="F982">
        <v>11948</v>
      </c>
      <c r="G982" s="1" t="str">
        <f>_xlfn.XLOOKUP(tblActuals[[#This Row],[GL Account]],tblGLMap[GL Account],tblGLMap[Cost Category])</f>
        <v>Maintenance &amp; Repairs</v>
      </c>
      <c r="H982" s="1" t="str">
        <f>TEXT(tblActuals[[#This Row],[Date]],"mmm")</f>
        <v>Nov</v>
      </c>
    </row>
    <row r="983" spans="1:8" x14ac:dyDescent="0.25">
      <c r="A983" s="2">
        <v>45966</v>
      </c>
      <c r="B983" s="1" t="s">
        <v>5</v>
      </c>
      <c r="C983">
        <v>6320</v>
      </c>
      <c r="D983" s="1" t="s">
        <v>32</v>
      </c>
      <c r="E983" s="1" t="s">
        <v>42</v>
      </c>
      <c r="F983">
        <v>7422</v>
      </c>
      <c r="G983" s="1" t="str">
        <f>_xlfn.XLOOKUP(tblActuals[[#This Row],[GL Account]],tblGLMap[GL Account],tblGLMap[Cost Category])</f>
        <v>Maintenance &amp; Repairs</v>
      </c>
      <c r="H983" s="1" t="str">
        <f>TEXT(tblActuals[[#This Row],[Date]],"mmm")</f>
        <v>Nov</v>
      </c>
    </row>
    <row r="984" spans="1:8" x14ac:dyDescent="0.25">
      <c r="A984" s="2">
        <v>45967</v>
      </c>
      <c r="B984" s="1" t="s">
        <v>5</v>
      </c>
      <c r="C984">
        <v>6320</v>
      </c>
      <c r="D984" s="1" t="s">
        <v>31</v>
      </c>
      <c r="E984" s="1" t="s">
        <v>42</v>
      </c>
      <c r="F984">
        <v>5173</v>
      </c>
      <c r="G984" s="1" t="str">
        <f>_xlfn.XLOOKUP(tblActuals[[#This Row],[GL Account]],tblGLMap[GL Account],tblGLMap[Cost Category])</f>
        <v>Maintenance &amp; Repairs</v>
      </c>
      <c r="H984" s="1" t="str">
        <f>TEXT(tblActuals[[#This Row],[Date]],"mmm")</f>
        <v>Nov</v>
      </c>
    </row>
    <row r="985" spans="1:8" x14ac:dyDescent="0.25">
      <c r="A985" s="2">
        <v>45968</v>
      </c>
      <c r="B985" s="1" t="s">
        <v>5</v>
      </c>
      <c r="C985">
        <v>6320</v>
      </c>
      <c r="D985" s="1" t="s">
        <v>34</v>
      </c>
      <c r="E985" s="1" t="s">
        <v>42</v>
      </c>
      <c r="F985">
        <v>4792</v>
      </c>
      <c r="G985" s="1" t="str">
        <f>_xlfn.XLOOKUP(tblActuals[[#This Row],[GL Account]],tblGLMap[GL Account],tblGLMap[Cost Category])</f>
        <v>Maintenance &amp; Repairs</v>
      </c>
      <c r="H985" s="1" t="str">
        <f>TEXT(tblActuals[[#This Row],[Date]],"mmm")</f>
        <v>Nov</v>
      </c>
    </row>
    <row r="986" spans="1:8" x14ac:dyDescent="0.25">
      <c r="A986" s="2">
        <v>45966</v>
      </c>
      <c r="B986" s="1" t="s">
        <v>10</v>
      </c>
      <c r="C986">
        <v>6010</v>
      </c>
      <c r="D986" s="1" t="s">
        <v>39</v>
      </c>
      <c r="E986" s="1" t="s">
        <v>30</v>
      </c>
      <c r="F986">
        <v>5378</v>
      </c>
      <c r="G986" s="1" t="str">
        <f>_xlfn.XLOOKUP(tblActuals[[#This Row],[GL Account]],tblGLMap[GL Account],tblGLMap[Cost Category])</f>
        <v>Labor</v>
      </c>
      <c r="H986" s="1" t="str">
        <f>TEXT(tblActuals[[#This Row],[Date]],"mmm")</f>
        <v>Nov</v>
      </c>
    </row>
    <row r="987" spans="1:8" x14ac:dyDescent="0.25">
      <c r="A987" s="2">
        <v>45967</v>
      </c>
      <c r="B987" s="1" t="s">
        <v>10</v>
      </c>
      <c r="C987">
        <v>6010</v>
      </c>
      <c r="D987" s="1" t="s">
        <v>29</v>
      </c>
      <c r="E987" s="1" t="s">
        <v>30</v>
      </c>
      <c r="F987">
        <v>1930</v>
      </c>
      <c r="G987" s="1" t="str">
        <f>_xlfn.XLOOKUP(tblActuals[[#This Row],[GL Account]],tblGLMap[GL Account],tblGLMap[Cost Category])</f>
        <v>Labor</v>
      </c>
      <c r="H987" s="1" t="str">
        <f>TEXT(tblActuals[[#This Row],[Date]],"mmm")</f>
        <v>Nov</v>
      </c>
    </row>
    <row r="988" spans="1:8" x14ac:dyDescent="0.25">
      <c r="A988" s="2">
        <v>45968</v>
      </c>
      <c r="B988" s="1" t="s">
        <v>10</v>
      </c>
      <c r="C988">
        <v>6010</v>
      </c>
      <c r="D988" s="1" t="s">
        <v>32</v>
      </c>
      <c r="E988" s="1" t="s">
        <v>30</v>
      </c>
      <c r="F988">
        <v>10577</v>
      </c>
      <c r="G988" s="1" t="str">
        <f>_xlfn.XLOOKUP(tblActuals[[#This Row],[GL Account]],tblGLMap[GL Account],tblGLMap[Cost Category])</f>
        <v>Labor</v>
      </c>
      <c r="H988" s="1" t="str">
        <f>TEXT(tblActuals[[#This Row],[Date]],"mmm")</f>
        <v>Nov</v>
      </c>
    </row>
    <row r="989" spans="1:8" x14ac:dyDescent="0.25">
      <c r="A989" s="2">
        <v>45966</v>
      </c>
      <c r="B989" s="1" t="s">
        <v>10</v>
      </c>
      <c r="C989">
        <v>6020</v>
      </c>
      <c r="D989" s="1" t="s">
        <v>39</v>
      </c>
      <c r="E989" s="1" t="s">
        <v>33</v>
      </c>
      <c r="F989">
        <v>7544</v>
      </c>
      <c r="G989" s="1" t="str">
        <f>_xlfn.XLOOKUP(tblActuals[[#This Row],[GL Account]],tblGLMap[GL Account],tblGLMap[Cost Category])</f>
        <v>Labor</v>
      </c>
      <c r="H989" s="1" t="str">
        <f>TEXT(tblActuals[[#This Row],[Date]],"mmm")</f>
        <v>Nov</v>
      </c>
    </row>
    <row r="990" spans="1:8" x14ac:dyDescent="0.25">
      <c r="A990" s="2">
        <v>45967</v>
      </c>
      <c r="B990" s="1" t="s">
        <v>10</v>
      </c>
      <c r="C990">
        <v>6020</v>
      </c>
      <c r="D990" s="1" t="s">
        <v>34</v>
      </c>
      <c r="E990" s="1" t="s">
        <v>33</v>
      </c>
      <c r="F990">
        <v>10538</v>
      </c>
      <c r="G990" s="1" t="str">
        <f>_xlfn.XLOOKUP(tblActuals[[#This Row],[GL Account]],tblGLMap[GL Account],tblGLMap[Cost Category])</f>
        <v>Labor</v>
      </c>
      <c r="H990" s="1" t="str">
        <f>TEXT(tblActuals[[#This Row],[Date]],"mmm")</f>
        <v>Nov</v>
      </c>
    </row>
    <row r="991" spans="1:8" x14ac:dyDescent="0.25">
      <c r="A991" s="2">
        <v>45968</v>
      </c>
      <c r="B991" s="1" t="s">
        <v>10</v>
      </c>
      <c r="C991">
        <v>6020</v>
      </c>
      <c r="D991" s="1" t="s">
        <v>31</v>
      </c>
      <c r="E991" s="1" t="s">
        <v>33</v>
      </c>
      <c r="F991">
        <v>11526</v>
      </c>
      <c r="G991" s="1" t="str">
        <f>_xlfn.XLOOKUP(tblActuals[[#This Row],[GL Account]],tblGLMap[GL Account],tblGLMap[Cost Category])</f>
        <v>Labor</v>
      </c>
      <c r="H991" s="1" t="str">
        <f>TEXT(tblActuals[[#This Row],[Date]],"mmm")</f>
        <v>Nov</v>
      </c>
    </row>
    <row r="992" spans="1:8" x14ac:dyDescent="0.25">
      <c r="A992" s="2">
        <v>45966</v>
      </c>
      <c r="B992" s="1" t="s">
        <v>10</v>
      </c>
      <c r="C992">
        <v>6110</v>
      </c>
      <c r="D992" s="1" t="s">
        <v>29</v>
      </c>
      <c r="E992" s="1" t="s">
        <v>36</v>
      </c>
      <c r="F992">
        <v>2577</v>
      </c>
      <c r="G992" s="1" t="str">
        <f>_xlfn.XLOOKUP(tblActuals[[#This Row],[GL Account]],tblGLMap[GL Account],tblGLMap[Cost Category])</f>
        <v>Supplies &amp; Inventory</v>
      </c>
      <c r="H992" s="1" t="str">
        <f>TEXT(tblActuals[[#This Row],[Date]],"mmm")</f>
        <v>Nov</v>
      </c>
    </row>
    <row r="993" spans="1:8" x14ac:dyDescent="0.25">
      <c r="A993" s="2">
        <v>45967</v>
      </c>
      <c r="B993" s="1" t="s">
        <v>10</v>
      </c>
      <c r="C993">
        <v>6110</v>
      </c>
      <c r="D993" s="1" t="s">
        <v>35</v>
      </c>
      <c r="E993" s="1" t="s">
        <v>36</v>
      </c>
      <c r="F993">
        <v>8023</v>
      </c>
      <c r="G993" s="1" t="str">
        <f>_xlfn.XLOOKUP(tblActuals[[#This Row],[GL Account]],tblGLMap[GL Account],tblGLMap[Cost Category])</f>
        <v>Supplies &amp; Inventory</v>
      </c>
      <c r="H993" s="1" t="str">
        <f>TEXT(tblActuals[[#This Row],[Date]],"mmm")</f>
        <v>Nov</v>
      </c>
    </row>
    <row r="994" spans="1:8" x14ac:dyDescent="0.25">
      <c r="A994" s="2">
        <v>45968</v>
      </c>
      <c r="B994" s="1" t="s">
        <v>10</v>
      </c>
      <c r="C994">
        <v>6110</v>
      </c>
      <c r="D994" s="1" t="s">
        <v>32</v>
      </c>
      <c r="E994" s="1" t="s">
        <v>36</v>
      </c>
      <c r="F994">
        <v>9342</v>
      </c>
      <c r="G994" s="1" t="str">
        <f>_xlfn.XLOOKUP(tblActuals[[#This Row],[GL Account]],tblGLMap[GL Account],tblGLMap[Cost Category])</f>
        <v>Supplies &amp; Inventory</v>
      </c>
      <c r="H994" s="1" t="str">
        <f>TEXT(tblActuals[[#This Row],[Date]],"mmm")</f>
        <v>Nov</v>
      </c>
    </row>
    <row r="995" spans="1:8" x14ac:dyDescent="0.25">
      <c r="A995" s="2">
        <v>45966</v>
      </c>
      <c r="B995" s="1" t="s">
        <v>10</v>
      </c>
      <c r="C995">
        <v>6120</v>
      </c>
      <c r="D995" s="1" t="s">
        <v>39</v>
      </c>
      <c r="E995" s="1" t="s">
        <v>37</v>
      </c>
      <c r="F995">
        <v>8230</v>
      </c>
      <c r="G995" s="1" t="str">
        <f>_xlfn.XLOOKUP(tblActuals[[#This Row],[GL Account]],tblGLMap[GL Account],tblGLMap[Cost Category])</f>
        <v>Supplies &amp; Inventory</v>
      </c>
      <c r="H995" s="1" t="str">
        <f>TEXT(tblActuals[[#This Row],[Date]],"mmm")</f>
        <v>Nov</v>
      </c>
    </row>
    <row r="996" spans="1:8" x14ac:dyDescent="0.25">
      <c r="A996" s="2">
        <v>45967</v>
      </c>
      <c r="B996" s="1" t="s">
        <v>10</v>
      </c>
      <c r="C996">
        <v>6120</v>
      </c>
      <c r="D996" s="1" t="s">
        <v>31</v>
      </c>
      <c r="E996" s="1" t="s">
        <v>37</v>
      </c>
      <c r="F996">
        <v>10919</v>
      </c>
      <c r="G996" s="1" t="str">
        <f>_xlfn.XLOOKUP(tblActuals[[#This Row],[GL Account]],tblGLMap[GL Account],tblGLMap[Cost Category])</f>
        <v>Supplies &amp; Inventory</v>
      </c>
      <c r="H996" s="1" t="str">
        <f>TEXT(tblActuals[[#This Row],[Date]],"mmm")</f>
        <v>Nov</v>
      </c>
    </row>
    <row r="997" spans="1:8" x14ac:dyDescent="0.25">
      <c r="A997" s="2">
        <v>45968</v>
      </c>
      <c r="B997" s="1" t="s">
        <v>10</v>
      </c>
      <c r="C997">
        <v>6120</v>
      </c>
      <c r="D997" s="1" t="s">
        <v>29</v>
      </c>
      <c r="E997" s="1" t="s">
        <v>37</v>
      </c>
      <c r="F997">
        <v>3553</v>
      </c>
      <c r="G997" s="1" t="str">
        <f>_xlfn.XLOOKUP(tblActuals[[#This Row],[GL Account]],tblGLMap[GL Account],tblGLMap[Cost Category])</f>
        <v>Supplies &amp; Inventory</v>
      </c>
      <c r="H997" s="1" t="str">
        <f>TEXT(tblActuals[[#This Row],[Date]],"mmm")</f>
        <v>Nov</v>
      </c>
    </row>
    <row r="998" spans="1:8" x14ac:dyDescent="0.25">
      <c r="A998" s="2">
        <v>45966</v>
      </c>
      <c r="B998" s="1" t="s">
        <v>10</v>
      </c>
      <c r="C998">
        <v>6210</v>
      </c>
      <c r="D998" s="1" t="s">
        <v>39</v>
      </c>
      <c r="E998" s="1" t="s">
        <v>38</v>
      </c>
      <c r="F998">
        <v>2715</v>
      </c>
      <c r="G998" s="1" t="str">
        <f>_xlfn.XLOOKUP(tblActuals[[#This Row],[GL Account]],tblGLMap[GL Account],tblGLMap[Cost Category])</f>
        <v>Utilities</v>
      </c>
      <c r="H998" s="1" t="str">
        <f>TEXT(tblActuals[[#This Row],[Date]],"mmm")</f>
        <v>Nov</v>
      </c>
    </row>
    <row r="999" spans="1:8" x14ac:dyDescent="0.25">
      <c r="A999" s="2">
        <v>45967</v>
      </c>
      <c r="B999" s="1" t="s">
        <v>10</v>
      </c>
      <c r="C999">
        <v>6210</v>
      </c>
      <c r="D999" s="1" t="s">
        <v>35</v>
      </c>
      <c r="E999" s="1" t="s">
        <v>38</v>
      </c>
      <c r="F999">
        <v>9132</v>
      </c>
      <c r="G999" s="1" t="str">
        <f>_xlfn.XLOOKUP(tblActuals[[#This Row],[GL Account]],tblGLMap[GL Account],tblGLMap[Cost Category])</f>
        <v>Utilities</v>
      </c>
      <c r="H999" s="1" t="str">
        <f>TEXT(tblActuals[[#This Row],[Date]],"mmm")</f>
        <v>Nov</v>
      </c>
    </row>
    <row r="1000" spans="1:8" x14ac:dyDescent="0.25">
      <c r="A1000" s="2">
        <v>45968</v>
      </c>
      <c r="B1000" s="1" t="s">
        <v>10</v>
      </c>
      <c r="C1000">
        <v>6210</v>
      </c>
      <c r="D1000" s="1" t="s">
        <v>29</v>
      </c>
      <c r="E1000" s="1" t="s">
        <v>38</v>
      </c>
      <c r="F1000">
        <v>9976</v>
      </c>
      <c r="G1000" s="1" t="str">
        <f>_xlfn.XLOOKUP(tblActuals[[#This Row],[GL Account]],tblGLMap[GL Account],tblGLMap[Cost Category])</f>
        <v>Utilities</v>
      </c>
      <c r="H1000" s="1" t="str">
        <f>TEXT(tblActuals[[#This Row],[Date]],"mmm")</f>
        <v>Nov</v>
      </c>
    </row>
    <row r="1001" spans="1:8" x14ac:dyDescent="0.25">
      <c r="A1001" s="2">
        <v>45966</v>
      </c>
      <c r="B1001" s="1" t="s">
        <v>10</v>
      </c>
      <c r="C1001">
        <v>6220</v>
      </c>
      <c r="D1001" s="1" t="s">
        <v>32</v>
      </c>
      <c r="E1001" s="1" t="s">
        <v>40</v>
      </c>
      <c r="F1001">
        <v>3602</v>
      </c>
      <c r="G1001" s="1" t="str">
        <f>_xlfn.XLOOKUP(tblActuals[[#This Row],[GL Account]],tblGLMap[GL Account],tblGLMap[Cost Category])</f>
        <v>Utilities</v>
      </c>
      <c r="H1001" s="1" t="str">
        <f>TEXT(tblActuals[[#This Row],[Date]],"mmm")</f>
        <v>Nov</v>
      </c>
    </row>
    <row r="1002" spans="1:8" x14ac:dyDescent="0.25">
      <c r="A1002" s="2">
        <v>45967</v>
      </c>
      <c r="B1002" s="1" t="s">
        <v>10</v>
      </c>
      <c r="C1002">
        <v>6220</v>
      </c>
      <c r="D1002" s="1" t="s">
        <v>32</v>
      </c>
      <c r="E1002" s="1" t="s">
        <v>40</v>
      </c>
      <c r="F1002">
        <v>11982</v>
      </c>
      <c r="G1002" s="1" t="str">
        <f>_xlfn.XLOOKUP(tblActuals[[#This Row],[GL Account]],tblGLMap[GL Account],tblGLMap[Cost Category])</f>
        <v>Utilities</v>
      </c>
      <c r="H1002" s="1" t="str">
        <f>TEXT(tblActuals[[#This Row],[Date]],"mmm")</f>
        <v>Nov</v>
      </c>
    </row>
    <row r="1003" spans="1:8" x14ac:dyDescent="0.25">
      <c r="A1003" s="2">
        <v>45968</v>
      </c>
      <c r="B1003" s="1" t="s">
        <v>10</v>
      </c>
      <c r="C1003">
        <v>6220</v>
      </c>
      <c r="D1003" s="1" t="s">
        <v>34</v>
      </c>
      <c r="E1003" s="1" t="s">
        <v>40</v>
      </c>
      <c r="F1003">
        <v>4481</v>
      </c>
      <c r="G1003" s="1" t="str">
        <f>_xlfn.XLOOKUP(tblActuals[[#This Row],[GL Account]],tblGLMap[GL Account],tblGLMap[Cost Category])</f>
        <v>Utilities</v>
      </c>
      <c r="H1003" s="1" t="str">
        <f>TEXT(tblActuals[[#This Row],[Date]],"mmm")</f>
        <v>Nov</v>
      </c>
    </row>
    <row r="1004" spans="1:8" x14ac:dyDescent="0.25">
      <c r="A1004" s="2">
        <v>45966</v>
      </c>
      <c r="B1004" s="1" t="s">
        <v>10</v>
      </c>
      <c r="C1004">
        <v>6310</v>
      </c>
      <c r="D1004" s="1" t="s">
        <v>32</v>
      </c>
      <c r="E1004" s="1" t="s">
        <v>41</v>
      </c>
      <c r="F1004">
        <v>8588</v>
      </c>
      <c r="G1004" s="1" t="str">
        <f>_xlfn.XLOOKUP(tblActuals[[#This Row],[GL Account]],tblGLMap[GL Account],tblGLMap[Cost Category])</f>
        <v>Maintenance &amp; Repairs</v>
      </c>
      <c r="H1004" s="1" t="str">
        <f>TEXT(tblActuals[[#This Row],[Date]],"mmm")</f>
        <v>Nov</v>
      </c>
    </row>
    <row r="1005" spans="1:8" x14ac:dyDescent="0.25">
      <c r="A1005" s="2">
        <v>45967</v>
      </c>
      <c r="B1005" s="1" t="s">
        <v>10</v>
      </c>
      <c r="C1005">
        <v>6310</v>
      </c>
      <c r="D1005" s="1" t="s">
        <v>31</v>
      </c>
      <c r="E1005" s="1" t="s">
        <v>41</v>
      </c>
      <c r="F1005">
        <v>2407</v>
      </c>
      <c r="G1005" s="1" t="str">
        <f>_xlfn.XLOOKUP(tblActuals[[#This Row],[GL Account]],tblGLMap[GL Account],tblGLMap[Cost Category])</f>
        <v>Maintenance &amp; Repairs</v>
      </c>
      <c r="H1005" s="1" t="str">
        <f>TEXT(tblActuals[[#This Row],[Date]],"mmm")</f>
        <v>Nov</v>
      </c>
    </row>
    <row r="1006" spans="1:8" x14ac:dyDescent="0.25">
      <c r="A1006" s="2">
        <v>45968</v>
      </c>
      <c r="B1006" s="1" t="s">
        <v>10</v>
      </c>
      <c r="C1006">
        <v>6310</v>
      </c>
      <c r="D1006" s="1" t="s">
        <v>34</v>
      </c>
      <c r="E1006" s="1" t="s">
        <v>41</v>
      </c>
      <c r="F1006">
        <v>9988</v>
      </c>
      <c r="G1006" s="1" t="str">
        <f>_xlfn.XLOOKUP(tblActuals[[#This Row],[GL Account]],tblGLMap[GL Account],tblGLMap[Cost Category])</f>
        <v>Maintenance &amp; Repairs</v>
      </c>
      <c r="H1006" s="1" t="str">
        <f>TEXT(tblActuals[[#This Row],[Date]],"mmm")</f>
        <v>Nov</v>
      </c>
    </row>
    <row r="1007" spans="1:8" x14ac:dyDescent="0.25">
      <c r="A1007" s="2">
        <v>45966</v>
      </c>
      <c r="B1007" s="1" t="s">
        <v>10</v>
      </c>
      <c r="C1007">
        <v>6320</v>
      </c>
      <c r="D1007" s="1" t="s">
        <v>34</v>
      </c>
      <c r="E1007" s="1" t="s">
        <v>42</v>
      </c>
      <c r="F1007">
        <v>6482</v>
      </c>
      <c r="G1007" s="1" t="str">
        <f>_xlfn.XLOOKUP(tblActuals[[#This Row],[GL Account]],tblGLMap[GL Account],tblGLMap[Cost Category])</f>
        <v>Maintenance &amp; Repairs</v>
      </c>
      <c r="H1007" s="1" t="str">
        <f>TEXT(tblActuals[[#This Row],[Date]],"mmm")</f>
        <v>Nov</v>
      </c>
    </row>
    <row r="1008" spans="1:8" x14ac:dyDescent="0.25">
      <c r="A1008" s="2">
        <v>45967</v>
      </c>
      <c r="B1008" s="1" t="s">
        <v>10</v>
      </c>
      <c r="C1008">
        <v>6320</v>
      </c>
      <c r="D1008" s="1" t="s">
        <v>29</v>
      </c>
      <c r="E1008" s="1" t="s">
        <v>42</v>
      </c>
      <c r="F1008">
        <v>4153</v>
      </c>
      <c r="G1008" s="1" t="str">
        <f>_xlfn.XLOOKUP(tblActuals[[#This Row],[GL Account]],tblGLMap[GL Account],tblGLMap[Cost Category])</f>
        <v>Maintenance &amp; Repairs</v>
      </c>
      <c r="H1008" s="1" t="str">
        <f>TEXT(tblActuals[[#This Row],[Date]],"mmm")</f>
        <v>Nov</v>
      </c>
    </row>
    <row r="1009" spans="1:8" x14ac:dyDescent="0.25">
      <c r="A1009" s="2">
        <v>45968</v>
      </c>
      <c r="B1009" s="1" t="s">
        <v>10</v>
      </c>
      <c r="C1009">
        <v>6320</v>
      </c>
      <c r="D1009" s="1" t="s">
        <v>29</v>
      </c>
      <c r="E1009" s="1" t="s">
        <v>42</v>
      </c>
      <c r="F1009">
        <v>5194</v>
      </c>
      <c r="G1009" s="1" t="str">
        <f>_xlfn.XLOOKUP(tblActuals[[#This Row],[GL Account]],tblGLMap[GL Account],tblGLMap[Cost Category])</f>
        <v>Maintenance &amp; Repairs</v>
      </c>
      <c r="H1009" s="1" t="str">
        <f>TEXT(tblActuals[[#This Row],[Date]],"mmm")</f>
        <v>Nov</v>
      </c>
    </row>
    <row r="1010" spans="1:8" x14ac:dyDescent="0.25">
      <c r="A1010" s="2">
        <v>45966</v>
      </c>
      <c r="B1010" s="1" t="s">
        <v>11</v>
      </c>
      <c r="C1010">
        <v>6010</v>
      </c>
      <c r="D1010" s="1" t="s">
        <v>29</v>
      </c>
      <c r="E1010" s="1" t="s">
        <v>30</v>
      </c>
      <c r="F1010">
        <v>10001</v>
      </c>
      <c r="G1010" s="1" t="str">
        <f>_xlfn.XLOOKUP(tblActuals[[#This Row],[GL Account]],tblGLMap[GL Account],tblGLMap[Cost Category])</f>
        <v>Labor</v>
      </c>
      <c r="H1010" s="1" t="str">
        <f>TEXT(tblActuals[[#This Row],[Date]],"mmm")</f>
        <v>Nov</v>
      </c>
    </row>
    <row r="1011" spans="1:8" x14ac:dyDescent="0.25">
      <c r="A1011" s="2">
        <v>45967</v>
      </c>
      <c r="B1011" s="1" t="s">
        <v>11</v>
      </c>
      <c r="C1011">
        <v>6010</v>
      </c>
      <c r="D1011" s="1" t="s">
        <v>29</v>
      </c>
      <c r="E1011" s="1" t="s">
        <v>30</v>
      </c>
      <c r="F1011">
        <v>2792</v>
      </c>
      <c r="G1011" s="1" t="str">
        <f>_xlfn.XLOOKUP(tblActuals[[#This Row],[GL Account]],tblGLMap[GL Account],tblGLMap[Cost Category])</f>
        <v>Labor</v>
      </c>
      <c r="H1011" s="1" t="str">
        <f>TEXT(tblActuals[[#This Row],[Date]],"mmm")</f>
        <v>Nov</v>
      </c>
    </row>
    <row r="1012" spans="1:8" x14ac:dyDescent="0.25">
      <c r="A1012" s="2">
        <v>45968</v>
      </c>
      <c r="B1012" s="1" t="s">
        <v>11</v>
      </c>
      <c r="C1012">
        <v>6010</v>
      </c>
      <c r="D1012" s="1" t="s">
        <v>35</v>
      </c>
      <c r="E1012" s="1" t="s">
        <v>30</v>
      </c>
      <c r="F1012">
        <v>4716</v>
      </c>
      <c r="G1012" s="1" t="str">
        <f>_xlfn.XLOOKUP(tblActuals[[#This Row],[GL Account]],tblGLMap[GL Account],tblGLMap[Cost Category])</f>
        <v>Labor</v>
      </c>
      <c r="H1012" s="1" t="str">
        <f>TEXT(tblActuals[[#This Row],[Date]],"mmm")</f>
        <v>Nov</v>
      </c>
    </row>
    <row r="1013" spans="1:8" x14ac:dyDescent="0.25">
      <c r="A1013" s="2">
        <v>45966</v>
      </c>
      <c r="B1013" s="1" t="s">
        <v>11</v>
      </c>
      <c r="C1013">
        <v>6020</v>
      </c>
      <c r="D1013" s="1" t="s">
        <v>29</v>
      </c>
      <c r="E1013" s="1" t="s">
        <v>33</v>
      </c>
      <c r="F1013">
        <v>10524</v>
      </c>
      <c r="G1013" s="1" t="str">
        <f>_xlfn.XLOOKUP(tblActuals[[#This Row],[GL Account]],tblGLMap[GL Account],tblGLMap[Cost Category])</f>
        <v>Labor</v>
      </c>
      <c r="H1013" s="1" t="str">
        <f>TEXT(tblActuals[[#This Row],[Date]],"mmm")</f>
        <v>Nov</v>
      </c>
    </row>
    <row r="1014" spans="1:8" x14ac:dyDescent="0.25">
      <c r="A1014" s="2">
        <v>45967</v>
      </c>
      <c r="B1014" s="1" t="s">
        <v>11</v>
      </c>
      <c r="C1014">
        <v>6020</v>
      </c>
      <c r="D1014" s="1" t="s">
        <v>35</v>
      </c>
      <c r="E1014" s="1" t="s">
        <v>33</v>
      </c>
      <c r="F1014">
        <v>3550</v>
      </c>
      <c r="G1014" s="1" t="str">
        <f>_xlfn.XLOOKUP(tblActuals[[#This Row],[GL Account]],tblGLMap[GL Account],tblGLMap[Cost Category])</f>
        <v>Labor</v>
      </c>
      <c r="H1014" s="1" t="str">
        <f>TEXT(tblActuals[[#This Row],[Date]],"mmm")</f>
        <v>Nov</v>
      </c>
    </row>
    <row r="1015" spans="1:8" x14ac:dyDescent="0.25">
      <c r="A1015" s="2">
        <v>45968</v>
      </c>
      <c r="B1015" s="1" t="s">
        <v>11</v>
      </c>
      <c r="C1015">
        <v>6020</v>
      </c>
      <c r="D1015" s="1" t="s">
        <v>32</v>
      </c>
      <c r="E1015" s="1" t="s">
        <v>33</v>
      </c>
      <c r="F1015">
        <v>6461</v>
      </c>
      <c r="G1015" s="1" t="str">
        <f>_xlfn.XLOOKUP(tblActuals[[#This Row],[GL Account]],tblGLMap[GL Account],tblGLMap[Cost Category])</f>
        <v>Labor</v>
      </c>
      <c r="H1015" s="1" t="str">
        <f>TEXT(tblActuals[[#This Row],[Date]],"mmm")</f>
        <v>Nov</v>
      </c>
    </row>
    <row r="1016" spans="1:8" x14ac:dyDescent="0.25">
      <c r="A1016" s="2">
        <v>45966</v>
      </c>
      <c r="B1016" s="1" t="s">
        <v>11</v>
      </c>
      <c r="C1016">
        <v>6110</v>
      </c>
      <c r="D1016" s="1" t="s">
        <v>31</v>
      </c>
      <c r="E1016" s="1" t="s">
        <v>36</v>
      </c>
      <c r="F1016">
        <v>10240</v>
      </c>
      <c r="G1016" s="1" t="str">
        <f>_xlfn.XLOOKUP(tblActuals[[#This Row],[GL Account]],tblGLMap[GL Account],tblGLMap[Cost Category])</f>
        <v>Supplies &amp; Inventory</v>
      </c>
      <c r="H1016" s="1" t="str">
        <f>TEXT(tblActuals[[#This Row],[Date]],"mmm")</f>
        <v>Nov</v>
      </c>
    </row>
    <row r="1017" spans="1:8" x14ac:dyDescent="0.25">
      <c r="A1017" s="2">
        <v>45967</v>
      </c>
      <c r="B1017" s="1" t="s">
        <v>11</v>
      </c>
      <c r="C1017">
        <v>6110</v>
      </c>
      <c r="D1017" s="1" t="s">
        <v>35</v>
      </c>
      <c r="E1017" s="1" t="s">
        <v>36</v>
      </c>
      <c r="F1017">
        <v>9734</v>
      </c>
      <c r="G1017" s="1" t="str">
        <f>_xlfn.XLOOKUP(tblActuals[[#This Row],[GL Account]],tblGLMap[GL Account],tblGLMap[Cost Category])</f>
        <v>Supplies &amp; Inventory</v>
      </c>
      <c r="H1017" s="1" t="str">
        <f>TEXT(tblActuals[[#This Row],[Date]],"mmm")</f>
        <v>Nov</v>
      </c>
    </row>
    <row r="1018" spans="1:8" x14ac:dyDescent="0.25">
      <c r="A1018" s="2">
        <v>45968</v>
      </c>
      <c r="B1018" s="1" t="s">
        <v>11</v>
      </c>
      <c r="C1018">
        <v>6110</v>
      </c>
      <c r="D1018" s="1" t="s">
        <v>32</v>
      </c>
      <c r="E1018" s="1" t="s">
        <v>36</v>
      </c>
      <c r="F1018">
        <v>4262</v>
      </c>
      <c r="G1018" s="1" t="str">
        <f>_xlfn.XLOOKUP(tblActuals[[#This Row],[GL Account]],tblGLMap[GL Account],tblGLMap[Cost Category])</f>
        <v>Supplies &amp; Inventory</v>
      </c>
      <c r="H1018" s="1" t="str">
        <f>TEXT(tblActuals[[#This Row],[Date]],"mmm")</f>
        <v>Nov</v>
      </c>
    </row>
    <row r="1019" spans="1:8" x14ac:dyDescent="0.25">
      <c r="A1019" s="2">
        <v>45966</v>
      </c>
      <c r="B1019" s="1" t="s">
        <v>11</v>
      </c>
      <c r="C1019">
        <v>6120</v>
      </c>
      <c r="D1019" s="1" t="s">
        <v>34</v>
      </c>
      <c r="E1019" s="1" t="s">
        <v>37</v>
      </c>
      <c r="F1019">
        <v>11013</v>
      </c>
      <c r="G1019" s="1" t="str">
        <f>_xlfn.XLOOKUP(tblActuals[[#This Row],[GL Account]],tblGLMap[GL Account],tblGLMap[Cost Category])</f>
        <v>Supplies &amp; Inventory</v>
      </c>
      <c r="H1019" s="1" t="str">
        <f>TEXT(tblActuals[[#This Row],[Date]],"mmm")</f>
        <v>Nov</v>
      </c>
    </row>
    <row r="1020" spans="1:8" x14ac:dyDescent="0.25">
      <c r="A1020" s="2">
        <v>45967</v>
      </c>
      <c r="B1020" s="1" t="s">
        <v>11</v>
      </c>
      <c r="C1020">
        <v>6120</v>
      </c>
      <c r="D1020" s="1" t="s">
        <v>35</v>
      </c>
      <c r="E1020" s="1" t="s">
        <v>37</v>
      </c>
      <c r="F1020">
        <v>4304</v>
      </c>
      <c r="G1020" s="1" t="str">
        <f>_xlfn.XLOOKUP(tblActuals[[#This Row],[GL Account]],tblGLMap[GL Account],tblGLMap[Cost Category])</f>
        <v>Supplies &amp; Inventory</v>
      </c>
      <c r="H1020" s="1" t="str">
        <f>TEXT(tblActuals[[#This Row],[Date]],"mmm")</f>
        <v>Nov</v>
      </c>
    </row>
    <row r="1021" spans="1:8" x14ac:dyDescent="0.25">
      <c r="A1021" s="2">
        <v>45968</v>
      </c>
      <c r="B1021" s="1" t="s">
        <v>11</v>
      </c>
      <c r="C1021">
        <v>6120</v>
      </c>
      <c r="D1021" s="1" t="s">
        <v>35</v>
      </c>
      <c r="E1021" s="1" t="s">
        <v>37</v>
      </c>
      <c r="F1021">
        <v>11731</v>
      </c>
      <c r="G1021" s="1" t="str">
        <f>_xlfn.XLOOKUP(tblActuals[[#This Row],[GL Account]],tblGLMap[GL Account],tblGLMap[Cost Category])</f>
        <v>Supplies &amp; Inventory</v>
      </c>
      <c r="H1021" s="1" t="str">
        <f>TEXT(tblActuals[[#This Row],[Date]],"mmm")</f>
        <v>Nov</v>
      </c>
    </row>
    <row r="1022" spans="1:8" x14ac:dyDescent="0.25">
      <c r="A1022" s="2">
        <v>45966</v>
      </c>
      <c r="B1022" s="1" t="s">
        <v>11</v>
      </c>
      <c r="C1022">
        <v>6210</v>
      </c>
      <c r="D1022" s="1" t="s">
        <v>29</v>
      </c>
      <c r="E1022" s="1" t="s">
        <v>38</v>
      </c>
      <c r="F1022">
        <v>11414</v>
      </c>
      <c r="G1022" s="1" t="str">
        <f>_xlfn.XLOOKUP(tblActuals[[#This Row],[GL Account]],tblGLMap[GL Account],tblGLMap[Cost Category])</f>
        <v>Utilities</v>
      </c>
      <c r="H1022" s="1" t="str">
        <f>TEXT(tblActuals[[#This Row],[Date]],"mmm")</f>
        <v>Nov</v>
      </c>
    </row>
    <row r="1023" spans="1:8" x14ac:dyDescent="0.25">
      <c r="A1023" s="2">
        <v>45967</v>
      </c>
      <c r="B1023" s="1" t="s">
        <v>11</v>
      </c>
      <c r="C1023">
        <v>6210</v>
      </c>
      <c r="D1023" s="1" t="s">
        <v>31</v>
      </c>
      <c r="E1023" s="1" t="s">
        <v>38</v>
      </c>
      <c r="F1023">
        <v>10734</v>
      </c>
      <c r="G1023" s="1" t="str">
        <f>_xlfn.XLOOKUP(tblActuals[[#This Row],[GL Account]],tblGLMap[GL Account],tblGLMap[Cost Category])</f>
        <v>Utilities</v>
      </c>
      <c r="H1023" s="1" t="str">
        <f>TEXT(tblActuals[[#This Row],[Date]],"mmm")</f>
        <v>Nov</v>
      </c>
    </row>
    <row r="1024" spans="1:8" x14ac:dyDescent="0.25">
      <c r="A1024" s="2">
        <v>45968</v>
      </c>
      <c r="B1024" s="1" t="s">
        <v>11</v>
      </c>
      <c r="C1024">
        <v>6210</v>
      </c>
      <c r="D1024" s="1" t="s">
        <v>31</v>
      </c>
      <c r="E1024" s="1" t="s">
        <v>38</v>
      </c>
      <c r="F1024">
        <v>1964</v>
      </c>
      <c r="G1024" s="1" t="str">
        <f>_xlfn.XLOOKUP(tblActuals[[#This Row],[GL Account]],tblGLMap[GL Account],tblGLMap[Cost Category])</f>
        <v>Utilities</v>
      </c>
      <c r="H1024" s="1" t="str">
        <f>TEXT(tblActuals[[#This Row],[Date]],"mmm")</f>
        <v>Nov</v>
      </c>
    </row>
    <row r="1025" spans="1:8" x14ac:dyDescent="0.25">
      <c r="A1025" s="2">
        <v>45966</v>
      </c>
      <c r="B1025" s="1" t="s">
        <v>11</v>
      </c>
      <c r="C1025">
        <v>6220</v>
      </c>
      <c r="D1025" s="1" t="s">
        <v>35</v>
      </c>
      <c r="E1025" s="1" t="s">
        <v>40</v>
      </c>
      <c r="F1025">
        <v>2244</v>
      </c>
      <c r="G1025" s="1" t="str">
        <f>_xlfn.XLOOKUP(tblActuals[[#This Row],[GL Account]],tblGLMap[GL Account],tblGLMap[Cost Category])</f>
        <v>Utilities</v>
      </c>
      <c r="H1025" s="1" t="str">
        <f>TEXT(tblActuals[[#This Row],[Date]],"mmm")</f>
        <v>Nov</v>
      </c>
    </row>
    <row r="1026" spans="1:8" x14ac:dyDescent="0.25">
      <c r="A1026" s="2">
        <v>45967</v>
      </c>
      <c r="B1026" s="1" t="s">
        <v>11</v>
      </c>
      <c r="C1026">
        <v>6220</v>
      </c>
      <c r="D1026" s="1" t="s">
        <v>29</v>
      </c>
      <c r="E1026" s="1" t="s">
        <v>40</v>
      </c>
      <c r="F1026">
        <v>10949</v>
      </c>
      <c r="G1026" s="1" t="str">
        <f>_xlfn.XLOOKUP(tblActuals[[#This Row],[GL Account]],tblGLMap[GL Account],tblGLMap[Cost Category])</f>
        <v>Utilities</v>
      </c>
      <c r="H1026" s="1" t="str">
        <f>TEXT(tblActuals[[#This Row],[Date]],"mmm")</f>
        <v>Nov</v>
      </c>
    </row>
    <row r="1027" spans="1:8" x14ac:dyDescent="0.25">
      <c r="A1027" s="2">
        <v>45968</v>
      </c>
      <c r="B1027" s="1" t="s">
        <v>11</v>
      </c>
      <c r="C1027">
        <v>6220</v>
      </c>
      <c r="D1027" s="1" t="s">
        <v>32</v>
      </c>
      <c r="E1027" s="1" t="s">
        <v>40</v>
      </c>
      <c r="F1027">
        <v>4953</v>
      </c>
      <c r="G1027" s="1" t="str">
        <f>_xlfn.XLOOKUP(tblActuals[[#This Row],[GL Account]],tblGLMap[GL Account],tblGLMap[Cost Category])</f>
        <v>Utilities</v>
      </c>
      <c r="H1027" s="1" t="str">
        <f>TEXT(tblActuals[[#This Row],[Date]],"mmm")</f>
        <v>Nov</v>
      </c>
    </row>
    <row r="1028" spans="1:8" x14ac:dyDescent="0.25">
      <c r="A1028" s="2">
        <v>45966</v>
      </c>
      <c r="B1028" s="1" t="s">
        <v>11</v>
      </c>
      <c r="C1028">
        <v>6310</v>
      </c>
      <c r="D1028" s="1" t="s">
        <v>32</v>
      </c>
      <c r="E1028" s="1" t="s">
        <v>41</v>
      </c>
      <c r="F1028">
        <v>8325</v>
      </c>
      <c r="G1028" s="1" t="str">
        <f>_xlfn.XLOOKUP(tblActuals[[#This Row],[GL Account]],tblGLMap[GL Account],tblGLMap[Cost Category])</f>
        <v>Maintenance &amp; Repairs</v>
      </c>
      <c r="H1028" s="1" t="str">
        <f>TEXT(tblActuals[[#This Row],[Date]],"mmm")</f>
        <v>Nov</v>
      </c>
    </row>
    <row r="1029" spans="1:8" x14ac:dyDescent="0.25">
      <c r="A1029" s="2">
        <v>45967</v>
      </c>
      <c r="B1029" s="1" t="s">
        <v>11</v>
      </c>
      <c r="C1029">
        <v>6310</v>
      </c>
      <c r="D1029" s="1" t="s">
        <v>31</v>
      </c>
      <c r="E1029" s="1" t="s">
        <v>41</v>
      </c>
      <c r="F1029">
        <v>11969</v>
      </c>
      <c r="G1029" s="1" t="str">
        <f>_xlfn.XLOOKUP(tblActuals[[#This Row],[GL Account]],tblGLMap[GL Account],tblGLMap[Cost Category])</f>
        <v>Maintenance &amp; Repairs</v>
      </c>
      <c r="H1029" s="1" t="str">
        <f>TEXT(tblActuals[[#This Row],[Date]],"mmm")</f>
        <v>Nov</v>
      </c>
    </row>
    <row r="1030" spans="1:8" x14ac:dyDescent="0.25">
      <c r="A1030" s="2">
        <v>45968</v>
      </c>
      <c r="B1030" s="1" t="s">
        <v>11</v>
      </c>
      <c r="C1030">
        <v>6310</v>
      </c>
      <c r="D1030" s="1" t="s">
        <v>35</v>
      </c>
      <c r="E1030" s="1" t="s">
        <v>41</v>
      </c>
      <c r="F1030">
        <v>9659</v>
      </c>
      <c r="G1030" s="1" t="str">
        <f>_xlfn.XLOOKUP(tblActuals[[#This Row],[GL Account]],tblGLMap[GL Account],tblGLMap[Cost Category])</f>
        <v>Maintenance &amp; Repairs</v>
      </c>
      <c r="H1030" s="1" t="str">
        <f>TEXT(tblActuals[[#This Row],[Date]],"mmm")</f>
        <v>Nov</v>
      </c>
    </row>
    <row r="1031" spans="1:8" x14ac:dyDescent="0.25">
      <c r="A1031" s="2">
        <v>45966</v>
      </c>
      <c r="B1031" s="1" t="s">
        <v>11</v>
      </c>
      <c r="C1031">
        <v>6320</v>
      </c>
      <c r="D1031" s="1" t="s">
        <v>29</v>
      </c>
      <c r="E1031" s="1" t="s">
        <v>42</v>
      </c>
      <c r="F1031">
        <v>10438</v>
      </c>
      <c r="G1031" s="1" t="str">
        <f>_xlfn.XLOOKUP(tblActuals[[#This Row],[GL Account]],tblGLMap[GL Account],tblGLMap[Cost Category])</f>
        <v>Maintenance &amp; Repairs</v>
      </c>
      <c r="H1031" s="1" t="str">
        <f>TEXT(tblActuals[[#This Row],[Date]],"mmm")</f>
        <v>Nov</v>
      </c>
    </row>
    <row r="1032" spans="1:8" x14ac:dyDescent="0.25">
      <c r="A1032" s="2">
        <v>45967</v>
      </c>
      <c r="B1032" s="1" t="s">
        <v>11</v>
      </c>
      <c r="C1032">
        <v>6320</v>
      </c>
      <c r="D1032" s="1" t="s">
        <v>39</v>
      </c>
      <c r="E1032" s="1" t="s">
        <v>42</v>
      </c>
      <c r="F1032">
        <v>6449</v>
      </c>
      <c r="G1032" s="1" t="str">
        <f>_xlfn.XLOOKUP(tblActuals[[#This Row],[GL Account]],tblGLMap[GL Account],tblGLMap[Cost Category])</f>
        <v>Maintenance &amp; Repairs</v>
      </c>
      <c r="H1032" s="1" t="str">
        <f>TEXT(tblActuals[[#This Row],[Date]],"mmm")</f>
        <v>Nov</v>
      </c>
    </row>
    <row r="1033" spans="1:8" x14ac:dyDescent="0.25">
      <c r="A1033" s="2">
        <v>45968</v>
      </c>
      <c r="B1033" s="1" t="s">
        <v>11</v>
      </c>
      <c r="C1033">
        <v>6320</v>
      </c>
      <c r="D1033" s="1" t="s">
        <v>35</v>
      </c>
      <c r="E1033" s="1" t="s">
        <v>42</v>
      </c>
      <c r="F1033">
        <v>5512</v>
      </c>
      <c r="G1033" s="1" t="str">
        <f>_xlfn.XLOOKUP(tblActuals[[#This Row],[GL Account]],tblGLMap[GL Account],tblGLMap[Cost Category])</f>
        <v>Maintenance &amp; Repairs</v>
      </c>
      <c r="H1033" s="1" t="str">
        <f>TEXT(tblActuals[[#This Row],[Date]],"mmm")</f>
        <v>Nov</v>
      </c>
    </row>
    <row r="1034" spans="1:8" x14ac:dyDescent="0.25">
      <c r="A1034" s="2">
        <v>45966</v>
      </c>
      <c r="B1034" s="1" t="s">
        <v>12</v>
      </c>
      <c r="C1034">
        <v>6010</v>
      </c>
      <c r="D1034" s="1" t="s">
        <v>29</v>
      </c>
      <c r="E1034" s="1" t="s">
        <v>30</v>
      </c>
      <c r="F1034">
        <v>8153</v>
      </c>
      <c r="G1034" s="1" t="str">
        <f>_xlfn.XLOOKUP(tblActuals[[#This Row],[GL Account]],tblGLMap[GL Account],tblGLMap[Cost Category])</f>
        <v>Labor</v>
      </c>
      <c r="H1034" s="1" t="str">
        <f>TEXT(tblActuals[[#This Row],[Date]],"mmm")</f>
        <v>Nov</v>
      </c>
    </row>
    <row r="1035" spans="1:8" x14ac:dyDescent="0.25">
      <c r="A1035" s="2">
        <v>45967</v>
      </c>
      <c r="B1035" s="1" t="s">
        <v>12</v>
      </c>
      <c r="C1035">
        <v>6010</v>
      </c>
      <c r="D1035" s="1" t="s">
        <v>31</v>
      </c>
      <c r="E1035" s="1" t="s">
        <v>30</v>
      </c>
      <c r="F1035">
        <v>8930</v>
      </c>
      <c r="G1035" s="1" t="str">
        <f>_xlfn.XLOOKUP(tblActuals[[#This Row],[GL Account]],tblGLMap[GL Account],tblGLMap[Cost Category])</f>
        <v>Labor</v>
      </c>
      <c r="H1035" s="1" t="str">
        <f>TEXT(tblActuals[[#This Row],[Date]],"mmm")</f>
        <v>Nov</v>
      </c>
    </row>
    <row r="1036" spans="1:8" x14ac:dyDescent="0.25">
      <c r="A1036" s="2">
        <v>45968</v>
      </c>
      <c r="B1036" s="1" t="s">
        <v>12</v>
      </c>
      <c r="C1036">
        <v>6010</v>
      </c>
      <c r="D1036" s="1" t="s">
        <v>34</v>
      </c>
      <c r="E1036" s="1" t="s">
        <v>30</v>
      </c>
      <c r="F1036">
        <v>2481</v>
      </c>
      <c r="G1036" s="1" t="str">
        <f>_xlfn.XLOOKUP(tblActuals[[#This Row],[GL Account]],tblGLMap[GL Account],tblGLMap[Cost Category])</f>
        <v>Labor</v>
      </c>
      <c r="H1036" s="1" t="str">
        <f>TEXT(tblActuals[[#This Row],[Date]],"mmm")</f>
        <v>Nov</v>
      </c>
    </row>
    <row r="1037" spans="1:8" x14ac:dyDescent="0.25">
      <c r="A1037" s="2">
        <v>45966</v>
      </c>
      <c r="B1037" s="1" t="s">
        <v>12</v>
      </c>
      <c r="C1037">
        <v>6020</v>
      </c>
      <c r="D1037" s="1" t="s">
        <v>39</v>
      </c>
      <c r="E1037" s="1" t="s">
        <v>33</v>
      </c>
      <c r="F1037">
        <v>8702</v>
      </c>
      <c r="G1037" s="1" t="str">
        <f>_xlfn.XLOOKUP(tblActuals[[#This Row],[GL Account]],tblGLMap[GL Account],tblGLMap[Cost Category])</f>
        <v>Labor</v>
      </c>
      <c r="H1037" s="1" t="str">
        <f>TEXT(tblActuals[[#This Row],[Date]],"mmm")</f>
        <v>Nov</v>
      </c>
    </row>
    <row r="1038" spans="1:8" x14ac:dyDescent="0.25">
      <c r="A1038" s="2">
        <v>45967</v>
      </c>
      <c r="B1038" s="1" t="s">
        <v>12</v>
      </c>
      <c r="C1038">
        <v>6020</v>
      </c>
      <c r="D1038" s="1" t="s">
        <v>39</v>
      </c>
      <c r="E1038" s="1" t="s">
        <v>33</v>
      </c>
      <c r="F1038">
        <v>9433</v>
      </c>
      <c r="G1038" s="1" t="str">
        <f>_xlfn.XLOOKUP(tblActuals[[#This Row],[GL Account]],tblGLMap[GL Account],tblGLMap[Cost Category])</f>
        <v>Labor</v>
      </c>
      <c r="H1038" s="1" t="str">
        <f>TEXT(tblActuals[[#This Row],[Date]],"mmm")</f>
        <v>Nov</v>
      </c>
    </row>
    <row r="1039" spans="1:8" x14ac:dyDescent="0.25">
      <c r="A1039" s="2">
        <v>45968</v>
      </c>
      <c r="B1039" s="1" t="s">
        <v>12</v>
      </c>
      <c r="C1039">
        <v>6020</v>
      </c>
      <c r="D1039" s="1" t="s">
        <v>29</v>
      </c>
      <c r="E1039" s="1" t="s">
        <v>33</v>
      </c>
      <c r="F1039">
        <v>4842</v>
      </c>
      <c r="G1039" s="1" t="str">
        <f>_xlfn.XLOOKUP(tblActuals[[#This Row],[GL Account]],tblGLMap[GL Account],tblGLMap[Cost Category])</f>
        <v>Labor</v>
      </c>
      <c r="H1039" s="1" t="str">
        <f>TEXT(tblActuals[[#This Row],[Date]],"mmm")</f>
        <v>Nov</v>
      </c>
    </row>
    <row r="1040" spans="1:8" x14ac:dyDescent="0.25">
      <c r="A1040" s="2">
        <v>45966</v>
      </c>
      <c r="B1040" s="1" t="s">
        <v>12</v>
      </c>
      <c r="C1040">
        <v>6110</v>
      </c>
      <c r="D1040" s="1" t="s">
        <v>34</v>
      </c>
      <c r="E1040" s="1" t="s">
        <v>36</v>
      </c>
      <c r="F1040">
        <v>11439</v>
      </c>
      <c r="G1040" s="1" t="str">
        <f>_xlfn.XLOOKUP(tblActuals[[#This Row],[GL Account]],tblGLMap[GL Account],tblGLMap[Cost Category])</f>
        <v>Supplies &amp; Inventory</v>
      </c>
      <c r="H1040" s="1" t="str">
        <f>TEXT(tblActuals[[#This Row],[Date]],"mmm")</f>
        <v>Nov</v>
      </c>
    </row>
    <row r="1041" spans="1:8" x14ac:dyDescent="0.25">
      <c r="A1041" s="2">
        <v>45967</v>
      </c>
      <c r="B1041" s="1" t="s">
        <v>12</v>
      </c>
      <c r="C1041">
        <v>6110</v>
      </c>
      <c r="D1041" s="1" t="s">
        <v>35</v>
      </c>
      <c r="E1041" s="1" t="s">
        <v>36</v>
      </c>
      <c r="F1041">
        <v>6621</v>
      </c>
      <c r="G1041" s="1" t="str">
        <f>_xlfn.XLOOKUP(tblActuals[[#This Row],[GL Account]],tblGLMap[GL Account],tblGLMap[Cost Category])</f>
        <v>Supplies &amp; Inventory</v>
      </c>
      <c r="H1041" s="1" t="str">
        <f>TEXT(tblActuals[[#This Row],[Date]],"mmm")</f>
        <v>Nov</v>
      </c>
    </row>
    <row r="1042" spans="1:8" x14ac:dyDescent="0.25">
      <c r="A1042" s="2">
        <v>45968</v>
      </c>
      <c r="B1042" s="1" t="s">
        <v>12</v>
      </c>
      <c r="C1042">
        <v>6110</v>
      </c>
      <c r="D1042" s="1" t="s">
        <v>35</v>
      </c>
      <c r="E1042" s="1" t="s">
        <v>36</v>
      </c>
      <c r="F1042">
        <v>6731</v>
      </c>
      <c r="G1042" s="1" t="str">
        <f>_xlfn.XLOOKUP(tblActuals[[#This Row],[GL Account]],tblGLMap[GL Account],tblGLMap[Cost Category])</f>
        <v>Supplies &amp; Inventory</v>
      </c>
      <c r="H1042" s="1" t="str">
        <f>TEXT(tblActuals[[#This Row],[Date]],"mmm")</f>
        <v>Nov</v>
      </c>
    </row>
    <row r="1043" spans="1:8" x14ac:dyDescent="0.25">
      <c r="A1043" s="2">
        <v>45966</v>
      </c>
      <c r="B1043" s="1" t="s">
        <v>12</v>
      </c>
      <c r="C1043">
        <v>6120</v>
      </c>
      <c r="D1043" s="1" t="s">
        <v>39</v>
      </c>
      <c r="E1043" s="1" t="s">
        <v>37</v>
      </c>
      <c r="F1043">
        <v>7158</v>
      </c>
      <c r="G1043" s="1" t="str">
        <f>_xlfn.XLOOKUP(tblActuals[[#This Row],[GL Account]],tblGLMap[GL Account],tblGLMap[Cost Category])</f>
        <v>Supplies &amp; Inventory</v>
      </c>
      <c r="H1043" s="1" t="str">
        <f>TEXT(tblActuals[[#This Row],[Date]],"mmm")</f>
        <v>Nov</v>
      </c>
    </row>
    <row r="1044" spans="1:8" x14ac:dyDescent="0.25">
      <c r="A1044" s="2">
        <v>45967</v>
      </c>
      <c r="B1044" s="1" t="s">
        <v>12</v>
      </c>
      <c r="C1044">
        <v>6120</v>
      </c>
      <c r="D1044" s="1" t="s">
        <v>29</v>
      </c>
      <c r="E1044" s="1" t="s">
        <v>37</v>
      </c>
      <c r="F1044">
        <v>3642</v>
      </c>
      <c r="G1044" s="1" t="str">
        <f>_xlfn.XLOOKUP(tblActuals[[#This Row],[GL Account]],tblGLMap[GL Account],tblGLMap[Cost Category])</f>
        <v>Supplies &amp; Inventory</v>
      </c>
      <c r="H1044" s="1" t="str">
        <f>TEXT(tblActuals[[#This Row],[Date]],"mmm")</f>
        <v>Nov</v>
      </c>
    </row>
    <row r="1045" spans="1:8" x14ac:dyDescent="0.25">
      <c r="A1045" s="2">
        <v>45968</v>
      </c>
      <c r="B1045" s="1" t="s">
        <v>12</v>
      </c>
      <c r="C1045">
        <v>6120</v>
      </c>
      <c r="D1045" s="1" t="s">
        <v>32</v>
      </c>
      <c r="E1045" s="1" t="s">
        <v>37</v>
      </c>
      <c r="F1045">
        <v>9937</v>
      </c>
      <c r="G1045" s="1" t="str">
        <f>_xlfn.XLOOKUP(tblActuals[[#This Row],[GL Account]],tblGLMap[GL Account],tblGLMap[Cost Category])</f>
        <v>Supplies &amp; Inventory</v>
      </c>
      <c r="H1045" s="1" t="str">
        <f>TEXT(tblActuals[[#This Row],[Date]],"mmm")</f>
        <v>Nov</v>
      </c>
    </row>
    <row r="1046" spans="1:8" x14ac:dyDescent="0.25">
      <c r="A1046" s="2">
        <v>45966</v>
      </c>
      <c r="B1046" s="1" t="s">
        <v>12</v>
      </c>
      <c r="C1046">
        <v>6210</v>
      </c>
      <c r="D1046" s="1" t="s">
        <v>29</v>
      </c>
      <c r="E1046" s="1" t="s">
        <v>38</v>
      </c>
      <c r="F1046">
        <v>3239</v>
      </c>
      <c r="G1046" s="1" t="str">
        <f>_xlfn.XLOOKUP(tblActuals[[#This Row],[GL Account]],tblGLMap[GL Account],tblGLMap[Cost Category])</f>
        <v>Utilities</v>
      </c>
      <c r="H1046" s="1" t="str">
        <f>TEXT(tblActuals[[#This Row],[Date]],"mmm")</f>
        <v>Nov</v>
      </c>
    </row>
    <row r="1047" spans="1:8" x14ac:dyDescent="0.25">
      <c r="A1047" s="2">
        <v>45967</v>
      </c>
      <c r="B1047" s="1" t="s">
        <v>12</v>
      </c>
      <c r="C1047">
        <v>6210</v>
      </c>
      <c r="D1047" s="1" t="s">
        <v>39</v>
      </c>
      <c r="E1047" s="1" t="s">
        <v>38</v>
      </c>
      <c r="F1047">
        <v>5460</v>
      </c>
      <c r="G1047" s="1" t="str">
        <f>_xlfn.XLOOKUP(tblActuals[[#This Row],[GL Account]],tblGLMap[GL Account],tblGLMap[Cost Category])</f>
        <v>Utilities</v>
      </c>
      <c r="H1047" s="1" t="str">
        <f>TEXT(tblActuals[[#This Row],[Date]],"mmm")</f>
        <v>Nov</v>
      </c>
    </row>
    <row r="1048" spans="1:8" x14ac:dyDescent="0.25">
      <c r="A1048" s="2">
        <v>45968</v>
      </c>
      <c r="B1048" s="1" t="s">
        <v>12</v>
      </c>
      <c r="C1048">
        <v>6210</v>
      </c>
      <c r="D1048" s="1" t="s">
        <v>29</v>
      </c>
      <c r="E1048" s="1" t="s">
        <v>38</v>
      </c>
      <c r="F1048">
        <v>3507</v>
      </c>
      <c r="G1048" s="1" t="str">
        <f>_xlfn.XLOOKUP(tblActuals[[#This Row],[GL Account]],tblGLMap[GL Account],tblGLMap[Cost Category])</f>
        <v>Utilities</v>
      </c>
      <c r="H1048" s="1" t="str">
        <f>TEXT(tblActuals[[#This Row],[Date]],"mmm")</f>
        <v>Nov</v>
      </c>
    </row>
    <row r="1049" spans="1:8" x14ac:dyDescent="0.25">
      <c r="A1049" s="2">
        <v>45966</v>
      </c>
      <c r="B1049" s="1" t="s">
        <v>12</v>
      </c>
      <c r="C1049">
        <v>6220</v>
      </c>
      <c r="D1049" s="1" t="s">
        <v>34</v>
      </c>
      <c r="E1049" s="1" t="s">
        <v>40</v>
      </c>
      <c r="F1049">
        <v>8866</v>
      </c>
      <c r="G1049" s="1" t="str">
        <f>_xlfn.XLOOKUP(tblActuals[[#This Row],[GL Account]],tblGLMap[GL Account],tblGLMap[Cost Category])</f>
        <v>Utilities</v>
      </c>
      <c r="H1049" s="1" t="str">
        <f>TEXT(tblActuals[[#This Row],[Date]],"mmm")</f>
        <v>Nov</v>
      </c>
    </row>
    <row r="1050" spans="1:8" x14ac:dyDescent="0.25">
      <c r="A1050" s="2">
        <v>45967</v>
      </c>
      <c r="B1050" s="1" t="s">
        <v>12</v>
      </c>
      <c r="C1050">
        <v>6220</v>
      </c>
      <c r="D1050" s="1" t="s">
        <v>31</v>
      </c>
      <c r="E1050" s="1" t="s">
        <v>40</v>
      </c>
      <c r="F1050">
        <v>3808</v>
      </c>
      <c r="G1050" s="1" t="str">
        <f>_xlfn.XLOOKUP(tblActuals[[#This Row],[GL Account]],tblGLMap[GL Account],tblGLMap[Cost Category])</f>
        <v>Utilities</v>
      </c>
      <c r="H1050" s="1" t="str">
        <f>TEXT(tblActuals[[#This Row],[Date]],"mmm")</f>
        <v>Nov</v>
      </c>
    </row>
    <row r="1051" spans="1:8" x14ac:dyDescent="0.25">
      <c r="A1051" s="2">
        <v>45968</v>
      </c>
      <c r="B1051" s="1" t="s">
        <v>12</v>
      </c>
      <c r="C1051">
        <v>6220</v>
      </c>
      <c r="D1051" s="1" t="s">
        <v>29</v>
      </c>
      <c r="E1051" s="1" t="s">
        <v>40</v>
      </c>
      <c r="F1051">
        <v>2329</v>
      </c>
      <c r="G1051" s="1" t="str">
        <f>_xlfn.XLOOKUP(tblActuals[[#This Row],[GL Account]],tblGLMap[GL Account],tblGLMap[Cost Category])</f>
        <v>Utilities</v>
      </c>
      <c r="H1051" s="1" t="str">
        <f>TEXT(tblActuals[[#This Row],[Date]],"mmm")</f>
        <v>Nov</v>
      </c>
    </row>
    <row r="1052" spans="1:8" x14ac:dyDescent="0.25">
      <c r="A1052" s="2">
        <v>45966</v>
      </c>
      <c r="B1052" s="1" t="s">
        <v>12</v>
      </c>
      <c r="C1052">
        <v>6310</v>
      </c>
      <c r="D1052" s="1" t="s">
        <v>32</v>
      </c>
      <c r="E1052" s="1" t="s">
        <v>41</v>
      </c>
      <c r="F1052">
        <v>7793</v>
      </c>
      <c r="G1052" s="1" t="str">
        <f>_xlfn.XLOOKUP(tblActuals[[#This Row],[GL Account]],tblGLMap[GL Account],tblGLMap[Cost Category])</f>
        <v>Maintenance &amp; Repairs</v>
      </c>
      <c r="H1052" s="1" t="str">
        <f>TEXT(tblActuals[[#This Row],[Date]],"mmm")</f>
        <v>Nov</v>
      </c>
    </row>
    <row r="1053" spans="1:8" x14ac:dyDescent="0.25">
      <c r="A1053" s="2">
        <v>45967</v>
      </c>
      <c r="B1053" s="1" t="s">
        <v>12</v>
      </c>
      <c r="C1053">
        <v>6310</v>
      </c>
      <c r="D1053" s="1" t="s">
        <v>34</v>
      </c>
      <c r="E1053" s="1" t="s">
        <v>41</v>
      </c>
      <c r="F1053">
        <v>8350</v>
      </c>
      <c r="G1053" s="1" t="str">
        <f>_xlfn.XLOOKUP(tblActuals[[#This Row],[GL Account]],tblGLMap[GL Account],tblGLMap[Cost Category])</f>
        <v>Maintenance &amp; Repairs</v>
      </c>
      <c r="H1053" s="1" t="str">
        <f>TEXT(tblActuals[[#This Row],[Date]],"mmm")</f>
        <v>Nov</v>
      </c>
    </row>
    <row r="1054" spans="1:8" x14ac:dyDescent="0.25">
      <c r="A1054" s="2">
        <v>45968</v>
      </c>
      <c r="B1054" s="1" t="s">
        <v>12</v>
      </c>
      <c r="C1054">
        <v>6310</v>
      </c>
      <c r="D1054" s="1" t="s">
        <v>29</v>
      </c>
      <c r="E1054" s="1" t="s">
        <v>41</v>
      </c>
      <c r="F1054">
        <v>4116</v>
      </c>
      <c r="G1054" s="1" t="str">
        <f>_xlfn.XLOOKUP(tblActuals[[#This Row],[GL Account]],tblGLMap[GL Account],tblGLMap[Cost Category])</f>
        <v>Maintenance &amp; Repairs</v>
      </c>
      <c r="H1054" s="1" t="str">
        <f>TEXT(tblActuals[[#This Row],[Date]],"mmm")</f>
        <v>Nov</v>
      </c>
    </row>
    <row r="1055" spans="1:8" x14ac:dyDescent="0.25">
      <c r="A1055" s="2">
        <v>45966</v>
      </c>
      <c r="B1055" s="1" t="s">
        <v>12</v>
      </c>
      <c r="C1055">
        <v>6320</v>
      </c>
      <c r="D1055" s="1" t="s">
        <v>35</v>
      </c>
      <c r="E1055" s="1" t="s">
        <v>42</v>
      </c>
      <c r="F1055">
        <v>10964</v>
      </c>
      <c r="G1055" s="1" t="str">
        <f>_xlfn.XLOOKUP(tblActuals[[#This Row],[GL Account]],tblGLMap[GL Account],tblGLMap[Cost Category])</f>
        <v>Maintenance &amp; Repairs</v>
      </c>
      <c r="H1055" s="1" t="str">
        <f>TEXT(tblActuals[[#This Row],[Date]],"mmm")</f>
        <v>Nov</v>
      </c>
    </row>
    <row r="1056" spans="1:8" x14ac:dyDescent="0.25">
      <c r="A1056" s="2">
        <v>45967</v>
      </c>
      <c r="B1056" s="1" t="s">
        <v>12</v>
      </c>
      <c r="C1056">
        <v>6320</v>
      </c>
      <c r="D1056" s="1" t="s">
        <v>34</v>
      </c>
      <c r="E1056" s="1" t="s">
        <v>42</v>
      </c>
      <c r="F1056">
        <v>6623</v>
      </c>
      <c r="G1056" s="1" t="str">
        <f>_xlfn.XLOOKUP(tblActuals[[#This Row],[GL Account]],tblGLMap[GL Account],tblGLMap[Cost Category])</f>
        <v>Maintenance &amp; Repairs</v>
      </c>
      <c r="H1056" s="1" t="str">
        <f>TEXT(tblActuals[[#This Row],[Date]],"mmm")</f>
        <v>Nov</v>
      </c>
    </row>
    <row r="1057" spans="1:8" x14ac:dyDescent="0.25">
      <c r="A1057" s="2">
        <v>45968</v>
      </c>
      <c r="B1057" s="1" t="s">
        <v>12</v>
      </c>
      <c r="C1057">
        <v>6320</v>
      </c>
      <c r="D1057" s="1" t="s">
        <v>39</v>
      </c>
      <c r="E1057" s="1" t="s">
        <v>42</v>
      </c>
      <c r="F1057">
        <v>4110</v>
      </c>
      <c r="G1057" s="1" t="str">
        <f>_xlfn.XLOOKUP(tblActuals[[#This Row],[GL Account]],tblGLMap[GL Account],tblGLMap[Cost Category])</f>
        <v>Maintenance &amp; Repairs</v>
      </c>
      <c r="H1057" s="1" t="str">
        <f>TEXT(tblActuals[[#This Row],[Date]],"mmm")</f>
        <v>Nov</v>
      </c>
    </row>
    <row r="1058" spans="1:8" x14ac:dyDescent="0.25">
      <c r="A1058" s="2">
        <v>45996</v>
      </c>
      <c r="B1058" s="1" t="s">
        <v>5</v>
      </c>
      <c r="C1058">
        <v>6010</v>
      </c>
      <c r="D1058" s="1" t="s">
        <v>39</v>
      </c>
      <c r="E1058" s="1" t="s">
        <v>30</v>
      </c>
      <c r="F1058">
        <v>9933</v>
      </c>
      <c r="G1058" s="1" t="str">
        <f>_xlfn.XLOOKUP(tblActuals[[#This Row],[GL Account]],tblGLMap[GL Account],tblGLMap[Cost Category])</f>
        <v>Labor</v>
      </c>
      <c r="H1058" s="1" t="str">
        <f>TEXT(tblActuals[[#This Row],[Date]],"mmm")</f>
        <v>Dec</v>
      </c>
    </row>
    <row r="1059" spans="1:8" x14ac:dyDescent="0.25">
      <c r="A1059" s="2">
        <v>45997</v>
      </c>
      <c r="B1059" s="1" t="s">
        <v>5</v>
      </c>
      <c r="C1059">
        <v>6010</v>
      </c>
      <c r="D1059" s="1" t="s">
        <v>29</v>
      </c>
      <c r="E1059" s="1" t="s">
        <v>30</v>
      </c>
      <c r="F1059">
        <v>9671</v>
      </c>
      <c r="G1059" s="1" t="str">
        <f>_xlfn.XLOOKUP(tblActuals[[#This Row],[GL Account]],tblGLMap[GL Account],tblGLMap[Cost Category])</f>
        <v>Labor</v>
      </c>
      <c r="H1059" s="1" t="str">
        <f>TEXT(tblActuals[[#This Row],[Date]],"mmm")</f>
        <v>Dec</v>
      </c>
    </row>
    <row r="1060" spans="1:8" x14ac:dyDescent="0.25">
      <c r="A1060" s="2">
        <v>45998</v>
      </c>
      <c r="B1060" s="1" t="s">
        <v>5</v>
      </c>
      <c r="C1060">
        <v>6010</v>
      </c>
      <c r="D1060" s="1" t="s">
        <v>31</v>
      </c>
      <c r="E1060" s="1" t="s">
        <v>30</v>
      </c>
      <c r="F1060">
        <v>9648</v>
      </c>
      <c r="G1060" s="1" t="str">
        <f>_xlfn.XLOOKUP(tblActuals[[#This Row],[GL Account]],tblGLMap[GL Account],tblGLMap[Cost Category])</f>
        <v>Labor</v>
      </c>
      <c r="H1060" s="1" t="str">
        <f>TEXT(tblActuals[[#This Row],[Date]],"mmm")</f>
        <v>Dec</v>
      </c>
    </row>
    <row r="1061" spans="1:8" x14ac:dyDescent="0.25">
      <c r="A1061" s="2">
        <v>45996</v>
      </c>
      <c r="B1061" s="1" t="s">
        <v>5</v>
      </c>
      <c r="C1061">
        <v>6020</v>
      </c>
      <c r="D1061" s="1" t="s">
        <v>39</v>
      </c>
      <c r="E1061" s="1" t="s">
        <v>33</v>
      </c>
      <c r="F1061">
        <v>2975</v>
      </c>
      <c r="G1061" s="1" t="str">
        <f>_xlfn.XLOOKUP(tblActuals[[#This Row],[GL Account]],tblGLMap[GL Account],tblGLMap[Cost Category])</f>
        <v>Labor</v>
      </c>
      <c r="H1061" s="1" t="str">
        <f>TEXT(tblActuals[[#This Row],[Date]],"mmm")</f>
        <v>Dec</v>
      </c>
    </row>
    <row r="1062" spans="1:8" x14ac:dyDescent="0.25">
      <c r="A1062" s="2">
        <v>45997</v>
      </c>
      <c r="B1062" s="1" t="s">
        <v>5</v>
      </c>
      <c r="C1062">
        <v>6020</v>
      </c>
      <c r="D1062" s="1" t="s">
        <v>39</v>
      </c>
      <c r="E1062" s="1" t="s">
        <v>33</v>
      </c>
      <c r="F1062">
        <v>9781</v>
      </c>
      <c r="G1062" s="1" t="str">
        <f>_xlfn.XLOOKUP(tblActuals[[#This Row],[GL Account]],tblGLMap[GL Account],tblGLMap[Cost Category])</f>
        <v>Labor</v>
      </c>
      <c r="H1062" s="1" t="str">
        <f>TEXT(tblActuals[[#This Row],[Date]],"mmm")</f>
        <v>Dec</v>
      </c>
    </row>
    <row r="1063" spans="1:8" x14ac:dyDescent="0.25">
      <c r="A1063" s="2">
        <v>45998</v>
      </c>
      <c r="B1063" s="1" t="s">
        <v>5</v>
      </c>
      <c r="C1063">
        <v>6020</v>
      </c>
      <c r="D1063" s="1" t="s">
        <v>34</v>
      </c>
      <c r="E1063" s="1" t="s">
        <v>33</v>
      </c>
      <c r="F1063">
        <v>5444</v>
      </c>
      <c r="G1063" s="1" t="str">
        <f>_xlfn.XLOOKUP(tblActuals[[#This Row],[GL Account]],tblGLMap[GL Account],tblGLMap[Cost Category])</f>
        <v>Labor</v>
      </c>
      <c r="H1063" s="1" t="str">
        <f>TEXT(tblActuals[[#This Row],[Date]],"mmm")</f>
        <v>Dec</v>
      </c>
    </row>
    <row r="1064" spans="1:8" x14ac:dyDescent="0.25">
      <c r="A1064" s="2">
        <v>45996</v>
      </c>
      <c r="B1064" s="1" t="s">
        <v>5</v>
      </c>
      <c r="C1064">
        <v>6110</v>
      </c>
      <c r="D1064" s="1" t="s">
        <v>29</v>
      </c>
      <c r="E1064" s="1" t="s">
        <v>36</v>
      </c>
      <c r="F1064">
        <v>11057</v>
      </c>
      <c r="G1064" s="1" t="str">
        <f>_xlfn.XLOOKUP(tblActuals[[#This Row],[GL Account]],tblGLMap[GL Account],tblGLMap[Cost Category])</f>
        <v>Supplies &amp; Inventory</v>
      </c>
      <c r="H1064" s="1" t="str">
        <f>TEXT(tblActuals[[#This Row],[Date]],"mmm")</f>
        <v>Dec</v>
      </c>
    </row>
    <row r="1065" spans="1:8" x14ac:dyDescent="0.25">
      <c r="A1065" s="2">
        <v>45997</v>
      </c>
      <c r="B1065" s="1" t="s">
        <v>5</v>
      </c>
      <c r="C1065">
        <v>6110</v>
      </c>
      <c r="D1065" s="1" t="s">
        <v>31</v>
      </c>
      <c r="E1065" s="1" t="s">
        <v>36</v>
      </c>
      <c r="F1065">
        <v>2297</v>
      </c>
      <c r="G1065" s="1" t="str">
        <f>_xlfn.XLOOKUP(tblActuals[[#This Row],[GL Account]],tblGLMap[GL Account],tblGLMap[Cost Category])</f>
        <v>Supplies &amp; Inventory</v>
      </c>
      <c r="H1065" s="1" t="str">
        <f>TEXT(tblActuals[[#This Row],[Date]],"mmm")</f>
        <v>Dec</v>
      </c>
    </row>
    <row r="1066" spans="1:8" x14ac:dyDescent="0.25">
      <c r="A1066" s="2">
        <v>45998</v>
      </c>
      <c r="B1066" s="1" t="s">
        <v>5</v>
      </c>
      <c r="C1066">
        <v>6110</v>
      </c>
      <c r="D1066" s="1" t="s">
        <v>39</v>
      </c>
      <c r="E1066" s="1" t="s">
        <v>36</v>
      </c>
      <c r="F1066">
        <v>6109</v>
      </c>
      <c r="G1066" s="1" t="str">
        <f>_xlfn.XLOOKUP(tblActuals[[#This Row],[GL Account]],tblGLMap[GL Account],tblGLMap[Cost Category])</f>
        <v>Supplies &amp; Inventory</v>
      </c>
      <c r="H1066" s="1" t="str">
        <f>TEXT(tblActuals[[#This Row],[Date]],"mmm")</f>
        <v>Dec</v>
      </c>
    </row>
    <row r="1067" spans="1:8" x14ac:dyDescent="0.25">
      <c r="A1067" s="2">
        <v>45996</v>
      </c>
      <c r="B1067" s="1" t="s">
        <v>5</v>
      </c>
      <c r="C1067">
        <v>6120</v>
      </c>
      <c r="D1067" s="1" t="s">
        <v>35</v>
      </c>
      <c r="E1067" s="1" t="s">
        <v>37</v>
      </c>
      <c r="F1067">
        <v>11289</v>
      </c>
      <c r="G1067" s="1" t="str">
        <f>_xlfn.XLOOKUP(tblActuals[[#This Row],[GL Account]],tblGLMap[GL Account],tblGLMap[Cost Category])</f>
        <v>Supplies &amp; Inventory</v>
      </c>
      <c r="H1067" s="1" t="str">
        <f>TEXT(tblActuals[[#This Row],[Date]],"mmm")</f>
        <v>Dec</v>
      </c>
    </row>
    <row r="1068" spans="1:8" x14ac:dyDescent="0.25">
      <c r="A1068" s="2">
        <v>45997</v>
      </c>
      <c r="B1068" s="1" t="s">
        <v>5</v>
      </c>
      <c r="C1068">
        <v>6120</v>
      </c>
      <c r="D1068" s="1" t="s">
        <v>29</v>
      </c>
      <c r="E1068" s="1" t="s">
        <v>37</v>
      </c>
      <c r="F1068">
        <v>9210</v>
      </c>
      <c r="G1068" s="1" t="str">
        <f>_xlfn.XLOOKUP(tblActuals[[#This Row],[GL Account]],tblGLMap[GL Account],tblGLMap[Cost Category])</f>
        <v>Supplies &amp; Inventory</v>
      </c>
      <c r="H1068" s="1" t="str">
        <f>TEXT(tblActuals[[#This Row],[Date]],"mmm")</f>
        <v>Dec</v>
      </c>
    </row>
    <row r="1069" spans="1:8" x14ac:dyDescent="0.25">
      <c r="A1069" s="2">
        <v>45998</v>
      </c>
      <c r="B1069" s="1" t="s">
        <v>5</v>
      </c>
      <c r="C1069">
        <v>6120</v>
      </c>
      <c r="D1069" s="1" t="s">
        <v>31</v>
      </c>
      <c r="E1069" s="1" t="s">
        <v>37</v>
      </c>
      <c r="F1069">
        <v>10293</v>
      </c>
      <c r="G1069" s="1" t="str">
        <f>_xlfn.XLOOKUP(tblActuals[[#This Row],[GL Account]],tblGLMap[GL Account],tblGLMap[Cost Category])</f>
        <v>Supplies &amp; Inventory</v>
      </c>
      <c r="H1069" s="1" t="str">
        <f>TEXT(tblActuals[[#This Row],[Date]],"mmm")</f>
        <v>Dec</v>
      </c>
    </row>
    <row r="1070" spans="1:8" x14ac:dyDescent="0.25">
      <c r="A1070" s="2">
        <v>45996</v>
      </c>
      <c r="B1070" s="1" t="s">
        <v>5</v>
      </c>
      <c r="C1070">
        <v>6210</v>
      </c>
      <c r="D1070" s="1" t="s">
        <v>39</v>
      </c>
      <c r="E1070" s="1" t="s">
        <v>38</v>
      </c>
      <c r="F1070">
        <v>3261</v>
      </c>
      <c r="G1070" s="1" t="str">
        <f>_xlfn.XLOOKUP(tblActuals[[#This Row],[GL Account]],tblGLMap[GL Account],tblGLMap[Cost Category])</f>
        <v>Utilities</v>
      </c>
      <c r="H1070" s="1" t="str">
        <f>TEXT(tblActuals[[#This Row],[Date]],"mmm")</f>
        <v>Dec</v>
      </c>
    </row>
    <row r="1071" spans="1:8" x14ac:dyDescent="0.25">
      <c r="A1071" s="2">
        <v>45997</v>
      </c>
      <c r="B1071" s="1" t="s">
        <v>5</v>
      </c>
      <c r="C1071">
        <v>6210</v>
      </c>
      <c r="D1071" s="1" t="s">
        <v>29</v>
      </c>
      <c r="E1071" s="1" t="s">
        <v>38</v>
      </c>
      <c r="F1071">
        <v>3694</v>
      </c>
      <c r="G1071" s="1" t="str">
        <f>_xlfn.XLOOKUP(tblActuals[[#This Row],[GL Account]],tblGLMap[GL Account],tblGLMap[Cost Category])</f>
        <v>Utilities</v>
      </c>
      <c r="H1071" s="1" t="str">
        <f>TEXT(tblActuals[[#This Row],[Date]],"mmm")</f>
        <v>Dec</v>
      </c>
    </row>
    <row r="1072" spans="1:8" x14ac:dyDescent="0.25">
      <c r="A1072" s="2">
        <v>45998</v>
      </c>
      <c r="B1072" s="1" t="s">
        <v>5</v>
      </c>
      <c r="C1072">
        <v>6210</v>
      </c>
      <c r="D1072" s="1" t="s">
        <v>39</v>
      </c>
      <c r="E1072" s="1" t="s">
        <v>38</v>
      </c>
      <c r="F1072">
        <v>7492</v>
      </c>
      <c r="G1072" s="1" t="str">
        <f>_xlfn.XLOOKUP(tblActuals[[#This Row],[GL Account]],tblGLMap[GL Account],tblGLMap[Cost Category])</f>
        <v>Utilities</v>
      </c>
      <c r="H1072" s="1" t="str">
        <f>TEXT(tblActuals[[#This Row],[Date]],"mmm")</f>
        <v>Dec</v>
      </c>
    </row>
    <row r="1073" spans="1:8" x14ac:dyDescent="0.25">
      <c r="A1073" s="2">
        <v>45996</v>
      </c>
      <c r="B1073" s="1" t="s">
        <v>5</v>
      </c>
      <c r="C1073">
        <v>6220</v>
      </c>
      <c r="D1073" s="1" t="s">
        <v>31</v>
      </c>
      <c r="E1073" s="1" t="s">
        <v>40</v>
      </c>
      <c r="F1073">
        <v>7495</v>
      </c>
      <c r="G1073" s="1" t="str">
        <f>_xlfn.XLOOKUP(tblActuals[[#This Row],[GL Account]],tblGLMap[GL Account],tblGLMap[Cost Category])</f>
        <v>Utilities</v>
      </c>
      <c r="H1073" s="1" t="str">
        <f>TEXT(tblActuals[[#This Row],[Date]],"mmm")</f>
        <v>Dec</v>
      </c>
    </row>
    <row r="1074" spans="1:8" x14ac:dyDescent="0.25">
      <c r="A1074" s="2">
        <v>45997</v>
      </c>
      <c r="B1074" s="1" t="s">
        <v>5</v>
      </c>
      <c r="C1074">
        <v>6220</v>
      </c>
      <c r="D1074" s="1" t="s">
        <v>31</v>
      </c>
      <c r="E1074" s="1" t="s">
        <v>40</v>
      </c>
      <c r="F1074">
        <v>8063</v>
      </c>
      <c r="G1074" s="1" t="str">
        <f>_xlfn.XLOOKUP(tblActuals[[#This Row],[GL Account]],tblGLMap[GL Account],tblGLMap[Cost Category])</f>
        <v>Utilities</v>
      </c>
      <c r="H1074" s="1" t="str">
        <f>TEXT(tblActuals[[#This Row],[Date]],"mmm")</f>
        <v>Dec</v>
      </c>
    </row>
    <row r="1075" spans="1:8" x14ac:dyDescent="0.25">
      <c r="A1075" s="2">
        <v>45998</v>
      </c>
      <c r="B1075" s="1" t="s">
        <v>5</v>
      </c>
      <c r="C1075">
        <v>6220</v>
      </c>
      <c r="D1075" s="1" t="s">
        <v>32</v>
      </c>
      <c r="E1075" s="1" t="s">
        <v>40</v>
      </c>
      <c r="F1075">
        <v>10843</v>
      </c>
      <c r="G1075" s="1" t="str">
        <f>_xlfn.XLOOKUP(tblActuals[[#This Row],[GL Account]],tblGLMap[GL Account],tblGLMap[Cost Category])</f>
        <v>Utilities</v>
      </c>
      <c r="H1075" s="1" t="str">
        <f>TEXT(tblActuals[[#This Row],[Date]],"mmm")</f>
        <v>Dec</v>
      </c>
    </row>
    <row r="1076" spans="1:8" x14ac:dyDescent="0.25">
      <c r="A1076" s="2">
        <v>45996</v>
      </c>
      <c r="B1076" s="1" t="s">
        <v>5</v>
      </c>
      <c r="C1076">
        <v>6310</v>
      </c>
      <c r="D1076" s="1" t="s">
        <v>29</v>
      </c>
      <c r="E1076" s="1" t="s">
        <v>41</v>
      </c>
      <c r="F1076">
        <v>4689</v>
      </c>
      <c r="G1076" s="1" t="str">
        <f>_xlfn.XLOOKUP(tblActuals[[#This Row],[GL Account]],tblGLMap[GL Account],tblGLMap[Cost Category])</f>
        <v>Maintenance &amp; Repairs</v>
      </c>
      <c r="H1076" s="1" t="str">
        <f>TEXT(tblActuals[[#This Row],[Date]],"mmm")</f>
        <v>Dec</v>
      </c>
    </row>
    <row r="1077" spans="1:8" x14ac:dyDescent="0.25">
      <c r="A1077" s="2">
        <v>45997</v>
      </c>
      <c r="B1077" s="1" t="s">
        <v>5</v>
      </c>
      <c r="C1077">
        <v>6310</v>
      </c>
      <c r="D1077" s="1" t="s">
        <v>29</v>
      </c>
      <c r="E1077" s="1" t="s">
        <v>41</v>
      </c>
      <c r="F1077">
        <v>10564</v>
      </c>
      <c r="G1077" s="1" t="str">
        <f>_xlfn.XLOOKUP(tblActuals[[#This Row],[GL Account]],tblGLMap[GL Account],tblGLMap[Cost Category])</f>
        <v>Maintenance &amp; Repairs</v>
      </c>
      <c r="H1077" s="1" t="str">
        <f>TEXT(tblActuals[[#This Row],[Date]],"mmm")</f>
        <v>Dec</v>
      </c>
    </row>
    <row r="1078" spans="1:8" x14ac:dyDescent="0.25">
      <c r="A1078" s="2">
        <v>45998</v>
      </c>
      <c r="B1078" s="1" t="s">
        <v>5</v>
      </c>
      <c r="C1078">
        <v>6310</v>
      </c>
      <c r="D1078" s="1" t="s">
        <v>39</v>
      </c>
      <c r="E1078" s="1" t="s">
        <v>41</v>
      </c>
      <c r="F1078">
        <v>2704</v>
      </c>
      <c r="G1078" s="1" t="str">
        <f>_xlfn.XLOOKUP(tblActuals[[#This Row],[GL Account]],tblGLMap[GL Account],tblGLMap[Cost Category])</f>
        <v>Maintenance &amp; Repairs</v>
      </c>
      <c r="H1078" s="1" t="str">
        <f>TEXT(tblActuals[[#This Row],[Date]],"mmm")</f>
        <v>Dec</v>
      </c>
    </row>
    <row r="1079" spans="1:8" x14ac:dyDescent="0.25">
      <c r="A1079" s="2">
        <v>45996</v>
      </c>
      <c r="B1079" s="1" t="s">
        <v>5</v>
      </c>
      <c r="C1079">
        <v>6320</v>
      </c>
      <c r="D1079" s="1" t="s">
        <v>39</v>
      </c>
      <c r="E1079" s="1" t="s">
        <v>42</v>
      </c>
      <c r="F1079">
        <v>9761</v>
      </c>
      <c r="G1079" s="1" t="str">
        <f>_xlfn.XLOOKUP(tblActuals[[#This Row],[GL Account]],tblGLMap[GL Account],tblGLMap[Cost Category])</f>
        <v>Maintenance &amp; Repairs</v>
      </c>
      <c r="H1079" s="1" t="str">
        <f>TEXT(tblActuals[[#This Row],[Date]],"mmm")</f>
        <v>Dec</v>
      </c>
    </row>
    <row r="1080" spans="1:8" x14ac:dyDescent="0.25">
      <c r="A1080" s="2">
        <v>45997</v>
      </c>
      <c r="B1080" s="1" t="s">
        <v>5</v>
      </c>
      <c r="C1080">
        <v>6320</v>
      </c>
      <c r="D1080" s="1" t="s">
        <v>29</v>
      </c>
      <c r="E1080" s="1" t="s">
        <v>42</v>
      </c>
      <c r="F1080">
        <v>10508</v>
      </c>
      <c r="G1080" s="1" t="str">
        <f>_xlfn.XLOOKUP(tblActuals[[#This Row],[GL Account]],tblGLMap[GL Account],tblGLMap[Cost Category])</f>
        <v>Maintenance &amp; Repairs</v>
      </c>
      <c r="H1080" s="1" t="str">
        <f>TEXT(tblActuals[[#This Row],[Date]],"mmm")</f>
        <v>Dec</v>
      </c>
    </row>
    <row r="1081" spans="1:8" x14ac:dyDescent="0.25">
      <c r="A1081" s="2">
        <v>45998</v>
      </c>
      <c r="B1081" s="1" t="s">
        <v>5</v>
      </c>
      <c r="C1081">
        <v>6320</v>
      </c>
      <c r="D1081" s="1" t="s">
        <v>35</v>
      </c>
      <c r="E1081" s="1" t="s">
        <v>42</v>
      </c>
      <c r="F1081">
        <v>11711</v>
      </c>
      <c r="G1081" s="1" t="str">
        <f>_xlfn.XLOOKUP(tblActuals[[#This Row],[GL Account]],tblGLMap[GL Account],tblGLMap[Cost Category])</f>
        <v>Maintenance &amp; Repairs</v>
      </c>
      <c r="H1081" s="1" t="str">
        <f>TEXT(tblActuals[[#This Row],[Date]],"mmm")</f>
        <v>Dec</v>
      </c>
    </row>
    <row r="1082" spans="1:8" x14ac:dyDescent="0.25">
      <c r="A1082" s="2">
        <v>45996</v>
      </c>
      <c r="B1082" s="1" t="s">
        <v>10</v>
      </c>
      <c r="C1082">
        <v>6010</v>
      </c>
      <c r="D1082" s="1" t="s">
        <v>31</v>
      </c>
      <c r="E1082" s="1" t="s">
        <v>30</v>
      </c>
      <c r="F1082">
        <v>11511</v>
      </c>
      <c r="G1082" s="1" t="str">
        <f>_xlfn.XLOOKUP(tblActuals[[#This Row],[GL Account]],tblGLMap[GL Account],tblGLMap[Cost Category])</f>
        <v>Labor</v>
      </c>
      <c r="H1082" s="1" t="str">
        <f>TEXT(tblActuals[[#This Row],[Date]],"mmm")</f>
        <v>Dec</v>
      </c>
    </row>
    <row r="1083" spans="1:8" x14ac:dyDescent="0.25">
      <c r="A1083" s="2">
        <v>45997</v>
      </c>
      <c r="B1083" s="1" t="s">
        <v>10</v>
      </c>
      <c r="C1083">
        <v>6010</v>
      </c>
      <c r="D1083" s="1" t="s">
        <v>31</v>
      </c>
      <c r="E1083" s="1" t="s">
        <v>30</v>
      </c>
      <c r="F1083">
        <v>3608</v>
      </c>
      <c r="G1083" s="1" t="str">
        <f>_xlfn.XLOOKUP(tblActuals[[#This Row],[GL Account]],tblGLMap[GL Account],tblGLMap[Cost Category])</f>
        <v>Labor</v>
      </c>
      <c r="H1083" s="1" t="str">
        <f>TEXT(tblActuals[[#This Row],[Date]],"mmm")</f>
        <v>Dec</v>
      </c>
    </row>
    <row r="1084" spans="1:8" x14ac:dyDescent="0.25">
      <c r="A1084" s="2">
        <v>45998</v>
      </c>
      <c r="B1084" s="1" t="s">
        <v>10</v>
      </c>
      <c r="C1084">
        <v>6010</v>
      </c>
      <c r="D1084" s="1" t="s">
        <v>29</v>
      </c>
      <c r="E1084" s="1" t="s">
        <v>30</v>
      </c>
      <c r="F1084">
        <v>7953</v>
      </c>
      <c r="G1084" s="1" t="str">
        <f>_xlfn.XLOOKUP(tblActuals[[#This Row],[GL Account]],tblGLMap[GL Account],tblGLMap[Cost Category])</f>
        <v>Labor</v>
      </c>
      <c r="H1084" s="1" t="str">
        <f>TEXT(tblActuals[[#This Row],[Date]],"mmm")</f>
        <v>Dec</v>
      </c>
    </row>
    <row r="1085" spans="1:8" x14ac:dyDescent="0.25">
      <c r="A1085" s="2">
        <v>45996</v>
      </c>
      <c r="B1085" s="1" t="s">
        <v>10</v>
      </c>
      <c r="C1085">
        <v>6020</v>
      </c>
      <c r="D1085" s="1" t="s">
        <v>32</v>
      </c>
      <c r="E1085" s="1" t="s">
        <v>33</v>
      </c>
      <c r="F1085">
        <v>7055</v>
      </c>
      <c r="G1085" s="1" t="str">
        <f>_xlfn.XLOOKUP(tblActuals[[#This Row],[GL Account]],tblGLMap[GL Account],tblGLMap[Cost Category])</f>
        <v>Labor</v>
      </c>
      <c r="H1085" s="1" t="str">
        <f>TEXT(tblActuals[[#This Row],[Date]],"mmm")</f>
        <v>Dec</v>
      </c>
    </row>
    <row r="1086" spans="1:8" x14ac:dyDescent="0.25">
      <c r="A1086" s="2">
        <v>45997</v>
      </c>
      <c r="B1086" s="1" t="s">
        <v>10</v>
      </c>
      <c r="C1086">
        <v>6020</v>
      </c>
      <c r="D1086" s="1" t="s">
        <v>34</v>
      </c>
      <c r="E1086" s="1" t="s">
        <v>33</v>
      </c>
      <c r="F1086">
        <v>7490</v>
      </c>
      <c r="G1086" s="1" t="str">
        <f>_xlfn.XLOOKUP(tblActuals[[#This Row],[GL Account]],tblGLMap[GL Account],tblGLMap[Cost Category])</f>
        <v>Labor</v>
      </c>
      <c r="H1086" s="1" t="str">
        <f>TEXT(tblActuals[[#This Row],[Date]],"mmm")</f>
        <v>Dec</v>
      </c>
    </row>
    <row r="1087" spans="1:8" x14ac:dyDescent="0.25">
      <c r="A1087" s="2">
        <v>45998</v>
      </c>
      <c r="B1087" s="1" t="s">
        <v>10</v>
      </c>
      <c r="C1087">
        <v>6020</v>
      </c>
      <c r="D1087" s="1" t="s">
        <v>32</v>
      </c>
      <c r="E1087" s="1" t="s">
        <v>33</v>
      </c>
      <c r="F1087">
        <v>4761</v>
      </c>
      <c r="G1087" s="1" t="str">
        <f>_xlfn.XLOOKUP(tblActuals[[#This Row],[GL Account]],tblGLMap[GL Account],tblGLMap[Cost Category])</f>
        <v>Labor</v>
      </c>
      <c r="H1087" s="1" t="str">
        <f>TEXT(tblActuals[[#This Row],[Date]],"mmm")</f>
        <v>Dec</v>
      </c>
    </row>
    <row r="1088" spans="1:8" x14ac:dyDescent="0.25">
      <c r="A1088" s="2">
        <v>45996</v>
      </c>
      <c r="B1088" s="1" t="s">
        <v>10</v>
      </c>
      <c r="C1088">
        <v>6110</v>
      </c>
      <c r="D1088" s="1" t="s">
        <v>39</v>
      </c>
      <c r="E1088" s="1" t="s">
        <v>36</v>
      </c>
      <c r="F1088">
        <v>9841</v>
      </c>
      <c r="G1088" s="1" t="str">
        <f>_xlfn.XLOOKUP(tblActuals[[#This Row],[GL Account]],tblGLMap[GL Account],tblGLMap[Cost Category])</f>
        <v>Supplies &amp; Inventory</v>
      </c>
      <c r="H1088" s="1" t="str">
        <f>TEXT(tblActuals[[#This Row],[Date]],"mmm")</f>
        <v>Dec</v>
      </c>
    </row>
    <row r="1089" spans="1:8" x14ac:dyDescent="0.25">
      <c r="A1089" s="2">
        <v>45997</v>
      </c>
      <c r="B1089" s="1" t="s">
        <v>10</v>
      </c>
      <c r="C1089">
        <v>6110</v>
      </c>
      <c r="D1089" s="1" t="s">
        <v>31</v>
      </c>
      <c r="E1089" s="1" t="s">
        <v>36</v>
      </c>
      <c r="F1089">
        <v>9693</v>
      </c>
      <c r="G1089" s="1" t="str">
        <f>_xlfn.XLOOKUP(tblActuals[[#This Row],[GL Account]],tblGLMap[GL Account],tblGLMap[Cost Category])</f>
        <v>Supplies &amp; Inventory</v>
      </c>
      <c r="H1089" s="1" t="str">
        <f>TEXT(tblActuals[[#This Row],[Date]],"mmm")</f>
        <v>Dec</v>
      </c>
    </row>
    <row r="1090" spans="1:8" x14ac:dyDescent="0.25">
      <c r="A1090" s="2">
        <v>45998</v>
      </c>
      <c r="B1090" s="1" t="s">
        <v>10</v>
      </c>
      <c r="C1090">
        <v>6110</v>
      </c>
      <c r="D1090" s="1" t="s">
        <v>31</v>
      </c>
      <c r="E1090" s="1" t="s">
        <v>36</v>
      </c>
      <c r="F1090">
        <v>2242</v>
      </c>
      <c r="G1090" s="1" t="str">
        <f>_xlfn.XLOOKUP(tblActuals[[#This Row],[GL Account]],tblGLMap[GL Account],tblGLMap[Cost Category])</f>
        <v>Supplies &amp; Inventory</v>
      </c>
      <c r="H1090" s="1" t="str">
        <f>TEXT(tblActuals[[#This Row],[Date]],"mmm")</f>
        <v>Dec</v>
      </c>
    </row>
    <row r="1091" spans="1:8" x14ac:dyDescent="0.25">
      <c r="A1091" s="2">
        <v>45996</v>
      </c>
      <c r="B1091" s="1" t="s">
        <v>10</v>
      </c>
      <c r="C1091">
        <v>6120</v>
      </c>
      <c r="D1091" s="1" t="s">
        <v>35</v>
      </c>
      <c r="E1091" s="1" t="s">
        <v>37</v>
      </c>
      <c r="F1091">
        <v>3745</v>
      </c>
      <c r="G1091" s="1" t="str">
        <f>_xlfn.XLOOKUP(tblActuals[[#This Row],[GL Account]],tblGLMap[GL Account],tblGLMap[Cost Category])</f>
        <v>Supplies &amp; Inventory</v>
      </c>
      <c r="H1091" s="1" t="str">
        <f>TEXT(tblActuals[[#This Row],[Date]],"mmm")</f>
        <v>Dec</v>
      </c>
    </row>
    <row r="1092" spans="1:8" x14ac:dyDescent="0.25">
      <c r="A1092" s="2">
        <v>45997</v>
      </c>
      <c r="B1092" s="1" t="s">
        <v>10</v>
      </c>
      <c r="C1092">
        <v>6120</v>
      </c>
      <c r="D1092" s="1" t="s">
        <v>39</v>
      </c>
      <c r="E1092" s="1" t="s">
        <v>37</v>
      </c>
      <c r="F1092">
        <v>6956</v>
      </c>
      <c r="G1092" s="1" t="str">
        <f>_xlfn.XLOOKUP(tblActuals[[#This Row],[GL Account]],tblGLMap[GL Account],tblGLMap[Cost Category])</f>
        <v>Supplies &amp; Inventory</v>
      </c>
      <c r="H1092" s="1" t="str">
        <f>TEXT(tblActuals[[#This Row],[Date]],"mmm")</f>
        <v>Dec</v>
      </c>
    </row>
    <row r="1093" spans="1:8" x14ac:dyDescent="0.25">
      <c r="A1093" s="2">
        <v>45998</v>
      </c>
      <c r="B1093" s="1" t="s">
        <v>10</v>
      </c>
      <c r="C1093">
        <v>6120</v>
      </c>
      <c r="D1093" s="1" t="s">
        <v>39</v>
      </c>
      <c r="E1093" s="1" t="s">
        <v>37</v>
      </c>
      <c r="F1093">
        <v>10008</v>
      </c>
      <c r="G1093" s="1" t="str">
        <f>_xlfn.XLOOKUP(tblActuals[[#This Row],[GL Account]],tblGLMap[GL Account],tblGLMap[Cost Category])</f>
        <v>Supplies &amp; Inventory</v>
      </c>
      <c r="H1093" s="1" t="str">
        <f>TEXT(tblActuals[[#This Row],[Date]],"mmm")</f>
        <v>Dec</v>
      </c>
    </row>
    <row r="1094" spans="1:8" x14ac:dyDescent="0.25">
      <c r="A1094" s="2">
        <v>45996</v>
      </c>
      <c r="B1094" s="1" t="s">
        <v>10</v>
      </c>
      <c r="C1094">
        <v>6210</v>
      </c>
      <c r="D1094" s="1" t="s">
        <v>32</v>
      </c>
      <c r="E1094" s="1" t="s">
        <v>38</v>
      </c>
      <c r="F1094">
        <v>3940</v>
      </c>
      <c r="G1094" s="1" t="str">
        <f>_xlfn.XLOOKUP(tblActuals[[#This Row],[GL Account]],tblGLMap[GL Account],tblGLMap[Cost Category])</f>
        <v>Utilities</v>
      </c>
      <c r="H1094" s="1" t="str">
        <f>TEXT(tblActuals[[#This Row],[Date]],"mmm")</f>
        <v>Dec</v>
      </c>
    </row>
    <row r="1095" spans="1:8" x14ac:dyDescent="0.25">
      <c r="A1095" s="2">
        <v>45997</v>
      </c>
      <c r="B1095" s="1" t="s">
        <v>10</v>
      </c>
      <c r="C1095">
        <v>6210</v>
      </c>
      <c r="D1095" s="1" t="s">
        <v>34</v>
      </c>
      <c r="E1095" s="1" t="s">
        <v>38</v>
      </c>
      <c r="F1095">
        <v>9946</v>
      </c>
      <c r="G1095" s="1" t="str">
        <f>_xlfn.XLOOKUP(tblActuals[[#This Row],[GL Account]],tblGLMap[GL Account],tblGLMap[Cost Category])</f>
        <v>Utilities</v>
      </c>
      <c r="H1095" s="1" t="str">
        <f>TEXT(tblActuals[[#This Row],[Date]],"mmm")</f>
        <v>Dec</v>
      </c>
    </row>
    <row r="1096" spans="1:8" x14ac:dyDescent="0.25">
      <c r="A1096" s="2">
        <v>45998</v>
      </c>
      <c r="B1096" s="1" t="s">
        <v>10</v>
      </c>
      <c r="C1096">
        <v>6210</v>
      </c>
      <c r="D1096" s="1" t="s">
        <v>32</v>
      </c>
      <c r="E1096" s="1" t="s">
        <v>38</v>
      </c>
      <c r="F1096">
        <v>6873</v>
      </c>
      <c r="G1096" s="1" t="str">
        <f>_xlfn.XLOOKUP(tblActuals[[#This Row],[GL Account]],tblGLMap[GL Account],tblGLMap[Cost Category])</f>
        <v>Utilities</v>
      </c>
      <c r="H1096" s="1" t="str">
        <f>TEXT(tblActuals[[#This Row],[Date]],"mmm")</f>
        <v>Dec</v>
      </c>
    </row>
    <row r="1097" spans="1:8" x14ac:dyDescent="0.25">
      <c r="A1097" s="2">
        <v>45996</v>
      </c>
      <c r="B1097" s="1" t="s">
        <v>10</v>
      </c>
      <c r="C1097">
        <v>6220</v>
      </c>
      <c r="D1097" s="1" t="s">
        <v>34</v>
      </c>
      <c r="E1097" s="1" t="s">
        <v>40</v>
      </c>
      <c r="F1097">
        <v>6718</v>
      </c>
      <c r="G1097" s="1" t="str">
        <f>_xlfn.XLOOKUP(tblActuals[[#This Row],[GL Account]],tblGLMap[GL Account],tblGLMap[Cost Category])</f>
        <v>Utilities</v>
      </c>
      <c r="H1097" s="1" t="str">
        <f>TEXT(tblActuals[[#This Row],[Date]],"mmm")</f>
        <v>Dec</v>
      </c>
    </row>
    <row r="1098" spans="1:8" x14ac:dyDescent="0.25">
      <c r="A1098" s="2">
        <v>45997</v>
      </c>
      <c r="B1098" s="1" t="s">
        <v>10</v>
      </c>
      <c r="C1098">
        <v>6220</v>
      </c>
      <c r="D1098" s="1" t="s">
        <v>32</v>
      </c>
      <c r="E1098" s="1" t="s">
        <v>40</v>
      </c>
      <c r="F1098">
        <v>7938</v>
      </c>
      <c r="G1098" s="1" t="str">
        <f>_xlfn.XLOOKUP(tblActuals[[#This Row],[GL Account]],tblGLMap[GL Account],tblGLMap[Cost Category])</f>
        <v>Utilities</v>
      </c>
      <c r="H1098" s="1" t="str">
        <f>TEXT(tblActuals[[#This Row],[Date]],"mmm")</f>
        <v>Dec</v>
      </c>
    </row>
    <row r="1099" spans="1:8" x14ac:dyDescent="0.25">
      <c r="A1099" s="2">
        <v>45998</v>
      </c>
      <c r="B1099" s="1" t="s">
        <v>10</v>
      </c>
      <c r="C1099">
        <v>6220</v>
      </c>
      <c r="D1099" s="1" t="s">
        <v>32</v>
      </c>
      <c r="E1099" s="1" t="s">
        <v>40</v>
      </c>
      <c r="F1099">
        <v>6402</v>
      </c>
      <c r="G1099" s="1" t="str">
        <f>_xlfn.XLOOKUP(tblActuals[[#This Row],[GL Account]],tblGLMap[GL Account],tblGLMap[Cost Category])</f>
        <v>Utilities</v>
      </c>
      <c r="H1099" s="1" t="str">
        <f>TEXT(tblActuals[[#This Row],[Date]],"mmm")</f>
        <v>Dec</v>
      </c>
    </row>
    <row r="1100" spans="1:8" x14ac:dyDescent="0.25">
      <c r="A1100" s="2">
        <v>45996</v>
      </c>
      <c r="B1100" s="1" t="s">
        <v>10</v>
      </c>
      <c r="C1100">
        <v>6310</v>
      </c>
      <c r="D1100" s="1" t="s">
        <v>32</v>
      </c>
      <c r="E1100" s="1" t="s">
        <v>41</v>
      </c>
      <c r="F1100">
        <v>7011</v>
      </c>
      <c r="G1100" s="1" t="str">
        <f>_xlfn.XLOOKUP(tblActuals[[#This Row],[GL Account]],tblGLMap[GL Account],tblGLMap[Cost Category])</f>
        <v>Maintenance &amp; Repairs</v>
      </c>
      <c r="H1100" s="1" t="str">
        <f>TEXT(tblActuals[[#This Row],[Date]],"mmm")</f>
        <v>Dec</v>
      </c>
    </row>
    <row r="1101" spans="1:8" x14ac:dyDescent="0.25">
      <c r="A1101" s="2">
        <v>45997</v>
      </c>
      <c r="B1101" s="1" t="s">
        <v>10</v>
      </c>
      <c r="C1101">
        <v>6310</v>
      </c>
      <c r="D1101" s="1" t="s">
        <v>32</v>
      </c>
      <c r="E1101" s="1" t="s">
        <v>41</v>
      </c>
      <c r="F1101">
        <v>9851</v>
      </c>
      <c r="G1101" s="1" t="str">
        <f>_xlfn.XLOOKUP(tblActuals[[#This Row],[GL Account]],tblGLMap[GL Account],tblGLMap[Cost Category])</f>
        <v>Maintenance &amp; Repairs</v>
      </c>
      <c r="H1101" s="1" t="str">
        <f>TEXT(tblActuals[[#This Row],[Date]],"mmm")</f>
        <v>Dec</v>
      </c>
    </row>
    <row r="1102" spans="1:8" x14ac:dyDescent="0.25">
      <c r="A1102" s="2">
        <v>45998</v>
      </c>
      <c r="B1102" s="1" t="s">
        <v>10</v>
      </c>
      <c r="C1102">
        <v>6310</v>
      </c>
      <c r="D1102" s="1" t="s">
        <v>35</v>
      </c>
      <c r="E1102" s="1" t="s">
        <v>41</v>
      </c>
      <c r="F1102">
        <v>9525</v>
      </c>
      <c r="G1102" s="1" t="str">
        <f>_xlfn.XLOOKUP(tblActuals[[#This Row],[GL Account]],tblGLMap[GL Account],tblGLMap[Cost Category])</f>
        <v>Maintenance &amp; Repairs</v>
      </c>
      <c r="H1102" s="1" t="str">
        <f>TEXT(tblActuals[[#This Row],[Date]],"mmm")</f>
        <v>Dec</v>
      </c>
    </row>
    <row r="1103" spans="1:8" x14ac:dyDescent="0.25">
      <c r="A1103" s="2">
        <v>45996</v>
      </c>
      <c r="B1103" s="1" t="s">
        <v>10</v>
      </c>
      <c r="C1103">
        <v>6320</v>
      </c>
      <c r="D1103" s="1" t="s">
        <v>29</v>
      </c>
      <c r="E1103" s="1" t="s">
        <v>42</v>
      </c>
      <c r="F1103">
        <v>10722</v>
      </c>
      <c r="G1103" s="1" t="str">
        <f>_xlfn.XLOOKUP(tblActuals[[#This Row],[GL Account]],tblGLMap[GL Account],tblGLMap[Cost Category])</f>
        <v>Maintenance &amp; Repairs</v>
      </c>
      <c r="H1103" s="1" t="str">
        <f>TEXT(tblActuals[[#This Row],[Date]],"mmm")</f>
        <v>Dec</v>
      </c>
    </row>
    <row r="1104" spans="1:8" x14ac:dyDescent="0.25">
      <c r="A1104" s="2">
        <v>45997</v>
      </c>
      <c r="B1104" s="1" t="s">
        <v>10</v>
      </c>
      <c r="C1104">
        <v>6320</v>
      </c>
      <c r="D1104" s="1" t="s">
        <v>31</v>
      </c>
      <c r="E1104" s="1" t="s">
        <v>42</v>
      </c>
      <c r="F1104">
        <v>9280</v>
      </c>
      <c r="G1104" s="1" t="str">
        <f>_xlfn.XLOOKUP(tblActuals[[#This Row],[GL Account]],tblGLMap[GL Account],tblGLMap[Cost Category])</f>
        <v>Maintenance &amp; Repairs</v>
      </c>
      <c r="H1104" s="1" t="str">
        <f>TEXT(tblActuals[[#This Row],[Date]],"mmm")</f>
        <v>Dec</v>
      </c>
    </row>
    <row r="1105" spans="1:8" x14ac:dyDescent="0.25">
      <c r="A1105" s="2">
        <v>45998</v>
      </c>
      <c r="B1105" s="1" t="s">
        <v>10</v>
      </c>
      <c r="C1105">
        <v>6320</v>
      </c>
      <c r="D1105" s="1" t="s">
        <v>29</v>
      </c>
      <c r="E1105" s="1" t="s">
        <v>42</v>
      </c>
      <c r="F1105">
        <v>7535</v>
      </c>
      <c r="G1105" s="1" t="str">
        <f>_xlfn.XLOOKUP(tblActuals[[#This Row],[GL Account]],tblGLMap[GL Account],tblGLMap[Cost Category])</f>
        <v>Maintenance &amp; Repairs</v>
      </c>
      <c r="H1105" s="1" t="str">
        <f>TEXT(tblActuals[[#This Row],[Date]],"mmm")</f>
        <v>Dec</v>
      </c>
    </row>
    <row r="1106" spans="1:8" x14ac:dyDescent="0.25">
      <c r="A1106" s="2">
        <v>45996</v>
      </c>
      <c r="B1106" s="1" t="s">
        <v>11</v>
      </c>
      <c r="C1106">
        <v>6010</v>
      </c>
      <c r="D1106" s="1" t="s">
        <v>39</v>
      </c>
      <c r="E1106" s="1" t="s">
        <v>30</v>
      </c>
      <c r="F1106">
        <v>3295</v>
      </c>
      <c r="G1106" s="1" t="str">
        <f>_xlfn.XLOOKUP(tblActuals[[#This Row],[GL Account]],tblGLMap[GL Account],tblGLMap[Cost Category])</f>
        <v>Labor</v>
      </c>
      <c r="H1106" s="1" t="str">
        <f>TEXT(tblActuals[[#This Row],[Date]],"mmm")</f>
        <v>Dec</v>
      </c>
    </row>
    <row r="1107" spans="1:8" x14ac:dyDescent="0.25">
      <c r="A1107" s="2">
        <v>45997</v>
      </c>
      <c r="B1107" s="1" t="s">
        <v>11</v>
      </c>
      <c r="C1107">
        <v>6010</v>
      </c>
      <c r="D1107" s="1" t="s">
        <v>29</v>
      </c>
      <c r="E1107" s="1" t="s">
        <v>30</v>
      </c>
      <c r="F1107">
        <v>11063</v>
      </c>
      <c r="G1107" s="1" t="str">
        <f>_xlfn.XLOOKUP(tblActuals[[#This Row],[GL Account]],tblGLMap[GL Account],tblGLMap[Cost Category])</f>
        <v>Labor</v>
      </c>
      <c r="H1107" s="1" t="str">
        <f>TEXT(tblActuals[[#This Row],[Date]],"mmm")</f>
        <v>Dec</v>
      </c>
    </row>
    <row r="1108" spans="1:8" x14ac:dyDescent="0.25">
      <c r="A1108" s="2">
        <v>45998</v>
      </c>
      <c r="B1108" s="1" t="s">
        <v>11</v>
      </c>
      <c r="C1108">
        <v>6010</v>
      </c>
      <c r="D1108" s="1" t="s">
        <v>31</v>
      </c>
      <c r="E1108" s="1" t="s">
        <v>30</v>
      </c>
      <c r="F1108">
        <v>11809</v>
      </c>
      <c r="G1108" s="1" t="str">
        <f>_xlfn.XLOOKUP(tblActuals[[#This Row],[GL Account]],tblGLMap[GL Account],tblGLMap[Cost Category])</f>
        <v>Labor</v>
      </c>
      <c r="H1108" s="1" t="str">
        <f>TEXT(tblActuals[[#This Row],[Date]],"mmm")</f>
        <v>Dec</v>
      </c>
    </row>
    <row r="1109" spans="1:8" x14ac:dyDescent="0.25">
      <c r="A1109" s="2">
        <v>45996</v>
      </c>
      <c r="B1109" s="1" t="s">
        <v>11</v>
      </c>
      <c r="C1109">
        <v>6020</v>
      </c>
      <c r="D1109" s="1" t="s">
        <v>39</v>
      </c>
      <c r="E1109" s="1" t="s">
        <v>33</v>
      </c>
      <c r="F1109">
        <v>11279</v>
      </c>
      <c r="G1109" s="1" t="str">
        <f>_xlfn.XLOOKUP(tblActuals[[#This Row],[GL Account]],tblGLMap[GL Account],tblGLMap[Cost Category])</f>
        <v>Labor</v>
      </c>
      <c r="H1109" s="1" t="str">
        <f>TEXT(tblActuals[[#This Row],[Date]],"mmm")</f>
        <v>Dec</v>
      </c>
    </row>
    <row r="1110" spans="1:8" x14ac:dyDescent="0.25">
      <c r="A1110" s="2">
        <v>45997</v>
      </c>
      <c r="B1110" s="1" t="s">
        <v>11</v>
      </c>
      <c r="C1110">
        <v>6020</v>
      </c>
      <c r="D1110" s="1" t="s">
        <v>35</v>
      </c>
      <c r="E1110" s="1" t="s">
        <v>33</v>
      </c>
      <c r="F1110">
        <v>5850</v>
      </c>
      <c r="G1110" s="1" t="str">
        <f>_xlfn.XLOOKUP(tblActuals[[#This Row],[GL Account]],tblGLMap[GL Account],tblGLMap[Cost Category])</f>
        <v>Labor</v>
      </c>
      <c r="H1110" s="1" t="str">
        <f>TEXT(tblActuals[[#This Row],[Date]],"mmm")</f>
        <v>Dec</v>
      </c>
    </row>
    <row r="1111" spans="1:8" x14ac:dyDescent="0.25">
      <c r="A1111" s="2">
        <v>45998</v>
      </c>
      <c r="B1111" s="1" t="s">
        <v>11</v>
      </c>
      <c r="C1111">
        <v>6020</v>
      </c>
      <c r="D1111" s="1" t="s">
        <v>32</v>
      </c>
      <c r="E1111" s="1" t="s">
        <v>33</v>
      </c>
      <c r="F1111">
        <v>10977</v>
      </c>
      <c r="G1111" s="1" t="str">
        <f>_xlfn.XLOOKUP(tblActuals[[#This Row],[GL Account]],tblGLMap[GL Account],tblGLMap[Cost Category])</f>
        <v>Labor</v>
      </c>
      <c r="H1111" s="1" t="str">
        <f>TEXT(tblActuals[[#This Row],[Date]],"mmm")</f>
        <v>Dec</v>
      </c>
    </row>
    <row r="1112" spans="1:8" x14ac:dyDescent="0.25">
      <c r="A1112" s="2">
        <v>45996</v>
      </c>
      <c r="B1112" s="1" t="s">
        <v>11</v>
      </c>
      <c r="C1112">
        <v>6110</v>
      </c>
      <c r="D1112" s="1" t="s">
        <v>35</v>
      </c>
      <c r="E1112" s="1" t="s">
        <v>36</v>
      </c>
      <c r="F1112">
        <v>5228</v>
      </c>
      <c r="G1112" s="1" t="str">
        <f>_xlfn.XLOOKUP(tblActuals[[#This Row],[GL Account]],tblGLMap[GL Account],tblGLMap[Cost Category])</f>
        <v>Supplies &amp; Inventory</v>
      </c>
      <c r="H1112" s="1" t="str">
        <f>TEXT(tblActuals[[#This Row],[Date]],"mmm")</f>
        <v>Dec</v>
      </c>
    </row>
    <row r="1113" spans="1:8" x14ac:dyDescent="0.25">
      <c r="A1113" s="2">
        <v>45997</v>
      </c>
      <c r="B1113" s="1" t="s">
        <v>11</v>
      </c>
      <c r="C1113">
        <v>6110</v>
      </c>
      <c r="D1113" s="1" t="s">
        <v>32</v>
      </c>
      <c r="E1113" s="1" t="s">
        <v>36</v>
      </c>
      <c r="F1113">
        <v>2341</v>
      </c>
      <c r="G1113" s="1" t="str">
        <f>_xlfn.XLOOKUP(tblActuals[[#This Row],[GL Account]],tblGLMap[GL Account],tblGLMap[Cost Category])</f>
        <v>Supplies &amp; Inventory</v>
      </c>
      <c r="H1113" s="1" t="str">
        <f>TEXT(tblActuals[[#This Row],[Date]],"mmm")</f>
        <v>Dec</v>
      </c>
    </row>
    <row r="1114" spans="1:8" x14ac:dyDescent="0.25">
      <c r="A1114" s="2">
        <v>45998</v>
      </c>
      <c r="B1114" s="1" t="s">
        <v>11</v>
      </c>
      <c r="C1114">
        <v>6110</v>
      </c>
      <c r="D1114" s="1" t="s">
        <v>34</v>
      </c>
      <c r="E1114" s="1" t="s">
        <v>36</v>
      </c>
      <c r="F1114">
        <v>9371</v>
      </c>
      <c r="G1114" s="1" t="str">
        <f>_xlfn.XLOOKUP(tblActuals[[#This Row],[GL Account]],tblGLMap[GL Account],tblGLMap[Cost Category])</f>
        <v>Supplies &amp; Inventory</v>
      </c>
      <c r="H1114" s="1" t="str">
        <f>TEXT(tblActuals[[#This Row],[Date]],"mmm")</f>
        <v>Dec</v>
      </c>
    </row>
    <row r="1115" spans="1:8" x14ac:dyDescent="0.25">
      <c r="A1115" s="2">
        <v>45996</v>
      </c>
      <c r="B1115" s="1" t="s">
        <v>11</v>
      </c>
      <c r="C1115">
        <v>6120</v>
      </c>
      <c r="D1115" s="1" t="s">
        <v>35</v>
      </c>
      <c r="E1115" s="1" t="s">
        <v>37</v>
      </c>
      <c r="F1115">
        <v>10089</v>
      </c>
      <c r="G1115" s="1" t="str">
        <f>_xlfn.XLOOKUP(tblActuals[[#This Row],[GL Account]],tblGLMap[GL Account],tblGLMap[Cost Category])</f>
        <v>Supplies &amp; Inventory</v>
      </c>
      <c r="H1115" s="1" t="str">
        <f>TEXT(tblActuals[[#This Row],[Date]],"mmm")</f>
        <v>Dec</v>
      </c>
    </row>
    <row r="1116" spans="1:8" x14ac:dyDescent="0.25">
      <c r="A1116" s="2">
        <v>45997</v>
      </c>
      <c r="B1116" s="1" t="s">
        <v>11</v>
      </c>
      <c r="C1116">
        <v>6120</v>
      </c>
      <c r="D1116" s="1" t="s">
        <v>39</v>
      </c>
      <c r="E1116" s="1" t="s">
        <v>37</v>
      </c>
      <c r="F1116">
        <v>11653</v>
      </c>
      <c r="G1116" s="1" t="str">
        <f>_xlfn.XLOOKUP(tblActuals[[#This Row],[GL Account]],tblGLMap[GL Account],tblGLMap[Cost Category])</f>
        <v>Supplies &amp; Inventory</v>
      </c>
      <c r="H1116" s="1" t="str">
        <f>TEXT(tblActuals[[#This Row],[Date]],"mmm")</f>
        <v>Dec</v>
      </c>
    </row>
    <row r="1117" spans="1:8" x14ac:dyDescent="0.25">
      <c r="A1117" s="2">
        <v>45998</v>
      </c>
      <c r="B1117" s="1" t="s">
        <v>11</v>
      </c>
      <c r="C1117">
        <v>6120</v>
      </c>
      <c r="D1117" s="1" t="s">
        <v>35</v>
      </c>
      <c r="E1117" s="1" t="s">
        <v>37</v>
      </c>
      <c r="F1117">
        <v>3921</v>
      </c>
      <c r="G1117" s="1" t="str">
        <f>_xlfn.XLOOKUP(tblActuals[[#This Row],[GL Account]],tblGLMap[GL Account],tblGLMap[Cost Category])</f>
        <v>Supplies &amp; Inventory</v>
      </c>
      <c r="H1117" s="1" t="str">
        <f>TEXT(tblActuals[[#This Row],[Date]],"mmm")</f>
        <v>Dec</v>
      </c>
    </row>
    <row r="1118" spans="1:8" x14ac:dyDescent="0.25">
      <c r="A1118" s="2">
        <v>45996</v>
      </c>
      <c r="B1118" s="1" t="s">
        <v>11</v>
      </c>
      <c r="C1118">
        <v>6210</v>
      </c>
      <c r="D1118" s="1" t="s">
        <v>31</v>
      </c>
      <c r="E1118" s="1" t="s">
        <v>38</v>
      </c>
      <c r="F1118">
        <v>5468</v>
      </c>
      <c r="G1118" s="1" t="str">
        <f>_xlfn.XLOOKUP(tblActuals[[#This Row],[GL Account]],tblGLMap[GL Account],tblGLMap[Cost Category])</f>
        <v>Utilities</v>
      </c>
      <c r="H1118" s="1" t="str">
        <f>TEXT(tblActuals[[#This Row],[Date]],"mmm")</f>
        <v>Dec</v>
      </c>
    </row>
    <row r="1119" spans="1:8" x14ac:dyDescent="0.25">
      <c r="A1119" s="2">
        <v>45997</v>
      </c>
      <c r="B1119" s="1" t="s">
        <v>11</v>
      </c>
      <c r="C1119">
        <v>6210</v>
      </c>
      <c r="D1119" s="1" t="s">
        <v>35</v>
      </c>
      <c r="E1119" s="1" t="s">
        <v>38</v>
      </c>
      <c r="F1119">
        <v>10880</v>
      </c>
      <c r="G1119" s="1" t="str">
        <f>_xlfn.XLOOKUP(tblActuals[[#This Row],[GL Account]],tblGLMap[GL Account],tblGLMap[Cost Category])</f>
        <v>Utilities</v>
      </c>
      <c r="H1119" s="1" t="str">
        <f>TEXT(tblActuals[[#This Row],[Date]],"mmm")</f>
        <v>Dec</v>
      </c>
    </row>
    <row r="1120" spans="1:8" x14ac:dyDescent="0.25">
      <c r="A1120" s="2">
        <v>45998</v>
      </c>
      <c r="B1120" s="1" t="s">
        <v>11</v>
      </c>
      <c r="C1120">
        <v>6210</v>
      </c>
      <c r="D1120" s="1" t="s">
        <v>34</v>
      </c>
      <c r="E1120" s="1" t="s">
        <v>38</v>
      </c>
      <c r="F1120">
        <v>3300</v>
      </c>
      <c r="G1120" s="1" t="str">
        <f>_xlfn.XLOOKUP(tblActuals[[#This Row],[GL Account]],tblGLMap[GL Account],tblGLMap[Cost Category])</f>
        <v>Utilities</v>
      </c>
      <c r="H1120" s="1" t="str">
        <f>TEXT(tblActuals[[#This Row],[Date]],"mmm")</f>
        <v>Dec</v>
      </c>
    </row>
    <row r="1121" spans="1:8" x14ac:dyDescent="0.25">
      <c r="A1121" s="2">
        <v>45996</v>
      </c>
      <c r="B1121" s="1" t="s">
        <v>11</v>
      </c>
      <c r="C1121">
        <v>6220</v>
      </c>
      <c r="D1121" s="1" t="s">
        <v>39</v>
      </c>
      <c r="E1121" s="1" t="s">
        <v>40</v>
      </c>
      <c r="F1121">
        <v>1810</v>
      </c>
      <c r="G1121" s="1" t="str">
        <f>_xlfn.XLOOKUP(tblActuals[[#This Row],[GL Account]],tblGLMap[GL Account],tblGLMap[Cost Category])</f>
        <v>Utilities</v>
      </c>
      <c r="H1121" s="1" t="str">
        <f>TEXT(tblActuals[[#This Row],[Date]],"mmm")</f>
        <v>Dec</v>
      </c>
    </row>
    <row r="1122" spans="1:8" x14ac:dyDescent="0.25">
      <c r="A1122" s="2">
        <v>45997</v>
      </c>
      <c r="B1122" s="1" t="s">
        <v>11</v>
      </c>
      <c r="C1122">
        <v>6220</v>
      </c>
      <c r="D1122" s="1" t="s">
        <v>39</v>
      </c>
      <c r="E1122" s="1" t="s">
        <v>40</v>
      </c>
      <c r="F1122">
        <v>6639</v>
      </c>
      <c r="G1122" s="1" t="str">
        <f>_xlfn.XLOOKUP(tblActuals[[#This Row],[GL Account]],tblGLMap[GL Account],tblGLMap[Cost Category])</f>
        <v>Utilities</v>
      </c>
      <c r="H1122" s="1" t="str">
        <f>TEXT(tblActuals[[#This Row],[Date]],"mmm")</f>
        <v>Dec</v>
      </c>
    </row>
    <row r="1123" spans="1:8" x14ac:dyDescent="0.25">
      <c r="A1123" s="2">
        <v>45998</v>
      </c>
      <c r="B1123" s="1" t="s">
        <v>11</v>
      </c>
      <c r="C1123">
        <v>6220</v>
      </c>
      <c r="D1123" s="1" t="s">
        <v>39</v>
      </c>
      <c r="E1123" s="1" t="s">
        <v>40</v>
      </c>
      <c r="F1123">
        <v>3981</v>
      </c>
      <c r="G1123" s="1" t="str">
        <f>_xlfn.XLOOKUP(tblActuals[[#This Row],[GL Account]],tblGLMap[GL Account],tblGLMap[Cost Category])</f>
        <v>Utilities</v>
      </c>
      <c r="H1123" s="1" t="str">
        <f>TEXT(tblActuals[[#This Row],[Date]],"mmm")</f>
        <v>Dec</v>
      </c>
    </row>
    <row r="1124" spans="1:8" x14ac:dyDescent="0.25">
      <c r="A1124" s="2">
        <v>45996</v>
      </c>
      <c r="B1124" s="1" t="s">
        <v>11</v>
      </c>
      <c r="C1124">
        <v>6310</v>
      </c>
      <c r="D1124" s="1" t="s">
        <v>39</v>
      </c>
      <c r="E1124" s="1" t="s">
        <v>41</v>
      </c>
      <c r="F1124">
        <v>4840</v>
      </c>
      <c r="G1124" s="1" t="str">
        <f>_xlfn.XLOOKUP(tblActuals[[#This Row],[GL Account]],tblGLMap[GL Account],tblGLMap[Cost Category])</f>
        <v>Maintenance &amp; Repairs</v>
      </c>
      <c r="H1124" s="1" t="str">
        <f>TEXT(tblActuals[[#This Row],[Date]],"mmm")</f>
        <v>Dec</v>
      </c>
    </row>
    <row r="1125" spans="1:8" x14ac:dyDescent="0.25">
      <c r="A1125" s="2">
        <v>45997</v>
      </c>
      <c r="B1125" s="1" t="s">
        <v>11</v>
      </c>
      <c r="C1125">
        <v>6310</v>
      </c>
      <c r="D1125" s="1" t="s">
        <v>32</v>
      </c>
      <c r="E1125" s="1" t="s">
        <v>41</v>
      </c>
      <c r="F1125">
        <v>9721</v>
      </c>
      <c r="G1125" s="1" t="str">
        <f>_xlfn.XLOOKUP(tblActuals[[#This Row],[GL Account]],tblGLMap[GL Account],tblGLMap[Cost Category])</f>
        <v>Maintenance &amp; Repairs</v>
      </c>
      <c r="H1125" s="1" t="str">
        <f>TEXT(tblActuals[[#This Row],[Date]],"mmm")</f>
        <v>Dec</v>
      </c>
    </row>
    <row r="1126" spans="1:8" x14ac:dyDescent="0.25">
      <c r="A1126" s="2">
        <v>45998</v>
      </c>
      <c r="B1126" s="1" t="s">
        <v>11</v>
      </c>
      <c r="C1126">
        <v>6310</v>
      </c>
      <c r="D1126" s="1" t="s">
        <v>35</v>
      </c>
      <c r="E1126" s="1" t="s">
        <v>41</v>
      </c>
      <c r="F1126">
        <v>9226</v>
      </c>
      <c r="G1126" s="1" t="str">
        <f>_xlfn.XLOOKUP(tblActuals[[#This Row],[GL Account]],tblGLMap[GL Account],tblGLMap[Cost Category])</f>
        <v>Maintenance &amp; Repairs</v>
      </c>
      <c r="H1126" s="1" t="str">
        <f>TEXT(tblActuals[[#This Row],[Date]],"mmm")</f>
        <v>Dec</v>
      </c>
    </row>
    <row r="1127" spans="1:8" x14ac:dyDescent="0.25">
      <c r="A1127" s="2">
        <v>45996</v>
      </c>
      <c r="B1127" s="1" t="s">
        <v>11</v>
      </c>
      <c r="C1127">
        <v>6320</v>
      </c>
      <c r="D1127" s="1" t="s">
        <v>35</v>
      </c>
      <c r="E1127" s="1" t="s">
        <v>42</v>
      </c>
      <c r="F1127">
        <v>2520</v>
      </c>
      <c r="G1127" s="1" t="str">
        <f>_xlfn.XLOOKUP(tblActuals[[#This Row],[GL Account]],tblGLMap[GL Account],tblGLMap[Cost Category])</f>
        <v>Maintenance &amp; Repairs</v>
      </c>
      <c r="H1127" s="1" t="str">
        <f>TEXT(tblActuals[[#This Row],[Date]],"mmm")</f>
        <v>Dec</v>
      </c>
    </row>
    <row r="1128" spans="1:8" x14ac:dyDescent="0.25">
      <c r="A1128" s="2">
        <v>45997</v>
      </c>
      <c r="B1128" s="1" t="s">
        <v>11</v>
      </c>
      <c r="C1128">
        <v>6320</v>
      </c>
      <c r="D1128" s="1" t="s">
        <v>32</v>
      </c>
      <c r="E1128" s="1" t="s">
        <v>42</v>
      </c>
      <c r="F1128">
        <v>3762</v>
      </c>
      <c r="G1128" s="1" t="str">
        <f>_xlfn.XLOOKUP(tblActuals[[#This Row],[GL Account]],tblGLMap[GL Account],tblGLMap[Cost Category])</f>
        <v>Maintenance &amp; Repairs</v>
      </c>
      <c r="H1128" s="1" t="str">
        <f>TEXT(tblActuals[[#This Row],[Date]],"mmm")</f>
        <v>Dec</v>
      </c>
    </row>
    <row r="1129" spans="1:8" x14ac:dyDescent="0.25">
      <c r="A1129" s="2">
        <v>45998</v>
      </c>
      <c r="B1129" s="1" t="s">
        <v>11</v>
      </c>
      <c r="C1129">
        <v>6320</v>
      </c>
      <c r="D1129" s="1" t="s">
        <v>32</v>
      </c>
      <c r="E1129" s="1" t="s">
        <v>42</v>
      </c>
      <c r="F1129">
        <v>4897</v>
      </c>
      <c r="G1129" s="1" t="str">
        <f>_xlfn.XLOOKUP(tblActuals[[#This Row],[GL Account]],tblGLMap[GL Account],tblGLMap[Cost Category])</f>
        <v>Maintenance &amp; Repairs</v>
      </c>
      <c r="H1129" s="1" t="str">
        <f>TEXT(tblActuals[[#This Row],[Date]],"mmm")</f>
        <v>Dec</v>
      </c>
    </row>
    <row r="1130" spans="1:8" x14ac:dyDescent="0.25">
      <c r="A1130" s="2">
        <v>45996</v>
      </c>
      <c r="B1130" s="1" t="s">
        <v>12</v>
      </c>
      <c r="C1130">
        <v>6010</v>
      </c>
      <c r="D1130" s="1" t="s">
        <v>35</v>
      </c>
      <c r="E1130" s="1" t="s">
        <v>30</v>
      </c>
      <c r="F1130">
        <v>6825</v>
      </c>
      <c r="G1130" s="1" t="str">
        <f>_xlfn.XLOOKUP(tblActuals[[#This Row],[GL Account]],tblGLMap[GL Account],tblGLMap[Cost Category])</f>
        <v>Labor</v>
      </c>
      <c r="H1130" s="1" t="str">
        <f>TEXT(tblActuals[[#This Row],[Date]],"mmm")</f>
        <v>Dec</v>
      </c>
    </row>
    <row r="1131" spans="1:8" x14ac:dyDescent="0.25">
      <c r="A1131" s="2">
        <v>45997</v>
      </c>
      <c r="B1131" s="1" t="s">
        <v>12</v>
      </c>
      <c r="C1131">
        <v>6010</v>
      </c>
      <c r="D1131" s="1" t="s">
        <v>32</v>
      </c>
      <c r="E1131" s="1" t="s">
        <v>30</v>
      </c>
      <c r="F1131">
        <v>9337</v>
      </c>
      <c r="G1131" s="1" t="str">
        <f>_xlfn.XLOOKUP(tblActuals[[#This Row],[GL Account]],tblGLMap[GL Account],tblGLMap[Cost Category])</f>
        <v>Labor</v>
      </c>
      <c r="H1131" s="1" t="str">
        <f>TEXT(tblActuals[[#This Row],[Date]],"mmm")</f>
        <v>Dec</v>
      </c>
    </row>
    <row r="1132" spans="1:8" x14ac:dyDescent="0.25">
      <c r="A1132" s="2">
        <v>45998</v>
      </c>
      <c r="B1132" s="1" t="s">
        <v>12</v>
      </c>
      <c r="C1132">
        <v>6010</v>
      </c>
      <c r="D1132" s="1" t="s">
        <v>29</v>
      </c>
      <c r="E1132" s="1" t="s">
        <v>30</v>
      </c>
      <c r="F1132">
        <v>7673</v>
      </c>
      <c r="G1132" s="1" t="str">
        <f>_xlfn.XLOOKUP(tblActuals[[#This Row],[GL Account]],tblGLMap[GL Account],tblGLMap[Cost Category])</f>
        <v>Labor</v>
      </c>
      <c r="H1132" s="1" t="str">
        <f>TEXT(tblActuals[[#This Row],[Date]],"mmm")</f>
        <v>Dec</v>
      </c>
    </row>
    <row r="1133" spans="1:8" x14ac:dyDescent="0.25">
      <c r="A1133" s="2">
        <v>45996</v>
      </c>
      <c r="B1133" s="1" t="s">
        <v>12</v>
      </c>
      <c r="C1133">
        <v>6020</v>
      </c>
      <c r="D1133" s="1" t="s">
        <v>39</v>
      </c>
      <c r="E1133" s="1" t="s">
        <v>33</v>
      </c>
      <c r="F1133">
        <v>4337</v>
      </c>
      <c r="G1133" s="1" t="str">
        <f>_xlfn.XLOOKUP(tblActuals[[#This Row],[GL Account]],tblGLMap[GL Account],tblGLMap[Cost Category])</f>
        <v>Labor</v>
      </c>
      <c r="H1133" s="1" t="str">
        <f>TEXT(tblActuals[[#This Row],[Date]],"mmm")</f>
        <v>Dec</v>
      </c>
    </row>
    <row r="1134" spans="1:8" x14ac:dyDescent="0.25">
      <c r="A1134" s="2">
        <v>45997</v>
      </c>
      <c r="B1134" s="1" t="s">
        <v>12</v>
      </c>
      <c r="C1134">
        <v>6020</v>
      </c>
      <c r="D1134" s="1" t="s">
        <v>29</v>
      </c>
      <c r="E1134" s="1" t="s">
        <v>33</v>
      </c>
      <c r="F1134">
        <v>10234</v>
      </c>
      <c r="G1134" s="1" t="str">
        <f>_xlfn.XLOOKUP(tblActuals[[#This Row],[GL Account]],tblGLMap[GL Account],tblGLMap[Cost Category])</f>
        <v>Labor</v>
      </c>
      <c r="H1134" s="1" t="str">
        <f>TEXT(tblActuals[[#This Row],[Date]],"mmm")</f>
        <v>Dec</v>
      </c>
    </row>
    <row r="1135" spans="1:8" x14ac:dyDescent="0.25">
      <c r="A1135" s="2">
        <v>45998</v>
      </c>
      <c r="B1135" s="1" t="s">
        <v>12</v>
      </c>
      <c r="C1135">
        <v>6020</v>
      </c>
      <c r="D1135" s="1" t="s">
        <v>29</v>
      </c>
      <c r="E1135" s="1" t="s">
        <v>33</v>
      </c>
      <c r="F1135">
        <v>10450</v>
      </c>
      <c r="G1135" s="1" t="str">
        <f>_xlfn.XLOOKUP(tblActuals[[#This Row],[GL Account]],tblGLMap[GL Account],tblGLMap[Cost Category])</f>
        <v>Labor</v>
      </c>
      <c r="H1135" s="1" t="str">
        <f>TEXT(tblActuals[[#This Row],[Date]],"mmm")</f>
        <v>Dec</v>
      </c>
    </row>
    <row r="1136" spans="1:8" x14ac:dyDescent="0.25">
      <c r="A1136" s="2">
        <v>45996</v>
      </c>
      <c r="B1136" s="1" t="s">
        <v>12</v>
      </c>
      <c r="C1136">
        <v>6110</v>
      </c>
      <c r="D1136" s="1" t="s">
        <v>32</v>
      </c>
      <c r="E1136" s="1" t="s">
        <v>36</v>
      </c>
      <c r="F1136">
        <v>5831</v>
      </c>
      <c r="G1136" s="1" t="str">
        <f>_xlfn.XLOOKUP(tblActuals[[#This Row],[GL Account]],tblGLMap[GL Account],tblGLMap[Cost Category])</f>
        <v>Supplies &amp; Inventory</v>
      </c>
      <c r="H1136" s="1" t="str">
        <f>TEXT(tblActuals[[#This Row],[Date]],"mmm")</f>
        <v>Dec</v>
      </c>
    </row>
    <row r="1137" spans="1:8" x14ac:dyDescent="0.25">
      <c r="A1137" s="2">
        <v>45997</v>
      </c>
      <c r="B1137" s="1" t="s">
        <v>12</v>
      </c>
      <c r="C1137">
        <v>6110</v>
      </c>
      <c r="D1137" s="1" t="s">
        <v>34</v>
      </c>
      <c r="E1137" s="1" t="s">
        <v>36</v>
      </c>
      <c r="F1137">
        <v>9432</v>
      </c>
      <c r="G1137" s="1" t="str">
        <f>_xlfn.XLOOKUP(tblActuals[[#This Row],[GL Account]],tblGLMap[GL Account],tblGLMap[Cost Category])</f>
        <v>Supplies &amp; Inventory</v>
      </c>
      <c r="H1137" s="1" t="str">
        <f>TEXT(tblActuals[[#This Row],[Date]],"mmm")</f>
        <v>Dec</v>
      </c>
    </row>
    <row r="1138" spans="1:8" x14ac:dyDescent="0.25">
      <c r="A1138" s="2">
        <v>45998</v>
      </c>
      <c r="B1138" s="1" t="s">
        <v>12</v>
      </c>
      <c r="C1138">
        <v>6110</v>
      </c>
      <c r="D1138" s="1" t="s">
        <v>29</v>
      </c>
      <c r="E1138" s="1" t="s">
        <v>36</v>
      </c>
      <c r="F1138">
        <v>5538</v>
      </c>
      <c r="G1138" s="1" t="str">
        <f>_xlfn.XLOOKUP(tblActuals[[#This Row],[GL Account]],tblGLMap[GL Account],tblGLMap[Cost Category])</f>
        <v>Supplies &amp; Inventory</v>
      </c>
      <c r="H1138" s="1" t="str">
        <f>TEXT(tblActuals[[#This Row],[Date]],"mmm")</f>
        <v>Dec</v>
      </c>
    </row>
    <row r="1139" spans="1:8" x14ac:dyDescent="0.25">
      <c r="A1139" s="2">
        <v>45996</v>
      </c>
      <c r="B1139" s="1" t="s">
        <v>12</v>
      </c>
      <c r="C1139">
        <v>6120</v>
      </c>
      <c r="D1139" s="1" t="s">
        <v>29</v>
      </c>
      <c r="E1139" s="1" t="s">
        <v>37</v>
      </c>
      <c r="F1139">
        <v>10643</v>
      </c>
      <c r="G1139" s="1" t="str">
        <f>_xlfn.XLOOKUP(tblActuals[[#This Row],[GL Account]],tblGLMap[GL Account],tblGLMap[Cost Category])</f>
        <v>Supplies &amp; Inventory</v>
      </c>
      <c r="H1139" s="1" t="str">
        <f>TEXT(tblActuals[[#This Row],[Date]],"mmm")</f>
        <v>Dec</v>
      </c>
    </row>
    <row r="1140" spans="1:8" x14ac:dyDescent="0.25">
      <c r="A1140" s="2">
        <v>45997</v>
      </c>
      <c r="B1140" s="1" t="s">
        <v>12</v>
      </c>
      <c r="C1140">
        <v>6120</v>
      </c>
      <c r="D1140" s="1" t="s">
        <v>29</v>
      </c>
      <c r="E1140" s="1" t="s">
        <v>37</v>
      </c>
      <c r="F1140">
        <v>5184</v>
      </c>
      <c r="G1140" s="1" t="str">
        <f>_xlfn.XLOOKUP(tblActuals[[#This Row],[GL Account]],tblGLMap[GL Account],tblGLMap[Cost Category])</f>
        <v>Supplies &amp; Inventory</v>
      </c>
      <c r="H1140" s="1" t="str">
        <f>TEXT(tblActuals[[#This Row],[Date]],"mmm")</f>
        <v>Dec</v>
      </c>
    </row>
    <row r="1141" spans="1:8" x14ac:dyDescent="0.25">
      <c r="A1141" s="2">
        <v>45998</v>
      </c>
      <c r="B1141" s="1" t="s">
        <v>12</v>
      </c>
      <c r="C1141">
        <v>6120</v>
      </c>
      <c r="D1141" s="1" t="s">
        <v>35</v>
      </c>
      <c r="E1141" s="1" t="s">
        <v>37</v>
      </c>
      <c r="F1141">
        <v>6235</v>
      </c>
      <c r="G1141" s="1" t="str">
        <f>_xlfn.XLOOKUP(tblActuals[[#This Row],[GL Account]],tblGLMap[GL Account],tblGLMap[Cost Category])</f>
        <v>Supplies &amp; Inventory</v>
      </c>
      <c r="H1141" s="1" t="str">
        <f>TEXT(tblActuals[[#This Row],[Date]],"mmm")</f>
        <v>Dec</v>
      </c>
    </row>
    <row r="1142" spans="1:8" x14ac:dyDescent="0.25">
      <c r="A1142" s="2">
        <v>45996</v>
      </c>
      <c r="B1142" s="1" t="s">
        <v>12</v>
      </c>
      <c r="C1142">
        <v>6210</v>
      </c>
      <c r="D1142" s="1" t="s">
        <v>35</v>
      </c>
      <c r="E1142" s="1" t="s">
        <v>38</v>
      </c>
      <c r="F1142">
        <v>4896</v>
      </c>
      <c r="G1142" s="1" t="str">
        <f>_xlfn.XLOOKUP(tblActuals[[#This Row],[GL Account]],tblGLMap[GL Account],tblGLMap[Cost Category])</f>
        <v>Utilities</v>
      </c>
      <c r="H1142" s="1" t="str">
        <f>TEXT(tblActuals[[#This Row],[Date]],"mmm")</f>
        <v>Dec</v>
      </c>
    </row>
    <row r="1143" spans="1:8" x14ac:dyDescent="0.25">
      <c r="A1143" s="2">
        <v>45997</v>
      </c>
      <c r="B1143" s="1" t="s">
        <v>12</v>
      </c>
      <c r="C1143">
        <v>6210</v>
      </c>
      <c r="D1143" s="1" t="s">
        <v>29</v>
      </c>
      <c r="E1143" s="1" t="s">
        <v>38</v>
      </c>
      <c r="F1143">
        <v>9511</v>
      </c>
      <c r="G1143" s="1" t="str">
        <f>_xlfn.XLOOKUP(tblActuals[[#This Row],[GL Account]],tblGLMap[GL Account],tblGLMap[Cost Category])</f>
        <v>Utilities</v>
      </c>
      <c r="H1143" s="1" t="str">
        <f>TEXT(tblActuals[[#This Row],[Date]],"mmm")</f>
        <v>Dec</v>
      </c>
    </row>
    <row r="1144" spans="1:8" x14ac:dyDescent="0.25">
      <c r="A1144" s="2">
        <v>45998</v>
      </c>
      <c r="B1144" s="1" t="s">
        <v>12</v>
      </c>
      <c r="C1144">
        <v>6210</v>
      </c>
      <c r="D1144" s="1" t="s">
        <v>29</v>
      </c>
      <c r="E1144" s="1" t="s">
        <v>38</v>
      </c>
      <c r="F1144">
        <v>9361</v>
      </c>
      <c r="G1144" s="1" t="str">
        <f>_xlfn.XLOOKUP(tblActuals[[#This Row],[GL Account]],tblGLMap[GL Account],tblGLMap[Cost Category])</f>
        <v>Utilities</v>
      </c>
      <c r="H1144" s="1" t="str">
        <f>TEXT(tblActuals[[#This Row],[Date]],"mmm")</f>
        <v>Dec</v>
      </c>
    </row>
    <row r="1145" spans="1:8" x14ac:dyDescent="0.25">
      <c r="A1145" s="2">
        <v>45996</v>
      </c>
      <c r="B1145" s="1" t="s">
        <v>12</v>
      </c>
      <c r="C1145">
        <v>6220</v>
      </c>
      <c r="D1145" s="1" t="s">
        <v>35</v>
      </c>
      <c r="E1145" s="1" t="s">
        <v>40</v>
      </c>
      <c r="F1145">
        <v>10683</v>
      </c>
      <c r="G1145" s="1" t="str">
        <f>_xlfn.XLOOKUP(tblActuals[[#This Row],[GL Account]],tblGLMap[GL Account],tblGLMap[Cost Category])</f>
        <v>Utilities</v>
      </c>
      <c r="H1145" s="1" t="str">
        <f>TEXT(tblActuals[[#This Row],[Date]],"mmm")</f>
        <v>Dec</v>
      </c>
    </row>
    <row r="1146" spans="1:8" x14ac:dyDescent="0.25">
      <c r="A1146" s="2">
        <v>45997</v>
      </c>
      <c r="B1146" s="1" t="s">
        <v>12</v>
      </c>
      <c r="C1146">
        <v>6220</v>
      </c>
      <c r="D1146" s="1" t="s">
        <v>29</v>
      </c>
      <c r="E1146" s="1" t="s">
        <v>40</v>
      </c>
      <c r="F1146">
        <v>5980</v>
      </c>
      <c r="G1146" s="1" t="str">
        <f>_xlfn.XLOOKUP(tblActuals[[#This Row],[GL Account]],tblGLMap[GL Account],tblGLMap[Cost Category])</f>
        <v>Utilities</v>
      </c>
      <c r="H1146" s="1" t="str">
        <f>TEXT(tblActuals[[#This Row],[Date]],"mmm")</f>
        <v>Dec</v>
      </c>
    </row>
    <row r="1147" spans="1:8" x14ac:dyDescent="0.25">
      <c r="A1147" s="2">
        <v>45998</v>
      </c>
      <c r="B1147" s="1" t="s">
        <v>12</v>
      </c>
      <c r="C1147">
        <v>6220</v>
      </c>
      <c r="D1147" s="1" t="s">
        <v>32</v>
      </c>
      <c r="E1147" s="1" t="s">
        <v>40</v>
      </c>
      <c r="F1147">
        <v>3496</v>
      </c>
      <c r="G1147" s="1" t="str">
        <f>_xlfn.XLOOKUP(tblActuals[[#This Row],[GL Account]],tblGLMap[GL Account],tblGLMap[Cost Category])</f>
        <v>Utilities</v>
      </c>
      <c r="H1147" s="1" t="str">
        <f>TEXT(tblActuals[[#This Row],[Date]],"mmm")</f>
        <v>Dec</v>
      </c>
    </row>
    <row r="1148" spans="1:8" x14ac:dyDescent="0.25">
      <c r="A1148" s="2">
        <v>45996</v>
      </c>
      <c r="B1148" s="1" t="s">
        <v>12</v>
      </c>
      <c r="C1148">
        <v>6310</v>
      </c>
      <c r="D1148" s="1" t="s">
        <v>39</v>
      </c>
      <c r="E1148" s="1" t="s">
        <v>41</v>
      </c>
      <c r="F1148">
        <v>10399</v>
      </c>
      <c r="G1148" s="1" t="str">
        <f>_xlfn.XLOOKUP(tblActuals[[#This Row],[GL Account]],tblGLMap[GL Account],tblGLMap[Cost Category])</f>
        <v>Maintenance &amp; Repairs</v>
      </c>
      <c r="H1148" s="1" t="str">
        <f>TEXT(tblActuals[[#This Row],[Date]],"mmm")</f>
        <v>Dec</v>
      </c>
    </row>
    <row r="1149" spans="1:8" x14ac:dyDescent="0.25">
      <c r="A1149" s="2">
        <v>45997</v>
      </c>
      <c r="B1149" s="1" t="s">
        <v>12</v>
      </c>
      <c r="C1149">
        <v>6310</v>
      </c>
      <c r="D1149" s="1" t="s">
        <v>29</v>
      </c>
      <c r="E1149" s="1" t="s">
        <v>41</v>
      </c>
      <c r="F1149">
        <v>7964</v>
      </c>
      <c r="G1149" s="1" t="str">
        <f>_xlfn.XLOOKUP(tblActuals[[#This Row],[GL Account]],tblGLMap[GL Account],tblGLMap[Cost Category])</f>
        <v>Maintenance &amp; Repairs</v>
      </c>
      <c r="H1149" s="1" t="str">
        <f>TEXT(tblActuals[[#This Row],[Date]],"mmm")</f>
        <v>Dec</v>
      </c>
    </row>
    <row r="1150" spans="1:8" x14ac:dyDescent="0.25">
      <c r="A1150" s="2">
        <v>45998</v>
      </c>
      <c r="B1150" s="1" t="s">
        <v>12</v>
      </c>
      <c r="C1150">
        <v>6310</v>
      </c>
      <c r="D1150" s="1" t="s">
        <v>29</v>
      </c>
      <c r="E1150" s="1" t="s">
        <v>41</v>
      </c>
      <c r="F1150">
        <v>3899</v>
      </c>
      <c r="G1150" s="1" t="str">
        <f>_xlfn.XLOOKUP(tblActuals[[#This Row],[GL Account]],tblGLMap[GL Account],tblGLMap[Cost Category])</f>
        <v>Maintenance &amp; Repairs</v>
      </c>
      <c r="H1150" s="1" t="str">
        <f>TEXT(tblActuals[[#This Row],[Date]],"mmm")</f>
        <v>Dec</v>
      </c>
    </row>
    <row r="1151" spans="1:8" x14ac:dyDescent="0.25">
      <c r="A1151" s="2">
        <v>45996</v>
      </c>
      <c r="B1151" s="1" t="s">
        <v>12</v>
      </c>
      <c r="C1151">
        <v>6320</v>
      </c>
      <c r="D1151" s="1" t="s">
        <v>29</v>
      </c>
      <c r="E1151" s="1" t="s">
        <v>42</v>
      </c>
      <c r="F1151">
        <v>2189</v>
      </c>
      <c r="G1151" s="1" t="str">
        <f>_xlfn.XLOOKUP(tblActuals[[#This Row],[GL Account]],tblGLMap[GL Account],tblGLMap[Cost Category])</f>
        <v>Maintenance &amp; Repairs</v>
      </c>
      <c r="H1151" s="1" t="str">
        <f>TEXT(tblActuals[[#This Row],[Date]],"mmm")</f>
        <v>Dec</v>
      </c>
    </row>
    <row r="1152" spans="1:8" x14ac:dyDescent="0.25">
      <c r="A1152" s="2">
        <v>45997</v>
      </c>
      <c r="B1152" s="1" t="s">
        <v>12</v>
      </c>
      <c r="C1152">
        <v>6320</v>
      </c>
      <c r="D1152" s="1" t="s">
        <v>29</v>
      </c>
      <c r="E1152" s="1" t="s">
        <v>42</v>
      </c>
      <c r="F1152">
        <v>2794</v>
      </c>
      <c r="G1152" s="1" t="str">
        <f>_xlfn.XLOOKUP(tblActuals[[#This Row],[GL Account]],tblGLMap[GL Account],tblGLMap[Cost Category])</f>
        <v>Maintenance &amp; Repairs</v>
      </c>
      <c r="H1152" s="1" t="str">
        <f>TEXT(tblActuals[[#This Row],[Date]],"mmm")</f>
        <v>Dec</v>
      </c>
    </row>
    <row r="1153" spans="1:8" x14ac:dyDescent="0.25">
      <c r="A1153" s="2">
        <v>45998</v>
      </c>
      <c r="B1153" s="1" t="s">
        <v>12</v>
      </c>
      <c r="C1153">
        <v>6320</v>
      </c>
      <c r="D1153" s="1" t="s">
        <v>35</v>
      </c>
      <c r="E1153" s="1" t="s">
        <v>42</v>
      </c>
      <c r="F1153">
        <v>8747</v>
      </c>
      <c r="G1153" s="1" t="str">
        <f>_xlfn.XLOOKUP(tblActuals[[#This Row],[GL Account]],tblGLMap[GL Account],tblGLMap[Cost Category])</f>
        <v>Maintenance &amp; Repairs</v>
      </c>
      <c r="H1153" s="1" t="str">
        <f>TEXT(tblActuals[[#This Row],[Date]],"mmm")</f>
        <v>Dec</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37466-1614-46ED-AE1B-FF02D2AED6AC}">
  <dimension ref="A1:C9"/>
  <sheetViews>
    <sheetView workbookViewId="0">
      <selection activeCell="B5" sqref="B5"/>
    </sheetView>
  </sheetViews>
  <sheetFormatPr defaultRowHeight="15" x14ac:dyDescent="0.25"/>
  <cols>
    <col min="1" max="1" width="13.42578125" bestFit="1" customWidth="1"/>
    <col min="2" max="2" width="22.140625" bestFit="1" customWidth="1"/>
    <col min="3" max="3" width="21.7109375" bestFit="1" customWidth="1"/>
  </cols>
  <sheetData>
    <row r="1" spans="1:3" x14ac:dyDescent="0.25">
      <c r="A1" t="s">
        <v>25</v>
      </c>
      <c r="B1" t="s">
        <v>43</v>
      </c>
      <c r="C1" t="s">
        <v>2</v>
      </c>
    </row>
    <row r="2" spans="1:3" x14ac:dyDescent="0.25">
      <c r="A2">
        <v>6010</v>
      </c>
      <c r="B2" s="1" t="s">
        <v>30</v>
      </c>
      <c r="C2" s="1" t="s">
        <v>6</v>
      </c>
    </row>
    <row r="3" spans="1:3" x14ac:dyDescent="0.25">
      <c r="A3">
        <v>6020</v>
      </c>
      <c r="B3" s="1" t="s">
        <v>33</v>
      </c>
      <c r="C3" s="1" t="s">
        <v>6</v>
      </c>
    </row>
    <row r="4" spans="1:3" x14ac:dyDescent="0.25">
      <c r="A4">
        <v>6110</v>
      </c>
      <c r="B4" s="1" t="s">
        <v>36</v>
      </c>
      <c r="C4" s="1" t="s">
        <v>7</v>
      </c>
    </row>
    <row r="5" spans="1:3" x14ac:dyDescent="0.25">
      <c r="A5">
        <v>6120</v>
      </c>
      <c r="B5" s="1" t="s">
        <v>37</v>
      </c>
      <c r="C5" s="1" t="s">
        <v>7</v>
      </c>
    </row>
    <row r="6" spans="1:3" x14ac:dyDescent="0.25">
      <c r="A6">
        <v>6210</v>
      </c>
      <c r="B6" s="1" t="s">
        <v>38</v>
      </c>
      <c r="C6" s="1" t="s">
        <v>8</v>
      </c>
    </row>
    <row r="7" spans="1:3" x14ac:dyDescent="0.25">
      <c r="A7">
        <v>6220</v>
      </c>
      <c r="B7" s="1" t="s">
        <v>40</v>
      </c>
      <c r="C7" s="1" t="s">
        <v>8</v>
      </c>
    </row>
    <row r="8" spans="1:3" x14ac:dyDescent="0.25">
      <c r="A8">
        <v>6310</v>
      </c>
      <c r="B8" s="1" t="s">
        <v>41</v>
      </c>
      <c r="C8" s="1" t="s">
        <v>9</v>
      </c>
    </row>
    <row r="9" spans="1:3" x14ac:dyDescent="0.25">
      <c r="A9">
        <v>6320</v>
      </c>
      <c r="B9" s="1" t="s">
        <v>42</v>
      </c>
      <c r="C9" s="1" t="s">
        <v>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3AFEF-B1A1-4C86-861D-53F97D591119}">
  <dimension ref="A3:B256"/>
  <sheetViews>
    <sheetView topLeftCell="A16" workbookViewId="0">
      <selection activeCell="B3" sqref="B3"/>
    </sheetView>
  </sheetViews>
  <sheetFormatPr defaultRowHeight="15" x14ac:dyDescent="0.25"/>
  <cols>
    <col min="1" max="1" width="27.28515625" bestFit="1" customWidth="1"/>
    <col min="2" max="2" width="14.85546875" bestFit="1" customWidth="1"/>
  </cols>
  <sheetData>
    <row r="3" spans="1:2" x14ac:dyDescent="0.25">
      <c r="A3" s="3" t="s">
        <v>44</v>
      </c>
      <c r="B3" t="s">
        <v>46</v>
      </c>
    </row>
    <row r="4" spans="1:2" x14ac:dyDescent="0.25">
      <c r="A4" s="4" t="s">
        <v>4</v>
      </c>
      <c r="B4" s="1">
        <v>647208</v>
      </c>
    </row>
    <row r="5" spans="1:2" x14ac:dyDescent="0.25">
      <c r="A5" s="5" t="s">
        <v>12</v>
      </c>
      <c r="B5" s="1">
        <v>157390</v>
      </c>
    </row>
    <row r="6" spans="1:2" x14ac:dyDescent="0.25">
      <c r="A6" s="6" t="s">
        <v>6</v>
      </c>
      <c r="B6" s="1">
        <v>30825</v>
      </c>
    </row>
    <row r="7" spans="1:2" x14ac:dyDescent="0.25">
      <c r="A7" s="6" t="s">
        <v>9</v>
      </c>
      <c r="B7" s="1">
        <v>37085</v>
      </c>
    </row>
    <row r="8" spans="1:2" x14ac:dyDescent="0.25">
      <c r="A8" s="6" t="s">
        <v>7</v>
      </c>
      <c r="B8" s="1">
        <v>53561</v>
      </c>
    </row>
    <row r="9" spans="1:2" x14ac:dyDescent="0.25">
      <c r="A9" s="6" t="s">
        <v>8</v>
      </c>
      <c r="B9" s="1">
        <v>35919</v>
      </c>
    </row>
    <row r="10" spans="1:2" x14ac:dyDescent="0.25">
      <c r="A10" s="5" t="s">
        <v>5</v>
      </c>
      <c r="B10" s="1">
        <v>167521</v>
      </c>
    </row>
    <row r="11" spans="1:2" x14ac:dyDescent="0.25">
      <c r="A11" s="6" t="s">
        <v>6</v>
      </c>
      <c r="B11" s="1">
        <v>40795</v>
      </c>
    </row>
    <row r="12" spans="1:2" x14ac:dyDescent="0.25">
      <c r="A12" s="6" t="s">
        <v>9</v>
      </c>
      <c r="B12" s="1">
        <v>43057</v>
      </c>
    </row>
    <row r="13" spans="1:2" x14ac:dyDescent="0.25">
      <c r="A13" s="6" t="s">
        <v>7</v>
      </c>
      <c r="B13" s="1">
        <v>46007</v>
      </c>
    </row>
    <row r="14" spans="1:2" x14ac:dyDescent="0.25">
      <c r="A14" s="6" t="s">
        <v>8</v>
      </c>
      <c r="B14" s="1">
        <v>37662</v>
      </c>
    </row>
    <row r="15" spans="1:2" x14ac:dyDescent="0.25">
      <c r="A15" s="5" t="s">
        <v>11</v>
      </c>
      <c r="B15" s="1">
        <v>164220</v>
      </c>
    </row>
    <row r="16" spans="1:2" x14ac:dyDescent="0.25">
      <c r="A16" s="6" t="s">
        <v>6</v>
      </c>
      <c r="B16" s="1">
        <v>38928</v>
      </c>
    </row>
    <row r="17" spans="1:2" x14ac:dyDescent="0.25">
      <c r="A17" s="6" t="s">
        <v>9</v>
      </c>
      <c r="B17" s="1">
        <v>33714</v>
      </c>
    </row>
    <row r="18" spans="1:2" x14ac:dyDescent="0.25">
      <c r="A18" s="6" t="s">
        <v>7</v>
      </c>
      <c r="B18" s="1">
        <v>40451</v>
      </c>
    </row>
    <row r="19" spans="1:2" x14ac:dyDescent="0.25">
      <c r="A19" s="6" t="s">
        <v>8</v>
      </c>
      <c r="B19" s="1">
        <v>51127</v>
      </c>
    </row>
    <row r="20" spans="1:2" x14ac:dyDescent="0.25">
      <c r="A20" s="5" t="s">
        <v>10</v>
      </c>
      <c r="B20" s="1">
        <v>158077</v>
      </c>
    </row>
    <row r="21" spans="1:2" x14ac:dyDescent="0.25">
      <c r="A21" s="6" t="s">
        <v>6</v>
      </c>
      <c r="B21" s="1">
        <v>35110</v>
      </c>
    </row>
    <row r="22" spans="1:2" x14ac:dyDescent="0.25">
      <c r="A22" s="6" t="s">
        <v>9</v>
      </c>
      <c r="B22" s="1">
        <v>39106</v>
      </c>
    </row>
    <row r="23" spans="1:2" x14ac:dyDescent="0.25">
      <c r="A23" s="6" t="s">
        <v>7</v>
      </c>
      <c r="B23" s="1">
        <v>45617</v>
      </c>
    </row>
    <row r="24" spans="1:2" x14ac:dyDescent="0.25">
      <c r="A24" s="6" t="s">
        <v>8</v>
      </c>
      <c r="B24" s="1">
        <v>38244</v>
      </c>
    </row>
    <row r="25" spans="1:2" x14ac:dyDescent="0.25">
      <c r="A25" s="4" t="s">
        <v>13</v>
      </c>
      <c r="B25" s="1">
        <v>633960</v>
      </c>
    </row>
    <row r="26" spans="1:2" x14ac:dyDescent="0.25">
      <c r="A26" s="5" t="s">
        <v>12</v>
      </c>
      <c r="B26" s="1">
        <v>163382</v>
      </c>
    </row>
    <row r="27" spans="1:2" x14ac:dyDescent="0.25">
      <c r="A27" s="6" t="s">
        <v>6</v>
      </c>
      <c r="B27" s="1">
        <v>39454</v>
      </c>
    </row>
    <row r="28" spans="1:2" x14ac:dyDescent="0.25">
      <c r="A28" s="6" t="s">
        <v>9</v>
      </c>
      <c r="B28" s="1">
        <v>40105</v>
      </c>
    </row>
    <row r="29" spans="1:2" x14ac:dyDescent="0.25">
      <c r="A29" s="6" t="s">
        <v>7</v>
      </c>
      <c r="B29" s="1">
        <v>41203</v>
      </c>
    </row>
    <row r="30" spans="1:2" x14ac:dyDescent="0.25">
      <c r="A30" s="6" t="s">
        <v>8</v>
      </c>
      <c r="B30" s="1">
        <v>42620</v>
      </c>
    </row>
    <row r="31" spans="1:2" x14ac:dyDescent="0.25">
      <c r="A31" s="5" t="s">
        <v>5</v>
      </c>
      <c r="B31" s="1">
        <v>171938</v>
      </c>
    </row>
    <row r="32" spans="1:2" x14ac:dyDescent="0.25">
      <c r="A32" s="6" t="s">
        <v>6</v>
      </c>
      <c r="B32" s="1">
        <v>44889</v>
      </c>
    </row>
    <row r="33" spans="1:2" x14ac:dyDescent="0.25">
      <c r="A33" s="6" t="s">
        <v>9</v>
      </c>
      <c r="B33" s="1">
        <v>41953</v>
      </c>
    </row>
    <row r="34" spans="1:2" x14ac:dyDescent="0.25">
      <c r="A34" s="6" t="s">
        <v>7</v>
      </c>
      <c r="B34" s="1">
        <v>44138</v>
      </c>
    </row>
    <row r="35" spans="1:2" x14ac:dyDescent="0.25">
      <c r="A35" s="6" t="s">
        <v>8</v>
      </c>
      <c r="B35" s="1">
        <v>40958</v>
      </c>
    </row>
    <row r="36" spans="1:2" x14ac:dyDescent="0.25">
      <c r="A36" s="5" t="s">
        <v>11</v>
      </c>
      <c r="B36" s="1">
        <v>169470</v>
      </c>
    </row>
    <row r="37" spans="1:2" x14ac:dyDescent="0.25">
      <c r="A37" s="6" t="s">
        <v>6</v>
      </c>
      <c r="B37" s="1">
        <v>33084</v>
      </c>
    </row>
    <row r="38" spans="1:2" x14ac:dyDescent="0.25">
      <c r="A38" s="6" t="s">
        <v>9</v>
      </c>
      <c r="B38" s="1">
        <v>44538</v>
      </c>
    </row>
    <row r="39" spans="1:2" x14ac:dyDescent="0.25">
      <c r="A39" s="6" t="s">
        <v>7</v>
      </c>
      <c r="B39" s="1">
        <v>41000</v>
      </c>
    </row>
    <row r="40" spans="1:2" x14ac:dyDescent="0.25">
      <c r="A40" s="6" t="s">
        <v>8</v>
      </c>
      <c r="B40" s="1">
        <v>50848</v>
      </c>
    </row>
    <row r="41" spans="1:2" x14ac:dyDescent="0.25">
      <c r="A41" s="5" t="s">
        <v>10</v>
      </c>
      <c r="B41" s="1">
        <v>129170</v>
      </c>
    </row>
    <row r="42" spans="1:2" x14ac:dyDescent="0.25">
      <c r="A42" s="6" t="s">
        <v>6</v>
      </c>
      <c r="B42" s="1">
        <v>27321</v>
      </c>
    </row>
    <row r="43" spans="1:2" x14ac:dyDescent="0.25">
      <c r="A43" s="6" t="s">
        <v>9</v>
      </c>
      <c r="B43" s="1">
        <v>29263</v>
      </c>
    </row>
    <row r="44" spans="1:2" x14ac:dyDescent="0.25">
      <c r="A44" s="6" t="s">
        <v>7</v>
      </c>
      <c r="B44" s="1">
        <v>33089</v>
      </c>
    </row>
    <row r="45" spans="1:2" x14ac:dyDescent="0.25">
      <c r="A45" s="6" t="s">
        <v>8</v>
      </c>
      <c r="B45" s="1">
        <v>39497</v>
      </c>
    </row>
    <row r="46" spans="1:2" x14ac:dyDescent="0.25">
      <c r="A46" s="4" t="s">
        <v>14</v>
      </c>
      <c r="B46" s="1">
        <v>629309</v>
      </c>
    </row>
    <row r="47" spans="1:2" x14ac:dyDescent="0.25">
      <c r="A47" s="5" t="s">
        <v>12</v>
      </c>
      <c r="B47" s="1">
        <v>134734</v>
      </c>
    </row>
    <row r="48" spans="1:2" x14ac:dyDescent="0.25">
      <c r="A48" s="6" t="s">
        <v>6</v>
      </c>
      <c r="B48" s="1">
        <v>37967</v>
      </c>
    </row>
    <row r="49" spans="1:2" x14ac:dyDescent="0.25">
      <c r="A49" s="6" t="s">
        <v>9</v>
      </c>
      <c r="B49" s="1">
        <v>39962</v>
      </c>
    </row>
    <row r="50" spans="1:2" x14ac:dyDescent="0.25">
      <c r="A50" s="6" t="s">
        <v>7</v>
      </c>
      <c r="B50" s="1">
        <v>23396</v>
      </c>
    </row>
    <row r="51" spans="1:2" x14ac:dyDescent="0.25">
      <c r="A51" s="6" t="s">
        <v>8</v>
      </c>
      <c r="B51" s="1">
        <v>33409</v>
      </c>
    </row>
    <row r="52" spans="1:2" x14ac:dyDescent="0.25">
      <c r="A52" s="5" t="s">
        <v>5</v>
      </c>
      <c r="B52" s="1">
        <v>171574</v>
      </c>
    </row>
    <row r="53" spans="1:2" x14ac:dyDescent="0.25">
      <c r="A53" s="6" t="s">
        <v>6</v>
      </c>
      <c r="B53" s="1">
        <v>37456</v>
      </c>
    </row>
    <row r="54" spans="1:2" x14ac:dyDescent="0.25">
      <c r="A54" s="6" t="s">
        <v>9</v>
      </c>
      <c r="B54" s="1">
        <v>47451</v>
      </c>
    </row>
    <row r="55" spans="1:2" x14ac:dyDescent="0.25">
      <c r="A55" s="6" t="s">
        <v>7</v>
      </c>
      <c r="B55" s="1">
        <v>50281</v>
      </c>
    </row>
    <row r="56" spans="1:2" x14ac:dyDescent="0.25">
      <c r="A56" s="6" t="s">
        <v>8</v>
      </c>
      <c r="B56" s="1">
        <v>36386</v>
      </c>
    </row>
    <row r="57" spans="1:2" x14ac:dyDescent="0.25">
      <c r="A57" s="5" t="s">
        <v>11</v>
      </c>
      <c r="B57" s="1">
        <v>154653</v>
      </c>
    </row>
    <row r="58" spans="1:2" x14ac:dyDescent="0.25">
      <c r="A58" s="6" t="s">
        <v>6</v>
      </c>
      <c r="B58" s="1">
        <v>36974</v>
      </c>
    </row>
    <row r="59" spans="1:2" x14ac:dyDescent="0.25">
      <c r="A59" s="6" t="s">
        <v>9</v>
      </c>
      <c r="B59" s="1">
        <v>34531</v>
      </c>
    </row>
    <row r="60" spans="1:2" x14ac:dyDescent="0.25">
      <c r="A60" s="6" t="s">
        <v>7</v>
      </c>
      <c r="B60" s="1">
        <v>38277</v>
      </c>
    </row>
    <row r="61" spans="1:2" x14ac:dyDescent="0.25">
      <c r="A61" s="6" t="s">
        <v>8</v>
      </c>
      <c r="B61" s="1">
        <v>44871</v>
      </c>
    </row>
    <row r="62" spans="1:2" x14ac:dyDescent="0.25">
      <c r="A62" s="5" t="s">
        <v>10</v>
      </c>
      <c r="B62" s="1">
        <v>168348</v>
      </c>
    </row>
    <row r="63" spans="1:2" x14ac:dyDescent="0.25">
      <c r="A63" s="6" t="s">
        <v>6</v>
      </c>
      <c r="B63" s="1">
        <v>48127</v>
      </c>
    </row>
    <row r="64" spans="1:2" x14ac:dyDescent="0.25">
      <c r="A64" s="6" t="s">
        <v>9</v>
      </c>
      <c r="B64" s="1">
        <v>40259</v>
      </c>
    </row>
    <row r="65" spans="1:2" x14ac:dyDescent="0.25">
      <c r="A65" s="6" t="s">
        <v>7</v>
      </c>
      <c r="B65" s="1">
        <v>48704</v>
      </c>
    </row>
    <row r="66" spans="1:2" x14ac:dyDescent="0.25">
      <c r="A66" s="6" t="s">
        <v>8</v>
      </c>
      <c r="B66" s="1">
        <v>31258</v>
      </c>
    </row>
    <row r="67" spans="1:2" x14ac:dyDescent="0.25">
      <c r="A67" s="4" t="s">
        <v>15</v>
      </c>
      <c r="B67" s="1">
        <v>705931</v>
      </c>
    </row>
    <row r="68" spans="1:2" x14ac:dyDescent="0.25">
      <c r="A68" s="5" t="s">
        <v>12</v>
      </c>
      <c r="B68" s="1">
        <v>170911</v>
      </c>
    </row>
    <row r="69" spans="1:2" x14ac:dyDescent="0.25">
      <c r="A69" s="6" t="s">
        <v>6</v>
      </c>
      <c r="B69" s="1">
        <v>36166</v>
      </c>
    </row>
    <row r="70" spans="1:2" x14ac:dyDescent="0.25">
      <c r="A70" s="6" t="s">
        <v>9</v>
      </c>
      <c r="B70" s="1">
        <v>40204</v>
      </c>
    </row>
    <row r="71" spans="1:2" x14ac:dyDescent="0.25">
      <c r="A71" s="6" t="s">
        <v>7</v>
      </c>
      <c r="B71" s="1">
        <v>38728</v>
      </c>
    </row>
    <row r="72" spans="1:2" x14ac:dyDescent="0.25">
      <c r="A72" s="6" t="s">
        <v>8</v>
      </c>
      <c r="B72" s="1">
        <v>55813</v>
      </c>
    </row>
    <row r="73" spans="1:2" x14ac:dyDescent="0.25">
      <c r="A73" s="5" t="s">
        <v>5</v>
      </c>
      <c r="B73" s="1">
        <v>187631</v>
      </c>
    </row>
    <row r="74" spans="1:2" x14ac:dyDescent="0.25">
      <c r="A74" s="6" t="s">
        <v>6</v>
      </c>
      <c r="B74" s="1">
        <v>54695</v>
      </c>
    </row>
    <row r="75" spans="1:2" x14ac:dyDescent="0.25">
      <c r="A75" s="6" t="s">
        <v>9</v>
      </c>
      <c r="B75" s="1">
        <v>46264</v>
      </c>
    </row>
    <row r="76" spans="1:2" x14ac:dyDescent="0.25">
      <c r="A76" s="6" t="s">
        <v>7</v>
      </c>
      <c r="B76" s="1">
        <v>48538</v>
      </c>
    </row>
    <row r="77" spans="1:2" x14ac:dyDescent="0.25">
      <c r="A77" s="6" t="s">
        <v>8</v>
      </c>
      <c r="B77" s="1">
        <v>38134</v>
      </c>
    </row>
    <row r="78" spans="1:2" x14ac:dyDescent="0.25">
      <c r="A78" s="5" t="s">
        <v>11</v>
      </c>
      <c r="B78" s="1">
        <v>168879</v>
      </c>
    </row>
    <row r="79" spans="1:2" x14ac:dyDescent="0.25">
      <c r="A79" s="6" t="s">
        <v>6</v>
      </c>
      <c r="B79" s="1">
        <v>51907</v>
      </c>
    </row>
    <row r="80" spans="1:2" x14ac:dyDescent="0.25">
      <c r="A80" s="6" t="s">
        <v>9</v>
      </c>
      <c r="B80" s="1">
        <v>34944</v>
      </c>
    </row>
    <row r="81" spans="1:2" x14ac:dyDescent="0.25">
      <c r="A81" s="6" t="s">
        <v>7</v>
      </c>
      <c r="B81" s="1">
        <v>33247</v>
      </c>
    </row>
    <row r="82" spans="1:2" x14ac:dyDescent="0.25">
      <c r="A82" s="6" t="s">
        <v>8</v>
      </c>
      <c r="B82" s="1">
        <v>48781</v>
      </c>
    </row>
    <row r="83" spans="1:2" x14ac:dyDescent="0.25">
      <c r="A83" s="5" t="s">
        <v>10</v>
      </c>
      <c r="B83" s="1">
        <v>178510</v>
      </c>
    </row>
    <row r="84" spans="1:2" x14ac:dyDescent="0.25">
      <c r="A84" s="6" t="s">
        <v>6</v>
      </c>
      <c r="B84" s="1">
        <v>46001</v>
      </c>
    </row>
    <row r="85" spans="1:2" x14ac:dyDescent="0.25">
      <c r="A85" s="6" t="s">
        <v>9</v>
      </c>
      <c r="B85" s="1">
        <v>41994</v>
      </c>
    </row>
    <row r="86" spans="1:2" x14ac:dyDescent="0.25">
      <c r="A86" s="6" t="s">
        <v>7</v>
      </c>
      <c r="B86" s="1">
        <v>42836</v>
      </c>
    </row>
    <row r="87" spans="1:2" x14ac:dyDescent="0.25">
      <c r="A87" s="6" t="s">
        <v>8</v>
      </c>
      <c r="B87" s="1">
        <v>47679</v>
      </c>
    </row>
    <row r="88" spans="1:2" x14ac:dyDescent="0.25">
      <c r="A88" s="4" t="s">
        <v>16</v>
      </c>
      <c r="B88" s="1">
        <v>661372</v>
      </c>
    </row>
    <row r="89" spans="1:2" x14ac:dyDescent="0.25">
      <c r="A89" s="5" t="s">
        <v>12</v>
      </c>
      <c r="B89" s="1">
        <v>178906</v>
      </c>
    </row>
    <row r="90" spans="1:2" x14ac:dyDescent="0.25">
      <c r="A90" s="6" t="s">
        <v>6</v>
      </c>
      <c r="B90" s="1">
        <v>41711</v>
      </c>
    </row>
    <row r="91" spans="1:2" x14ac:dyDescent="0.25">
      <c r="A91" s="6" t="s">
        <v>9</v>
      </c>
      <c r="B91" s="1">
        <v>44085</v>
      </c>
    </row>
    <row r="92" spans="1:2" x14ac:dyDescent="0.25">
      <c r="A92" s="6" t="s">
        <v>7</v>
      </c>
      <c r="B92" s="1">
        <v>41811</v>
      </c>
    </row>
    <row r="93" spans="1:2" x14ac:dyDescent="0.25">
      <c r="A93" s="6" t="s">
        <v>8</v>
      </c>
      <c r="B93" s="1">
        <v>51299</v>
      </c>
    </row>
    <row r="94" spans="1:2" x14ac:dyDescent="0.25">
      <c r="A94" s="5" t="s">
        <v>5</v>
      </c>
      <c r="B94" s="1">
        <v>162358</v>
      </c>
    </row>
    <row r="95" spans="1:2" x14ac:dyDescent="0.25">
      <c r="A95" s="6" t="s">
        <v>6</v>
      </c>
      <c r="B95" s="1">
        <v>40449</v>
      </c>
    </row>
    <row r="96" spans="1:2" x14ac:dyDescent="0.25">
      <c r="A96" s="6" t="s">
        <v>9</v>
      </c>
      <c r="B96" s="1">
        <v>41545</v>
      </c>
    </row>
    <row r="97" spans="1:2" x14ac:dyDescent="0.25">
      <c r="A97" s="6" t="s">
        <v>7</v>
      </c>
      <c r="B97" s="1">
        <v>46055</v>
      </c>
    </row>
    <row r="98" spans="1:2" x14ac:dyDescent="0.25">
      <c r="A98" s="6" t="s">
        <v>8</v>
      </c>
      <c r="B98" s="1">
        <v>34309</v>
      </c>
    </row>
    <row r="99" spans="1:2" x14ac:dyDescent="0.25">
      <c r="A99" s="5" t="s">
        <v>11</v>
      </c>
      <c r="B99" s="1">
        <v>160552</v>
      </c>
    </row>
    <row r="100" spans="1:2" x14ac:dyDescent="0.25">
      <c r="A100" s="6" t="s">
        <v>6</v>
      </c>
      <c r="B100" s="1">
        <v>32069</v>
      </c>
    </row>
    <row r="101" spans="1:2" x14ac:dyDescent="0.25">
      <c r="A101" s="6" t="s">
        <v>9</v>
      </c>
      <c r="B101" s="1">
        <v>34975</v>
      </c>
    </row>
    <row r="102" spans="1:2" x14ac:dyDescent="0.25">
      <c r="A102" s="6" t="s">
        <v>7</v>
      </c>
      <c r="B102" s="1">
        <v>49068</v>
      </c>
    </row>
    <row r="103" spans="1:2" x14ac:dyDescent="0.25">
      <c r="A103" s="6" t="s">
        <v>8</v>
      </c>
      <c r="B103" s="1">
        <v>44440</v>
      </c>
    </row>
    <row r="104" spans="1:2" x14ac:dyDescent="0.25">
      <c r="A104" s="5" t="s">
        <v>10</v>
      </c>
      <c r="B104" s="1">
        <v>159556</v>
      </c>
    </row>
    <row r="105" spans="1:2" x14ac:dyDescent="0.25">
      <c r="A105" s="6" t="s">
        <v>6</v>
      </c>
      <c r="B105" s="1">
        <v>38835</v>
      </c>
    </row>
    <row r="106" spans="1:2" x14ac:dyDescent="0.25">
      <c r="A106" s="6" t="s">
        <v>9</v>
      </c>
      <c r="B106" s="1">
        <v>43883</v>
      </c>
    </row>
    <row r="107" spans="1:2" x14ac:dyDescent="0.25">
      <c r="A107" s="6" t="s">
        <v>7</v>
      </c>
      <c r="B107" s="1">
        <v>34056</v>
      </c>
    </row>
    <row r="108" spans="1:2" x14ac:dyDescent="0.25">
      <c r="A108" s="6" t="s">
        <v>8</v>
      </c>
      <c r="B108" s="1">
        <v>42782</v>
      </c>
    </row>
    <row r="109" spans="1:2" x14ac:dyDescent="0.25">
      <c r="A109" s="4" t="s">
        <v>17</v>
      </c>
      <c r="B109" s="1">
        <v>629804</v>
      </c>
    </row>
    <row r="110" spans="1:2" x14ac:dyDescent="0.25">
      <c r="A110" s="5" t="s">
        <v>12</v>
      </c>
      <c r="B110" s="1">
        <v>161078</v>
      </c>
    </row>
    <row r="111" spans="1:2" x14ac:dyDescent="0.25">
      <c r="A111" s="6" t="s">
        <v>6</v>
      </c>
      <c r="B111" s="1">
        <v>43618</v>
      </c>
    </row>
    <row r="112" spans="1:2" x14ac:dyDescent="0.25">
      <c r="A112" s="6" t="s">
        <v>9</v>
      </c>
      <c r="B112" s="1">
        <v>39061</v>
      </c>
    </row>
    <row r="113" spans="1:2" x14ac:dyDescent="0.25">
      <c r="A113" s="6" t="s">
        <v>7</v>
      </c>
      <c r="B113" s="1">
        <v>38038</v>
      </c>
    </row>
    <row r="114" spans="1:2" x14ac:dyDescent="0.25">
      <c r="A114" s="6" t="s">
        <v>8</v>
      </c>
      <c r="B114" s="1">
        <v>40361</v>
      </c>
    </row>
    <row r="115" spans="1:2" x14ac:dyDescent="0.25">
      <c r="A115" s="5" t="s">
        <v>5</v>
      </c>
      <c r="B115" s="1">
        <v>159421</v>
      </c>
    </row>
    <row r="116" spans="1:2" x14ac:dyDescent="0.25">
      <c r="A116" s="6" t="s">
        <v>6</v>
      </c>
      <c r="B116" s="1">
        <v>38036</v>
      </c>
    </row>
    <row r="117" spans="1:2" x14ac:dyDescent="0.25">
      <c r="A117" s="6" t="s">
        <v>9</v>
      </c>
      <c r="B117" s="1">
        <v>38939</v>
      </c>
    </row>
    <row r="118" spans="1:2" x14ac:dyDescent="0.25">
      <c r="A118" s="6" t="s">
        <v>7</v>
      </c>
      <c r="B118" s="1">
        <v>41110</v>
      </c>
    </row>
    <row r="119" spans="1:2" x14ac:dyDescent="0.25">
      <c r="A119" s="6" t="s">
        <v>8</v>
      </c>
      <c r="B119" s="1">
        <v>41336</v>
      </c>
    </row>
    <row r="120" spans="1:2" x14ac:dyDescent="0.25">
      <c r="A120" s="5" t="s">
        <v>11</v>
      </c>
      <c r="B120" s="1">
        <v>159315</v>
      </c>
    </row>
    <row r="121" spans="1:2" x14ac:dyDescent="0.25">
      <c r="A121" s="6" t="s">
        <v>6</v>
      </c>
      <c r="B121" s="1">
        <v>41861</v>
      </c>
    </row>
    <row r="122" spans="1:2" x14ac:dyDescent="0.25">
      <c r="A122" s="6" t="s">
        <v>9</v>
      </c>
      <c r="B122" s="1">
        <v>40365</v>
      </c>
    </row>
    <row r="123" spans="1:2" x14ac:dyDescent="0.25">
      <c r="A123" s="6" t="s">
        <v>7</v>
      </c>
      <c r="B123" s="1">
        <v>39044</v>
      </c>
    </row>
    <row r="124" spans="1:2" x14ac:dyDescent="0.25">
      <c r="A124" s="6" t="s">
        <v>8</v>
      </c>
      <c r="B124" s="1">
        <v>38045</v>
      </c>
    </row>
    <row r="125" spans="1:2" x14ac:dyDescent="0.25">
      <c r="A125" s="5" t="s">
        <v>10</v>
      </c>
      <c r="B125" s="1">
        <v>149990</v>
      </c>
    </row>
    <row r="126" spans="1:2" x14ac:dyDescent="0.25">
      <c r="A126" s="6" t="s">
        <v>6</v>
      </c>
      <c r="B126" s="1">
        <v>22122</v>
      </c>
    </row>
    <row r="127" spans="1:2" x14ac:dyDescent="0.25">
      <c r="A127" s="6" t="s">
        <v>9</v>
      </c>
      <c r="B127" s="1">
        <v>42010</v>
      </c>
    </row>
    <row r="128" spans="1:2" x14ac:dyDescent="0.25">
      <c r="A128" s="6" t="s">
        <v>7</v>
      </c>
      <c r="B128" s="1">
        <v>36549</v>
      </c>
    </row>
    <row r="129" spans="1:2" x14ac:dyDescent="0.25">
      <c r="A129" s="6" t="s">
        <v>8</v>
      </c>
      <c r="B129" s="1">
        <v>49309</v>
      </c>
    </row>
    <row r="130" spans="1:2" x14ac:dyDescent="0.25">
      <c r="A130" s="4" t="s">
        <v>18</v>
      </c>
      <c r="B130" s="1">
        <v>648641</v>
      </c>
    </row>
    <row r="131" spans="1:2" x14ac:dyDescent="0.25">
      <c r="A131" s="5" t="s">
        <v>12</v>
      </c>
      <c r="B131" s="1">
        <v>163093</v>
      </c>
    </row>
    <row r="132" spans="1:2" x14ac:dyDescent="0.25">
      <c r="A132" s="6" t="s">
        <v>6</v>
      </c>
      <c r="B132" s="1">
        <v>44654</v>
      </c>
    </row>
    <row r="133" spans="1:2" x14ac:dyDescent="0.25">
      <c r="A133" s="6" t="s">
        <v>9</v>
      </c>
      <c r="B133" s="1">
        <v>43376</v>
      </c>
    </row>
    <row r="134" spans="1:2" x14ac:dyDescent="0.25">
      <c r="A134" s="6" t="s">
        <v>7</v>
      </c>
      <c r="B134" s="1">
        <v>38470</v>
      </c>
    </row>
    <row r="135" spans="1:2" x14ac:dyDescent="0.25">
      <c r="A135" s="6" t="s">
        <v>8</v>
      </c>
      <c r="B135" s="1">
        <v>36593</v>
      </c>
    </row>
    <row r="136" spans="1:2" x14ac:dyDescent="0.25">
      <c r="A136" s="5" t="s">
        <v>5</v>
      </c>
      <c r="B136" s="1">
        <v>168107</v>
      </c>
    </row>
    <row r="137" spans="1:2" x14ac:dyDescent="0.25">
      <c r="A137" s="6" t="s">
        <v>6</v>
      </c>
      <c r="B137" s="1">
        <v>41566</v>
      </c>
    </row>
    <row r="138" spans="1:2" x14ac:dyDescent="0.25">
      <c r="A138" s="6" t="s">
        <v>9</v>
      </c>
      <c r="B138" s="1">
        <v>39723</v>
      </c>
    </row>
    <row r="139" spans="1:2" x14ac:dyDescent="0.25">
      <c r="A139" s="6" t="s">
        <v>7</v>
      </c>
      <c r="B139" s="1">
        <v>40524</v>
      </c>
    </row>
    <row r="140" spans="1:2" x14ac:dyDescent="0.25">
      <c r="A140" s="6" t="s">
        <v>8</v>
      </c>
      <c r="B140" s="1">
        <v>46294</v>
      </c>
    </row>
    <row r="141" spans="1:2" x14ac:dyDescent="0.25">
      <c r="A141" s="5" t="s">
        <v>11</v>
      </c>
      <c r="B141" s="1">
        <v>179648</v>
      </c>
    </row>
    <row r="142" spans="1:2" x14ac:dyDescent="0.25">
      <c r="A142" s="6" t="s">
        <v>6</v>
      </c>
      <c r="B142" s="1">
        <v>37695</v>
      </c>
    </row>
    <row r="143" spans="1:2" x14ac:dyDescent="0.25">
      <c r="A143" s="6" t="s">
        <v>9</v>
      </c>
      <c r="B143" s="1">
        <v>56583</v>
      </c>
    </row>
    <row r="144" spans="1:2" x14ac:dyDescent="0.25">
      <c r="A144" s="6" t="s">
        <v>7</v>
      </c>
      <c r="B144" s="1">
        <v>50465</v>
      </c>
    </row>
    <row r="145" spans="1:2" x14ac:dyDescent="0.25">
      <c r="A145" s="6" t="s">
        <v>8</v>
      </c>
      <c r="B145" s="1">
        <v>34905</v>
      </c>
    </row>
    <row r="146" spans="1:2" x14ac:dyDescent="0.25">
      <c r="A146" s="5" t="s">
        <v>10</v>
      </c>
      <c r="B146" s="1">
        <v>137793</v>
      </c>
    </row>
    <row r="147" spans="1:2" x14ac:dyDescent="0.25">
      <c r="A147" s="6" t="s">
        <v>6</v>
      </c>
      <c r="B147" s="1">
        <v>40383</v>
      </c>
    </row>
    <row r="148" spans="1:2" x14ac:dyDescent="0.25">
      <c r="A148" s="6" t="s">
        <v>9</v>
      </c>
      <c r="B148" s="1">
        <v>29054</v>
      </c>
    </row>
    <row r="149" spans="1:2" x14ac:dyDescent="0.25">
      <c r="A149" s="6" t="s">
        <v>7</v>
      </c>
      <c r="B149" s="1">
        <v>42393</v>
      </c>
    </row>
    <row r="150" spans="1:2" x14ac:dyDescent="0.25">
      <c r="A150" s="6" t="s">
        <v>8</v>
      </c>
      <c r="B150" s="1">
        <v>25963</v>
      </c>
    </row>
    <row r="151" spans="1:2" x14ac:dyDescent="0.25">
      <c r="A151" s="4" t="s">
        <v>19</v>
      </c>
      <c r="B151" s="1">
        <v>703744</v>
      </c>
    </row>
    <row r="152" spans="1:2" x14ac:dyDescent="0.25">
      <c r="A152" s="5" t="s">
        <v>12</v>
      </c>
      <c r="B152" s="1">
        <v>177355</v>
      </c>
    </row>
    <row r="153" spans="1:2" x14ac:dyDescent="0.25">
      <c r="A153" s="6" t="s">
        <v>6</v>
      </c>
      <c r="B153" s="1">
        <v>48720</v>
      </c>
    </row>
    <row r="154" spans="1:2" x14ac:dyDescent="0.25">
      <c r="A154" s="6" t="s">
        <v>9</v>
      </c>
      <c r="B154" s="1">
        <v>56225</v>
      </c>
    </row>
    <row r="155" spans="1:2" x14ac:dyDescent="0.25">
      <c r="A155" s="6" t="s">
        <v>7</v>
      </c>
      <c r="B155" s="1">
        <v>40665</v>
      </c>
    </row>
    <row r="156" spans="1:2" x14ac:dyDescent="0.25">
      <c r="A156" s="6" t="s">
        <v>8</v>
      </c>
      <c r="B156" s="1">
        <v>31745</v>
      </c>
    </row>
    <row r="157" spans="1:2" x14ac:dyDescent="0.25">
      <c r="A157" s="5" t="s">
        <v>5</v>
      </c>
      <c r="B157" s="1">
        <v>190795</v>
      </c>
    </row>
    <row r="158" spans="1:2" x14ac:dyDescent="0.25">
      <c r="A158" s="6" t="s">
        <v>6</v>
      </c>
      <c r="B158" s="1">
        <v>47224</v>
      </c>
    </row>
    <row r="159" spans="1:2" x14ac:dyDescent="0.25">
      <c r="A159" s="6" t="s">
        <v>9</v>
      </c>
      <c r="B159" s="1">
        <v>47735</v>
      </c>
    </row>
    <row r="160" spans="1:2" x14ac:dyDescent="0.25">
      <c r="A160" s="6" t="s">
        <v>7</v>
      </c>
      <c r="B160" s="1">
        <v>55738</v>
      </c>
    </row>
    <row r="161" spans="1:2" x14ac:dyDescent="0.25">
      <c r="A161" s="6" t="s">
        <v>8</v>
      </c>
      <c r="B161" s="1">
        <v>40098</v>
      </c>
    </row>
    <row r="162" spans="1:2" x14ac:dyDescent="0.25">
      <c r="A162" s="5" t="s">
        <v>11</v>
      </c>
      <c r="B162" s="1">
        <v>172669</v>
      </c>
    </row>
    <row r="163" spans="1:2" x14ac:dyDescent="0.25">
      <c r="A163" s="6" t="s">
        <v>6</v>
      </c>
      <c r="B163" s="1">
        <v>38097</v>
      </c>
    </row>
    <row r="164" spans="1:2" x14ac:dyDescent="0.25">
      <c r="A164" s="6" t="s">
        <v>9</v>
      </c>
      <c r="B164" s="1">
        <v>48910</v>
      </c>
    </row>
    <row r="165" spans="1:2" x14ac:dyDescent="0.25">
      <c r="A165" s="6" t="s">
        <v>7</v>
      </c>
      <c r="B165" s="1">
        <v>45072</v>
      </c>
    </row>
    <row r="166" spans="1:2" x14ac:dyDescent="0.25">
      <c r="A166" s="6" t="s">
        <v>8</v>
      </c>
      <c r="B166" s="1">
        <v>40590</v>
      </c>
    </row>
    <row r="167" spans="1:2" x14ac:dyDescent="0.25">
      <c r="A167" s="5" t="s">
        <v>10</v>
      </c>
      <c r="B167" s="1">
        <v>162925</v>
      </c>
    </row>
    <row r="168" spans="1:2" x14ac:dyDescent="0.25">
      <c r="A168" s="6" t="s">
        <v>6</v>
      </c>
      <c r="B168" s="1">
        <v>45360</v>
      </c>
    </row>
    <row r="169" spans="1:2" x14ac:dyDescent="0.25">
      <c r="A169" s="6" t="s">
        <v>9</v>
      </c>
      <c r="B169" s="1">
        <v>45959</v>
      </c>
    </row>
    <row r="170" spans="1:2" x14ac:dyDescent="0.25">
      <c r="A170" s="6" t="s">
        <v>7</v>
      </c>
      <c r="B170" s="1">
        <v>28797</v>
      </c>
    </row>
    <row r="171" spans="1:2" x14ac:dyDescent="0.25">
      <c r="A171" s="6" t="s">
        <v>8</v>
      </c>
      <c r="B171" s="1">
        <v>42809</v>
      </c>
    </row>
    <row r="172" spans="1:2" x14ac:dyDescent="0.25">
      <c r="A172" s="4" t="s">
        <v>20</v>
      </c>
      <c r="B172" s="1">
        <v>697968</v>
      </c>
    </row>
    <row r="173" spans="1:2" x14ac:dyDescent="0.25">
      <c r="A173" s="5" t="s">
        <v>12</v>
      </c>
      <c r="B173" s="1">
        <v>164960</v>
      </c>
    </row>
    <row r="174" spans="1:2" x14ac:dyDescent="0.25">
      <c r="A174" s="6" t="s">
        <v>6</v>
      </c>
      <c r="B174" s="1">
        <v>53367</v>
      </c>
    </row>
    <row r="175" spans="1:2" x14ac:dyDescent="0.25">
      <c r="A175" s="6" t="s">
        <v>9</v>
      </c>
      <c r="B175" s="1">
        <v>36815</v>
      </c>
    </row>
    <row r="176" spans="1:2" x14ac:dyDescent="0.25">
      <c r="A176" s="6" t="s">
        <v>7</v>
      </c>
      <c r="B176" s="1">
        <v>45802</v>
      </c>
    </row>
    <row r="177" spans="1:2" x14ac:dyDescent="0.25">
      <c r="A177" s="6" t="s">
        <v>8</v>
      </c>
      <c r="B177" s="1">
        <v>28976</v>
      </c>
    </row>
    <row r="178" spans="1:2" x14ac:dyDescent="0.25">
      <c r="A178" s="5" t="s">
        <v>5</v>
      </c>
      <c r="B178" s="1">
        <v>162329</v>
      </c>
    </row>
    <row r="179" spans="1:2" x14ac:dyDescent="0.25">
      <c r="A179" s="6" t="s">
        <v>6</v>
      </c>
      <c r="B179" s="1">
        <v>47963</v>
      </c>
    </row>
    <row r="180" spans="1:2" x14ac:dyDescent="0.25">
      <c r="A180" s="6" t="s">
        <v>9</v>
      </c>
      <c r="B180" s="1">
        <v>28189</v>
      </c>
    </row>
    <row r="181" spans="1:2" x14ac:dyDescent="0.25">
      <c r="A181" s="6" t="s">
        <v>7</v>
      </c>
      <c r="B181" s="1">
        <v>38336</v>
      </c>
    </row>
    <row r="182" spans="1:2" x14ac:dyDescent="0.25">
      <c r="A182" s="6" t="s">
        <v>8</v>
      </c>
      <c r="B182" s="1">
        <v>47841</v>
      </c>
    </row>
    <row r="183" spans="1:2" x14ac:dyDescent="0.25">
      <c r="A183" s="5" t="s">
        <v>11</v>
      </c>
      <c r="B183" s="1">
        <v>168020</v>
      </c>
    </row>
    <row r="184" spans="1:2" x14ac:dyDescent="0.25">
      <c r="A184" s="6" t="s">
        <v>6</v>
      </c>
      <c r="B184" s="1">
        <v>39501</v>
      </c>
    </row>
    <row r="185" spans="1:2" x14ac:dyDescent="0.25">
      <c r="A185" s="6" t="s">
        <v>9</v>
      </c>
      <c r="B185" s="1">
        <v>47246</v>
      </c>
    </row>
    <row r="186" spans="1:2" x14ac:dyDescent="0.25">
      <c r="A186" s="6" t="s">
        <v>7</v>
      </c>
      <c r="B186" s="1">
        <v>37160</v>
      </c>
    </row>
    <row r="187" spans="1:2" x14ac:dyDescent="0.25">
      <c r="A187" s="6" t="s">
        <v>8</v>
      </c>
      <c r="B187" s="1">
        <v>44113</v>
      </c>
    </row>
    <row r="188" spans="1:2" x14ac:dyDescent="0.25">
      <c r="A188" s="5" t="s">
        <v>10</v>
      </c>
      <c r="B188" s="1">
        <v>202659</v>
      </c>
    </row>
    <row r="189" spans="1:2" x14ac:dyDescent="0.25">
      <c r="A189" s="6" t="s">
        <v>6</v>
      </c>
      <c r="B189" s="1">
        <v>52042</v>
      </c>
    </row>
    <row r="190" spans="1:2" x14ac:dyDescent="0.25">
      <c r="A190" s="6" t="s">
        <v>9</v>
      </c>
      <c r="B190" s="1">
        <v>49720</v>
      </c>
    </row>
    <row r="191" spans="1:2" x14ac:dyDescent="0.25">
      <c r="A191" s="6" t="s">
        <v>7</v>
      </c>
      <c r="B191" s="1">
        <v>55488</v>
      </c>
    </row>
    <row r="192" spans="1:2" x14ac:dyDescent="0.25">
      <c r="A192" s="6" t="s">
        <v>8</v>
      </c>
      <c r="B192" s="1">
        <v>45409</v>
      </c>
    </row>
    <row r="193" spans="1:2" x14ac:dyDescent="0.25">
      <c r="A193" s="4" t="s">
        <v>21</v>
      </c>
      <c r="B193" s="1">
        <v>654995</v>
      </c>
    </row>
    <row r="194" spans="1:2" x14ac:dyDescent="0.25">
      <c r="A194" s="5" t="s">
        <v>12</v>
      </c>
      <c r="B194" s="1">
        <v>161100</v>
      </c>
    </row>
    <row r="195" spans="1:2" x14ac:dyDescent="0.25">
      <c r="A195" s="6" t="s">
        <v>6</v>
      </c>
      <c r="B195" s="1">
        <v>48502</v>
      </c>
    </row>
    <row r="196" spans="1:2" x14ac:dyDescent="0.25">
      <c r="A196" s="6" t="s">
        <v>9</v>
      </c>
      <c r="B196" s="1">
        <v>29023</v>
      </c>
    </row>
    <row r="197" spans="1:2" x14ac:dyDescent="0.25">
      <c r="A197" s="6" t="s">
        <v>7</v>
      </c>
      <c r="B197" s="1">
        <v>46850</v>
      </c>
    </row>
    <row r="198" spans="1:2" x14ac:dyDescent="0.25">
      <c r="A198" s="6" t="s">
        <v>8</v>
      </c>
      <c r="B198" s="1">
        <v>36725</v>
      </c>
    </row>
    <row r="199" spans="1:2" x14ac:dyDescent="0.25">
      <c r="A199" s="5" t="s">
        <v>5</v>
      </c>
      <c r="B199" s="1">
        <v>176532</v>
      </c>
    </row>
    <row r="200" spans="1:2" x14ac:dyDescent="0.25">
      <c r="A200" s="6" t="s">
        <v>6</v>
      </c>
      <c r="B200" s="1">
        <v>37291</v>
      </c>
    </row>
    <row r="201" spans="1:2" x14ac:dyDescent="0.25">
      <c r="A201" s="6" t="s">
        <v>9</v>
      </c>
      <c r="B201" s="1">
        <v>52172</v>
      </c>
    </row>
    <row r="202" spans="1:2" x14ac:dyDescent="0.25">
      <c r="A202" s="6" t="s">
        <v>7</v>
      </c>
      <c r="B202" s="1">
        <v>42205</v>
      </c>
    </row>
    <row r="203" spans="1:2" x14ac:dyDescent="0.25">
      <c r="A203" s="6" t="s">
        <v>8</v>
      </c>
      <c r="B203" s="1">
        <v>44864</v>
      </c>
    </row>
    <row r="204" spans="1:2" x14ac:dyDescent="0.25">
      <c r="A204" s="5" t="s">
        <v>11</v>
      </c>
      <c r="B204" s="1">
        <v>153513</v>
      </c>
    </row>
    <row r="205" spans="1:2" x14ac:dyDescent="0.25">
      <c r="A205" s="6" t="s">
        <v>6</v>
      </c>
      <c r="B205" s="1">
        <v>34570</v>
      </c>
    </row>
    <row r="206" spans="1:2" x14ac:dyDescent="0.25">
      <c r="A206" s="6" t="s">
        <v>9</v>
      </c>
      <c r="B206" s="1">
        <v>37831</v>
      </c>
    </row>
    <row r="207" spans="1:2" x14ac:dyDescent="0.25">
      <c r="A207" s="6" t="s">
        <v>7</v>
      </c>
      <c r="B207" s="1">
        <v>33214</v>
      </c>
    </row>
    <row r="208" spans="1:2" x14ac:dyDescent="0.25">
      <c r="A208" s="6" t="s">
        <v>8</v>
      </c>
      <c r="B208" s="1">
        <v>47898</v>
      </c>
    </row>
    <row r="209" spans="1:2" x14ac:dyDescent="0.25">
      <c r="A209" s="5" t="s">
        <v>10</v>
      </c>
      <c r="B209" s="1">
        <v>163850</v>
      </c>
    </row>
    <row r="210" spans="1:2" x14ac:dyDescent="0.25">
      <c r="A210" s="6" t="s">
        <v>6</v>
      </c>
      <c r="B210" s="1">
        <v>49144</v>
      </c>
    </row>
    <row r="211" spans="1:2" x14ac:dyDescent="0.25">
      <c r="A211" s="6" t="s">
        <v>9</v>
      </c>
      <c r="B211" s="1">
        <v>38837</v>
      </c>
    </row>
    <row r="212" spans="1:2" x14ac:dyDescent="0.25">
      <c r="A212" s="6" t="s">
        <v>7</v>
      </c>
      <c r="B212" s="1">
        <v>27975</v>
      </c>
    </row>
    <row r="213" spans="1:2" x14ac:dyDescent="0.25">
      <c r="A213" s="6" t="s">
        <v>8</v>
      </c>
      <c r="B213" s="1">
        <v>47894</v>
      </c>
    </row>
    <row r="214" spans="1:2" x14ac:dyDescent="0.25">
      <c r="A214" s="4" t="s">
        <v>22</v>
      </c>
      <c r="B214" s="1">
        <v>676461</v>
      </c>
    </row>
    <row r="215" spans="1:2" x14ac:dyDescent="0.25">
      <c r="A215" s="5" t="s">
        <v>12</v>
      </c>
      <c r="B215" s="1">
        <v>157234</v>
      </c>
    </row>
    <row r="216" spans="1:2" x14ac:dyDescent="0.25">
      <c r="A216" s="6" t="s">
        <v>6</v>
      </c>
      <c r="B216" s="1">
        <v>42541</v>
      </c>
    </row>
    <row r="217" spans="1:2" x14ac:dyDescent="0.25">
      <c r="A217" s="6" t="s">
        <v>9</v>
      </c>
      <c r="B217" s="1">
        <v>41956</v>
      </c>
    </row>
    <row r="218" spans="1:2" x14ac:dyDescent="0.25">
      <c r="A218" s="6" t="s">
        <v>7</v>
      </c>
      <c r="B218" s="1">
        <v>45528</v>
      </c>
    </row>
    <row r="219" spans="1:2" x14ac:dyDescent="0.25">
      <c r="A219" s="6" t="s">
        <v>8</v>
      </c>
      <c r="B219" s="1">
        <v>27209</v>
      </c>
    </row>
    <row r="220" spans="1:2" x14ac:dyDescent="0.25">
      <c r="A220" s="5" t="s">
        <v>5</v>
      </c>
      <c r="B220" s="1">
        <v>166452</v>
      </c>
    </row>
    <row r="221" spans="1:2" x14ac:dyDescent="0.25">
      <c r="A221" s="6" t="s">
        <v>6</v>
      </c>
      <c r="B221" s="1">
        <v>38116</v>
      </c>
    </row>
    <row r="222" spans="1:2" x14ac:dyDescent="0.25">
      <c r="A222" s="6" t="s">
        <v>9</v>
      </c>
      <c r="B222" s="1">
        <v>46131</v>
      </c>
    </row>
    <row r="223" spans="1:2" x14ac:dyDescent="0.25">
      <c r="A223" s="6" t="s">
        <v>7</v>
      </c>
      <c r="B223" s="1">
        <v>49881</v>
      </c>
    </row>
    <row r="224" spans="1:2" x14ac:dyDescent="0.25">
      <c r="A224" s="6" t="s">
        <v>8</v>
      </c>
      <c r="B224" s="1">
        <v>32324</v>
      </c>
    </row>
    <row r="225" spans="1:2" x14ac:dyDescent="0.25">
      <c r="A225" s="5" t="s">
        <v>11</v>
      </c>
      <c r="B225" s="1">
        <v>183938</v>
      </c>
    </row>
    <row r="226" spans="1:2" x14ac:dyDescent="0.25">
      <c r="A226" s="6" t="s">
        <v>6</v>
      </c>
      <c r="B226" s="1">
        <v>38044</v>
      </c>
    </row>
    <row r="227" spans="1:2" x14ac:dyDescent="0.25">
      <c r="A227" s="6" t="s">
        <v>9</v>
      </c>
      <c r="B227" s="1">
        <v>52352</v>
      </c>
    </row>
    <row r="228" spans="1:2" x14ac:dyDescent="0.25">
      <c r="A228" s="6" t="s">
        <v>7</v>
      </c>
      <c r="B228" s="1">
        <v>51284</v>
      </c>
    </row>
    <row r="229" spans="1:2" x14ac:dyDescent="0.25">
      <c r="A229" s="6" t="s">
        <v>8</v>
      </c>
      <c r="B229" s="1">
        <v>42258</v>
      </c>
    </row>
    <row r="230" spans="1:2" x14ac:dyDescent="0.25">
      <c r="A230" s="5" t="s">
        <v>10</v>
      </c>
      <c r="B230" s="1">
        <v>168837</v>
      </c>
    </row>
    <row r="231" spans="1:2" x14ac:dyDescent="0.25">
      <c r="A231" s="6" t="s">
        <v>6</v>
      </c>
      <c r="B231" s="1">
        <v>47493</v>
      </c>
    </row>
    <row r="232" spans="1:2" x14ac:dyDescent="0.25">
      <c r="A232" s="6" t="s">
        <v>9</v>
      </c>
      <c r="B232" s="1">
        <v>36812</v>
      </c>
    </row>
    <row r="233" spans="1:2" x14ac:dyDescent="0.25">
      <c r="A233" s="6" t="s">
        <v>7</v>
      </c>
      <c r="B233" s="1">
        <v>42644</v>
      </c>
    </row>
    <row r="234" spans="1:2" x14ac:dyDescent="0.25">
      <c r="A234" s="6" t="s">
        <v>8</v>
      </c>
      <c r="B234" s="1">
        <v>41888</v>
      </c>
    </row>
    <row r="235" spans="1:2" x14ac:dyDescent="0.25">
      <c r="A235" s="4" t="s">
        <v>23</v>
      </c>
      <c r="B235" s="1">
        <v>704654</v>
      </c>
    </row>
    <row r="236" spans="1:2" x14ac:dyDescent="0.25">
      <c r="A236" s="5" t="s">
        <v>12</v>
      </c>
      <c r="B236" s="1">
        <v>171638</v>
      </c>
    </row>
    <row r="237" spans="1:2" x14ac:dyDescent="0.25">
      <c r="A237" s="6" t="s">
        <v>6</v>
      </c>
      <c r="B237" s="1">
        <v>48856</v>
      </c>
    </row>
    <row r="238" spans="1:2" x14ac:dyDescent="0.25">
      <c r="A238" s="6" t="s">
        <v>9</v>
      </c>
      <c r="B238" s="1">
        <v>35992</v>
      </c>
    </row>
    <row r="239" spans="1:2" x14ac:dyDescent="0.25">
      <c r="A239" s="6" t="s">
        <v>7</v>
      </c>
      <c r="B239" s="1">
        <v>42863</v>
      </c>
    </row>
    <row r="240" spans="1:2" x14ac:dyDescent="0.25">
      <c r="A240" s="6" t="s">
        <v>8</v>
      </c>
      <c r="B240" s="1">
        <v>43927</v>
      </c>
    </row>
    <row r="241" spans="1:2" x14ac:dyDescent="0.25">
      <c r="A241" s="5" t="s">
        <v>5</v>
      </c>
      <c r="B241" s="1">
        <v>188492</v>
      </c>
    </row>
    <row r="242" spans="1:2" x14ac:dyDescent="0.25">
      <c r="A242" s="6" t="s">
        <v>6</v>
      </c>
      <c r="B242" s="1">
        <v>47452</v>
      </c>
    </row>
    <row r="243" spans="1:2" x14ac:dyDescent="0.25">
      <c r="A243" s="6" t="s">
        <v>9</v>
      </c>
      <c r="B243" s="1">
        <v>49937</v>
      </c>
    </row>
    <row r="244" spans="1:2" x14ac:dyDescent="0.25">
      <c r="A244" s="6" t="s">
        <v>7</v>
      </c>
      <c r="B244" s="1">
        <v>50255</v>
      </c>
    </row>
    <row r="245" spans="1:2" x14ac:dyDescent="0.25">
      <c r="A245" s="6" t="s">
        <v>8</v>
      </c>
      <c r="B245" s="1">
        <v>40848</v>
      </c>
    </row>
    <row r="246" spans="1:2" x14ac:dyDescent="0.25">
      <c r="A246" s="5" t="s">
        <v>11</v>
      </c>
      <c r="B246" s="1">
        <v>163920</v>
      </c>
    </row>
    <row r="247" spans="1:2" x14ac:dyDescent="0.25">
      <c r="A247" s="6" t="s">
        <v>6</v>
      </c>
      <c r="B247" s="1">
        <v>54273</v>
      </c>
    </row>
    <row r="248" spans="1:2" x14ac:dyDescent="0.25">
      <c r="A248" s="6" t="s">
        <v>9</v>
      </c>
      <c r="B248" s="1">
        <v>34966</v>
      </c>
    </row>
    <row r="249" spans="1:2" x14ac:dyDescent="0.25">
      <c r="A249" s="6" t="s">
        <v>7</v>
      </c>
      <c r="B249" s="1">
        <v>42603</v>
      </c>
    </row>
    <row r="250" spans="1:2" x14ac:dyDescent="0.25">
      <c r="A250" s="6" t="s">
        <v>8</v>
      </c>
      <c r="B250" s="1">
        <v>32078</v>
      </c>
    </row>
    <row r="251" spans="1:2" x14ac:dyDescent="0.25">
      <c r="A251" s="5" t="s">
        <v>10</v>
      </c>
      <c r="B251" s="1">
        <v>180604</v>
      </c>
    </row>
    <row r="252" spans="1:2" x14ac:dyDescent="0.25">
      <c r="A252" s="6" t="s">
        <v>6</v>
      </c>
      <c r="B252" s="1">
        <v>42378</v>
      </c>
    </row>
    <row r="253" spans="1:2" x14ac:dyDescent="0.25">
      <c r="A253" s="6" t="s">
        <v>9</v>
      </c>
      <c r="B253" s="1">
        <v>53924</v>
      </c>
    </row>
    <row r="254" spans="1:2" x14ac:dyDescent="0.25">
      <c r="A254" s="6" t="s">
        <v>7</v>
      </c>
      <c r="B254" s="1">
        <v>42485</v>
      </c>
    </row>
    <row r="255" spans="1:2" x14ac:dyDescent="0.25">
      <c r="A255" s="6" t="s">
        <v>8</v>
      </c>
      <c r="B255" s="1">
        <v>41817</v>
      </c>
    </row>
    <row r="256" spans="1:2" x14ac:dyDescent="0.25">
      <c r="A256" s="4" t="s">
        <v>45</v>
      </c>
      <c r="B256" s="1">
        <v>7994047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17280-6FB0-4974-8A6E-DE84D263965D}">
  <dimension ref="A1:G193"/>
  <sheetViews>
    <sheetView topLeftCell="A2" workbookViewId="0">
      <selection activeCell="C10" sqref="C10"/>
    </sheetView>
  </sheetViews>
  <sheetFormatPr defaultRowHeight="15" x14ac:dyDescent="0.25"/>
  <cols>
    <col min="1" max="1" width="9" customWidth="1"/>
    <col min="2" max="2" width="21.42578125" bestFit="1" customWidth="1"/>
    <col min="3" max="3" width="21.7109375" bestFit="1" customWidth="1"/>
    <col min="4" max="4" width="16.7109375" style="9" bestFit="1" customWidth="1"/>
    <col min="5" max="5" width="13.5703125" style="9" bestFit="1" customWidth="1"/>
    <col min="6" max="6" width="12.42578125" style="9" bestFit="1" customWidth="1"/>
    <col min="7" max="7" width="13" style="8" bestFit="1" customWidth="1"/>
  </cols>
  <sheetData>
    <row r="1" spans="1:7" x14ac:dyDescent="0.25">
      <c r="A1" t="s">
        <v>0</v>
      </c>
      <c r="B1" t="s">
        <v>1</v>
      </c>
      <c r="C1" t="s">
        <v>2</v>
      </c>
      <c r="D1" s="9" t="s">
        <v>3</v>
      </c>
      <c r="E1" s="9" t="s">
        <v>47</v>
      </c>
      <c r="F1" s="9" t="s">
        <v>48</v>
      </c>
      <c r="G1" s="8" t="s">
        <v>49</v>
      </c>
    </row>
    <row r="2" spans="1:7" x14ac:dyDescent="0.25">
      <c r="A2" s="1" t="s">
        <v>4</v>
      </c>
      <c r="B2" s="1" t="s">
        <v>5</v>
      </c>
      <c r="C2" s="1" t="s">
        <v>6</v>
      </c>
      <c r="D2" s="7">
        <v>76988</v>
      </c>
      <c r="E2" s="7">
        <f>SUMIFS(tblActuals[Amount], tblActuals[Month], A2, tblActuals[Department], B2, tblActuals[Cost Category],C2)</f>
        <v>40795</v>
      </c>
      <c r="F2" s="7">
        <f>tblBudget5[[#This Row],[Actual Cost]]-tblBudget5[[#This Row],[Budgeted Cost]]</f>
        <v>-36193</v>
      </c>
      <c r="G2" s="8">
        <f>tblBudget5[[#This Row],[Variance $]]/tblBudget5[[#This Row],[Budgeted Cost]]</f>
        <v>-0.47011222528186208</v>
      </c>
    </row>
    <row r="3" spans="1:7" x14ac:dyDescent="0.25">
      <c r="A3" s="1" t="s">
        <v>4</v>
      </c>
      <c r="B3" s="1" t="s">
        <v>5</v>
      </c>
      <c r="C3" s="1" t="s">
        <v>7</v>
      </c>
      <c r="D3" s="7">
        <v>18612</v>
      </c>
      <c r="E3" s="7">
        <f>SUMIFS(tblActuals[Amount], tblActuals[Month], A3, tblActuals[Department], B3, tblActuals[Cost Category],C3)</f>
        <v>46007</v>
      </c>
      <c r="F3" s="7">
        <f>tblBudget5[[#This Row],[Actual Cost]]-tblBudget5[[#This Row],[Budgeted Cost]]</f>
        <v>27395</v>
      </c>
      <c r="G3" s="8">
        <f>tblBudget5[[#This Row],[Variance $]]/tblBudget5[[#This Row],[Budgeted Cost]]</f>
        <v>1.471899849559424</v>
      </c>
    </row>
    <row r="4" spans="1:7" x14ac:dyDescent="0.25">
      <c r="A4" s="1" t="s">
        <v>4</v>
      </c>
      <c r="B4" s="1" t="s">
        <v>5</v>
      </c>
      <c r="C4" s="1" t="s">
        <v>8</v>
      </c>
      <c r="D4" s="7">
        <v>11004</v>
      </c>
      <c r="E4" s="7">
        <f>SUMIFS(tblActuals[Amount], tblActuals[Month], A4, tblActuals[Department], B4, tblActuals[Cost Category],C4)</f>
        <v>37662</v>
      </c>
      <c r="F4" s="7">
        <f>tblBudget5[[#This Row],[Actual Cost]]-tblBudget5[[#This Row],[Budgeted Cost]]</f>
        <v>26658</v>
      </c>
      <c r="G4" s="8">
        <f>tblBudget5[[#This Row],[Variance $]]/tblBudget5[[#This Row],[Budgeted Cost]]</f>
        <v>2.4225736095965105</v>
      </c>
    </row>
    <row r="5" spans="1:7" x14ac:dyDescent="0.25">
      <c r="A5" s="1" t="s">
        <v>4</v>
      </c>
      <c r="B5" s="1" t="s">
        <v>5</v>
      </c>
      <c r="C5" s="1" t="s">
        <v>9</v>
      </c>
      <c r="D5" s="7">
        <v>16503</v>
      </c>
      <c r="E5" s="7">
        <f>SUMIFS(tblActuals[Amount], tblActuals[Month], A5, tblActuals[Department], B5, tblActuals[Cost Category],C5)</f>
        <v>43057</v>
      </c>
      <c r="F5" s="7">
        <f>tblBudget5[[#This Row],[Actual Cost]]-tblBudget5[[#This Row],[Budgeted Cost]]</f>
        <v>26554</v>
      </c>
      <c r="G5" s="8">
        <f>tblBudget5[[#This Row],[Variance $]]/tblBudget5[[#This Row],[Budgeted Cost]]</f>
        <v>1.609040780464158</v>
      </c>
    </row>
    <row r="6" spans="1:7" x14ac:dyDescent="0.25">
      <c r="A6" s="1" t="s">
        <v>4</v>
      </c>
      <c r="B6" s="1" t="s">
        <v>10</v>
      </c>
      <c r="C6" s="1" t="s">
        <v>6</v>
      </c>
      <c r="D6" s="7">
        <v>54256</v>
      </c>
      <c r="E6" s="7">
        <f>SUMIFS(tblActuals[Amount], tblActuals[Month], A6, tblActuals[Department], B6, tblActuals[Cost Category],C6)</f>
        <v>35110</v>
      </c>
      <c r="F6" s="7">
        <f>tblBudget5[[#This Row],[Actual Cost]]-tblBudget5[[#This Row],[Budgeted Cost]]</f>
        <v>-19146</v>
      </c>
      <c r="G6" s="8">
        <f>tblBudget5[[#This Row],[Variance $]]/tblBudget5[[#This Row],[Budgeted Cost]]</f>
        <v>-0.35288263049248009</v>
      </c>
    </row>
    <row r="7" spans="1:7" x14ac:dyDescent="0.25">
      <c r="A7" s="1" t="s">
        <v>4</v>
      </c>
      <c r="B7" s="1" t="s">
        <v>10</v>
      </c>
      <c r="C7" s="1" t="s">
        <v>7</v>
      </c>
      <c r="D7" s="7">
        <v>14128</v>
      </c>
      <c r="E7" s="7">
        <f>SUMIFS(tblActuals[Amount], tblActuals[Month], A7, tblActuals[Department], B7, tblActuals[Cost Category],C7)</f>
        <v>45617</v>
      </c>
      <c r="F7" s="7">
        <f>tblBudget5[[#This Row],[Actual Cost]]-tblBudget5[[#This Row],[Budgeted Cost]]</f>
        <v>31489</v>
      </c>
      <c r="G7" s="8">
        <f>tblBudget5[[#This Row],[Variance $]]/tblBudget5[[#This Row],[Budgeted Cost]]</f>
        <v>2.2288363533408835</v>
      </c>
    </row>
    <row r="8" spans="1:7" x14ac:dyDescent="0.25">
      <c r="A8" s="1" t="s">
        <v>4</v>
      </c>
      <c r="B8" s="1" t="s">
        <v>10</v>
      </c>
      <c r="C8" s="1" t="s">
        <v>8</v>
      </c>
      <c r="D8" s="7">
        <v>8343</v>
      </c>
      <c r="E8" s="7">
        <f>SUMIFS(tblActuals[Amount], tblActuals[Month], A8, tblActuals[Department], B8, tblActuals[Cost Category],C8)</f>
        <v>38244</v>
      </c>
      <c r="F8" s="7">
        <f>tblBudget5[[#This Row],[Actual Cost]]-tblBudget5[[#This Row],[Budgeted Cost]]</f>
        <v>29901</v>
      </c>
      <c r="G8" s="8">
        <f>tblBudget5[[#This Row],[Variance $]]/tblBudget5[[#This Row],[Budgeted Cost]]</f>
        <v>3.5839626033800793</v>
      </c>
    </row>
    <row r="9" spans="1:7" x14ac:dyDescent="0.25">
      <c r="A9" s="1" t="s">
        <v>4</v>
      </c>
      <c r="B9" s="1" t="s">
        <v>10</v>
      </c>
      <c r="C9" s="1" t="s">
        <v>9</v>
      </c>
      <c r="D9" s="7">
        <v>10589</v>
      </c>
      <c r="E9" s="7">
        <f>SUMIFS(tblActuals[Amount], tblActuals[Month], A9, tblActuals[Department], B9, tblActuals[Cost Category],C9)</f>
        <v>39106</v>
      </c>
      <c r="F9" s="7">
        <f>tblBudget5[[#This Row],[Actual Cost]]-tblBudget5[[#This Row],[Budgeted Cost]]</f>
        <v>28517</v>
      </c>
      <c r="G9" s="8">
        <f>tblBudget5[[#This Row],[Variance $]]/tblBudget5[[#This Row],[Budgeted Cost]]</f>
        <v>2.6930777221645101</v>
      </c>
    </row>
    <row r="10" spans="1:7" x14ac:dyDescent="0.25">
      <c r="A10" s="1" t="s">
        <v>4</v>
      </c>
      <c r="B10" s="1" t="s">
        <v>11</v>
      </c>
      <c r="C10" s="1" t="s">
        <v>6</v>
      </c>
      <c r="D10" s="7">
        <v>83793</v>
      </c>
      <c r="E10" s="7">
        <f>SUMIFS(tblActuals[Amount], tblActuals[Month], A10, tblActuals[Department], B10, tblActuals[Cost Category],C10)</f>
        <v>38928</v>
      </c>
      <c r="F10" s="7">
        <f>tblBudget5[[#This Row],[Actual Cost]]-tblBudget5[[#This Row],[Budgeted Cost]]</f>
        <v>-44865</v>
      </c>
      <c r="G10" s="8">
        <f>tblBudget5[[#This Row],[Variance $]]/tblBudget5[[#This Row],[Budgeted Cost]]</f>
        <v>-0.53542658694640366</v>
      </c>
    </row>
    <row r="11" spans="1:7" x14ac:dyDescent="0.25">
      <c r="A11" s="1" t="s">
        <v>4</v>
      </c>
      <c r="B11" s="1" t="s">
        <v>11</v>
      </c>
      <c r="C11" s="1" t="s">
        <v>7</v>
      </c>
      <c r="D11" s="7">
        <v>23967</v>
      </c>
      <c r="E11" s="7">
        <f>SUMIFS(tblActuals[Amount], tblActuals[Month], A11, tblActuals[Department], B11, tblActuals[Cost Category],C11)</f>
        <v>40451</v>
      </c>
      <c r="F11" s="7">
        <f>tblBudget5[[#This Row],[Actual Cost]]-tblBudget5[[#This Row],[Budgeted Cost]]</f>
        <v>16484</v>
      </c>
      <c r="G11" s="8">
        <f>tblBudget5[[#This Row],[Variance $]]/tblBudget5[[#This Row],[Budgeted Cost]]</f>
        <v>0.68777902949889436</v>
      </c>
    </row>
    <row r="12" spans="1:7" x14ac:dyDescent="0.25">
      <c r="A12" s="1" t="s">
        <v>4</v>
      </c>
      <c r="B12" s="1" t="s">
        <v>11</v>
      </c>
      <c r="C12" s="1" t="s">
        <v>8</v>
      </c>
      <c r="D12" s="7">
        <v>12712</v>
      </c>
      <c r="E12" s="7">
        <f>SUMIFS(tblActuals[Amount], tblActuals[Month], A12, tblActuals[Department], B12, tblActuals[Cost Category],C12)</f>
        <v>51127</v>
      </c>
      <c r="F12" s="7">
        <f>tblBudget5[[#This Row],[Actual Cost]]-tblBudget5[[#This Row],[Budgeted Cost]]</f>
        <v>38415</v>
      </c>
      <c r="G12" s="8">
        <f>tblBudget5[[#This Row],[Variance $]]/tblBudget5[[#This Row],[Budgeted Cost]]</f>
        <v>3.0219477658904972</v>
      </c>
    </row>
    <row r="13" spans="1:7" x14ac:dyDescent="0.25">
      <c r="A13" s="1" t="s">
        <v>4</v>
      </c>
      <c r="B13" s="1" t="s">
        <v>11</v>
      </c>
      <c r="C13" s="1" t="s">
        <v>9</v>
      </c>
      <c r="D13" s="7">
        <v>20587</v>
      </c>
      <c r="E13" s="7">
        <f>SUMIFS(tblActuals[Amount], tblActuals[Month], A13, tblActuals[Department], B13, tblActuals[Cost Category],C13)</f>
        <v>33714</v>
      </c>
      <c r="F13" s="7">
        <f>tblBudget5[[#This Row],[Actual Cost]]-tblBudget5[[#This Row],[Budgeted Cost]]</f>
        <v>13127</v>
      </c>
      <c r="G13" s="8">
        <f>tblBudget5[[#This Row],[Variance $]]/tblBudget5[[#This Row],[Budgeted Cost]]</f>
        <v>0.63763540098120175</v>
      </c>
    </row>
    <row r="14" spans="1:7" x14ac:dyDescent="0.25">
      <c r="A14" s="1" t="s">
        <v>4</v>
      </c>
      <c r="B14" s="1" t="s">
        <v>12</v>
      </c>
      <c r="C14" s="1" t="s">
        <v>6</v>
      </c>
      <c r="D14" s="7">
        <v>68706</v>
      </c>
      <c r="E14" s="7">
        <f>SUMIFS(tblActuals[Amount], tblActuals[Month], A14, tblActuals[Department], B14, tblActuals[Cost Category],C14)</f>
        <v>30825</v>
      </c>
      <c r="F14" s="7">
        <f>tblBudget5[[#This Row],[Actual Cost]]-tblBudget5[[#This Row],[Budgeted Cost]]</f>
        <v>-37881</v>
      </c>
      <c r="G14" s="8">
        <f>tblBudget5[[#This Row],[Variance $]]/tblBudget5[[#This Row],[Budgeted Cost]]</f>
        <v>-0.5513492271417344</v>
      </c>
    </row>
    <row r="15" spans="1:7" x14ac:dyDescent="0.25">
      <c r="A15" s="1" t="s">
        <v>4</v>
      </c>
      <c r="B15" s="1" t="s">
        <v>12</v>
      </c>
      <c r="C15" s="1" t="s">
        <v>7</v>
      </c>
      <c r="D15" s="7">
        <v>16160</v>
      </c>
      <c r="E15" s="7">
        <f>SUMIFS(tblActuals[Amount], tblActuals[Month], A15, tblActuals[Department], B15, tblActuals[Cost Category],C15)</f>
        <v>53561</v>
      </c>
      <c r="F15" s="7">
        <f>tblBudget5[[#This Row],[Actual Cost]]-tblBudget5[[#This Row],[Budgeted Cost]]</f>
        <v>37401</v>
      </c>
      <c r="G15" s="8">
        <f>tblBudget5[[#This Row],[Variance $]]/tblBudget5[[#This Row],[Budgeted Cost]]</f>
        <v>2.314418316831683</v>
      </c>
    </row>
    <row r="16" spans="1:7" x14ac:dyDescent="0.25">
      <c r="A16" s="1" t="s">
        <v>4</v>
      </c>
      <c r="B16" s="1" t="s">
        <v>12</v>
      </c>
      <c r="C16" s="1" t="s">
        <v>8</v>
      </c>
      <c r="D16" s="7">
        <v>9844</v>
      </c>
      <c r="E16" s="7">
        <f>SUMIFS(tblActuals[Amount], tblActuals[Month], A16, tblActuals[Department], B16, tblActuals[Cost Category],C16)</f>
        <v>35919</v>
      </c>
      <c r="F16" s="7">
        <f>tblBudget5[[#This Row],[Actual Cost]]-tblBudget5[[#This Row],[Budgeted Cost]]</f>
        <v>26075</v>
      </c>
      <c r="G16" s="8">
        <f>tblBudget5[[#This Row],[Variance $]]/tblBudget5[[#This Row],[Budgeted Cost]]</f>
        <v>2.6488216172287689</v>
      </c>
    </row>
    <row r="17" spans="1:7" x14ac:dyDescent="0.25">
      <c r="A17" s="1" t="s">
        <v>4</v>
      </c>
      <c r="B17" s="1" t="s">
        <v>12</v>
      </c>
      <c r="C17" s="1" t="s">
        <v>9</v>
      </c>
      <c r="D17" s="7">
        <v>13517</v>
      </c>
      <c r="E17" s="7">
        <f>SUMIFS(tblActuals[Amount], tblActuals[Month], A17, tblActuals[Department], B17, tblActuals[Cost Category],C17)</f>
        <v>37085</v>
      </c>
      <c r="F17" s="7">
        <f>tblBudget5[[#This Row],[Actual Cost]]-tblBudget5[[#This Row],[Budgeted Cost]]</f>
        <v>23568</v>
      </c>
      <c r="G17" s="8">
        <f>tblBudget5[[#This Row],[Variance $]]/tblBudget5[[#This Row],[Budgeted Cost]]</f>
        <v>1.7435821558038027</v>
      </c>
    </row>
    <row r="18" spans="1:7" x14ac:dyDescent="0.25">
      <c r="A18" s="1" t="s">
        <v>13</v>
      </c>
      <c r="B18" s="1" t="s">
        <v>5</v>
      </c>
      <c r="C18" s="1" t="s">
        <v>6</v>
      </c>
      <c r="D18" s="7">
        <v>73541</v>
      </c>
      <c r="E18" s="7">
        <f>SUMIFS(tblActuals[Amount], tblActuals[Month], A18, tblActuals[Department], B18, tblActuals[Cost Category],C18)</f>
        <v>44889</v>
      </c>
      <c r="F18" s="7">
        <f>tblBudget5[[#This Row],[Actual Cost]]-tblBudget5[[#This Row],[Budgeted Cost]]</f>
        <v>-28652</v>
      </c>
      <c r="G18" s="8">
        <f>tblBudget5[[#This Row],[Variance $]]/tblBudget5[[#This Row],[Budgeted Cost]]</f>
        <v>-0.38960579812621532</v>
      </c>
    </row>
    <row r="19" spans="1:7" x14ac:dyDescent="0.25">
      <c r="A19" s="1" t="s">
        <v>13</v>
      </c>
      <c r="B19" s="1" t="s">
        <v>5</v>
      </c>
      <c r="C19" s="1" t="s">
        <v>7</v>
      </c>
      <c r="D19" s="7">
        <v>19605</v>
      </c>
      <c r="E19" s="7">
        <f>SUMIFS(tblActuals[Amount], tblActuals[Month], A19, tblActuals[Department], B19, tblActuals[Cost Category],C19)</f>
        <v>44138</v>
      </c>
      <c r="F19" s="7">
        <f>tblBudget5[[#This Row],[Actual Cost]]-tblBudget5[[#This Row],[Budgeted Cost]]</f>
        <v>24533</v>
      </c>
      <c r="G19" s="8">
        <f>tblBudget5[[#This Row],[Variance $]]/tblBudget5[[#This Row],[Budgeted Cost]]</f>
        <v>1.2513644478449375</v>
      </c>
    </row>
    <row r="20" spans="1:7" x14ac:dyDescent="0.25">
      <c r="A20" s="1" t="s">
        <v>13</v>
      </c>
      <c r="B20" s="1" t="s">
        <v>5</v>
      </c>
      <c r="C20" s="1" t="s">
        <v>8</v>
      </c>
      <c r="D20" s="7">
        <v>14939</v>
      </c>
      <c r="E20" s="7">
        <f>SUMIFS(tblActuals[Amount], tblActuals[Month], A20, tblActuals[Department], B20, tblActuals[Cost Category],C20)</f>
        <v>40958</v>
      </c>
      <c r="F20" s="7">
        <f>tblBudget5[[#This Row],[Actual Cost]]-tblBudget5[[#This Row],[Budgeted Cost]]</f>
        <v>26019</v>
      </c>
      <c r="G20" s="8">
        <f>tblBudget5[[#This Row],[Variance $]]/tblBudget5[[#This Row],[Budgeted Cost]]</f>
        <v>1.7416828435638263</v>
      </c>
    </row>
    <row r="21" spans="1:7" x14ac:dyDescent="0.25">
      <c r="A21" s="1" t="s">
        <v>13</v>
      </c>
      <c r="B21" s="1" t="s">
        <v>5</v>
      </c>
      <c r="C21" s="1" t="s">
        <v>9</v>
      </c>
      <c r="D21" s="7">
        <v>19181</v>
      </c>
      <c r="E21" s="7">
        <f>SUMIFS(tblActuals[Amount], tblActuals[Month], A21, tblActuals[Department], B21, tblActuals[Cost Category],C21)</f>
        <v>41953</v>
      </c>
      <c r="F21" s="7">
        <f>tblBudget5[[#This Row],[Actual Cost]]-tblBudget5[[#This Row],[Budgeted Cost]]</f>
        <v>22772</v>
      </c>
      <c r="G21" s="8">
        <f>tblBudget5[[#This Row],[Variance $]]/tblBudget5[[#This Row],[Budgeted Cost]]</f>
        <v>1.1872165163442991</v>
      </c>
    </row>
    <row r="22" spans="1:7" x14ac:dyDescent="0.25">
      <c r="A22" s="1" t="s">
        <v>13</v>
      </c>
      <c r="B22" s="1" t="s">
        <v>10</v>
      </c>
      <c r="C22" s="1" t="s">
        <v>6</v>
      </c>
      <c r="D22" s="7">
        <v>52467</v>
      </c>
      <c r="E22" s="7">
        <f>SUMIFS(tblActuals[Amount], tblActuals[Month], A22, tblActuals[Department], B22, tblActuals[Cost Category],C22)</f>
        <v>27321</v>
      </c>
      <c r="F22" s="7">
        <f>tblBudget5[[#This Row],[Actual Cost]]-tblBudget5[[#This Row],[Budgeted Cost]]</f>
        <v>-25146</v>
      </c>
      <c r="G22" s="8">
        <f>tblBudget5[[#This Row],[Variance $]]/tblBudget5[[#This Row],[Budgeted Cost]]</f>
        <v>-0.47927268568814685</v>
      </c>
    </row>
    <row r="23" spans="1:7" x14ac:dyDescent="0.25">
      <c r="A23" s="1" t="s">
        <v>13</v>
      </c>
      <c r="B23" s="1" t="s">
        <v>10</v>
      </c>
      <c r="C23" s="1" t="s">
        <v>7</v>
      </c>
      <c r="D23" s="7">
        <v>16897</v>
      </c>
      <c r="E23" s="7">
        <f>SUMIFS(tblActuals[Amount], tblActuals[Month], A23, tblActuals[Department], B23, tblActuals[Cost Category],C23)</f>
        <v>33089</v>
      </c>
      <c r="F23" s="7">
        <f>tblBudget5[[#This Row],[Actual Cost]]-tblBudget5[[#This Row],[Budgeted Cost]]</f>
        <v>16192</v>
      </c>
      <c r="G23" s="8">
        <f>tblBudget5[[#This Row],[Variance $]]/tblBudget5[[#This Row],[Budgeted Cost]]</f>
        <v>0.95827661715097356</v>
      </c>
    </row>
    <row r="24" spans="1:7" x14ac:dyDescent="0.25">
      <c r="A24" s="1" t="s">
        <v>13</v>
      </c>
      <c r="B24" s="1" t="s">
        <v>10</v>
      </c>
      <c r="C24" s="1" t="s">
        <v>8</v>
      </c>
      <c r="D24" s="7">
        <v>8828</v>
      </c>
      <c r="E24" s="7">
        <f>SUMIFS(tblActuals[Amount], tblActuals[Month], A24, tblActuals[Department], B24, tblActuals[Cost Category],C24)</f>
        <v>39497</v>
      </c>
      <c r="F24" s="7">
        <f>tblBudget5[[#This Row],[Actual Cost]]-tblBudget5[[#This Row],[Budgeted Cost]]</f>
        <v>30669</v>
      </c>
      <c r="G24" s="8">
        <f>tblBudget5[[#This Row],[Variance $]]/tblBudget5[[#This Row],[Budgeted Cost]]</f>
        <v>3.4740598096964206</v>
      </c>
    </row>
    <row r="25" spans="1:7" x14ac:dyDescent="0.25">
      <c r="A25" s="1" t="s">
        <v>13</v>
      </c>
      <c r="B25" s="1" t="s">
        <v>10</v>
      </c>
      <c r="C25" s="1" t="s">
        <v>9</v>
      </c>
      <c r="D25" s="7">
        <v>15615</v>
      </c>
      <c r="E25" s="7">
        <f>SUMIFS(tblActuals[Amount], tblActuals[Month], A25, tblActuals[Department], B25, tblActuals[Cost Category],C25)</f>
        <v>29263</v>
      </c>
      <c r="F25" s="7">
        <f>tblBudget5[[#This Row],[Actual Cost]]-tblBudget5[[#This Row],[Budgeted Cost]]</f>
        <v>13648</v>
      </c>
      <c r="G25" s="8">
        <f>tblBudget5[[#This Row],[Variance $]]/tblBudget5[[#This Row],[Budgeted Cost]]</f>
        <v>0.87403138008325332</v>
      </c>
    </row>
    <row r="26" spans="1:7" x14ac:dyDescent="0.25">
      <c r="A26" s="1" t="s">
        <v>13</v>
      </c>
      <c r="B26" s="1" t="s">
        <v>11</v>
      </c>
      <c r="C26" s="1" t="s">
        <v>6</v>
      </c>
      <c r="D26" s="7">
        <v>83573</v>
      </c>
      <c r="E26" s="7">
        <f>SUMIFS(tblActuals[Amount], tblActuals[Month], A26, tblActuals[Department], B26, tblActuals[Cost Category],C26)</f>
        <v>33084</v>
      </c>
      <c r="F26" s="7">
        <f>tblBudget5[[#This Row],[Actual Cost]]-tblBudget5[[#This Row],[Budgeted Cost]]</f>
        <v>-50489</v>
      </c>
      <c r="G26" s="8">
        <f>tblBudget5[[#This Row],[Variance $]]/tblBudget5[[#This Row],[Budgeted Cost]]</f>
        <v>-0.60413052062268913</v>
      </c>
    </row>
    <row r="27" spans="1:7" x14ac:dyDescent="0.25">
      <c r="A27" s="1" t="s">
        <v>13</v>
      </c>
      <c r="B27" s="1" t="s">
        <v>11</v>
      </c>
      <c r="C27" s="1" t="s">
        <v>7</v>
      </c>
      <c r="D27" s="7">
        <v>25245</v>
      </c>
      <c r="E27" s="7">
        <f>SUMIFS(tblActuals[Amount], tblActuals[Month], A27, tblActuals[Department], B27, tblActuals[Cost Category],C27)</f>
        <v>41000</v>
      </c>
      <c r="F27" s="7">
        <f>tblBudget5[[#This Row],[Actual Cost]]-tblBudget5[[#This Row],[Budgeted Cost]]</f>
        <v>15755</v>
      </c>
      <c r="G27" s="8">
        <f>tblBudget5[[#This Row],[Variance $]]/tblBudget5[[#This Row],[Budgeted Cost]]</f>
        <v>0.6240839770251535</v>
      </c>
    </row>
    <row r="28" spans="1:7" x14ac:dyDescent="0.25">
      <c r="A28" s="1" t="s">
        <v>13</v>
      </c>
      <c r="B28" s="1" t="s">
        <v>11</v>
      </c>
      <c r="C28" s="1" t="s">
        <v>8</v>
      </c>
      <c r="D28" s="7">
        <v>16464</v>
      </c>
      <c r="E28" s="7">
        <f>SUMIFS(tblActuals[Amount], tblActuals[Month], A28, tblActuals[Department], B28, tblActuals[Cost Category],C28)</f>
        <v>50848</v>
      </c>
      <c r="F28" s="7">
        <f>tblBudget5[[#This Row],[Actual Cost]]-tblBudget5[[#This Row],[Budgeted Cost]]</f>
        <v>34384</v>
      </c>
      <c r="G28" s="8">
        <f>tblBudget5[[#This Row],[Variance $]]/tblBudget5[[#This Row],[Budgeted Cost]]</f>
        <v>2.0884353741496597</v>
      </c>
    </row>
    <row r="29" spans="1:7" x14ac:dyDescent="0.25">
      <c r="A29" s="1" t="s">
        <v>13</v>
      </c>
      <c r="B29" s="1" t="s">
        <v>11</v>
      </c>
      <c r="C29" s="1" t="s">
        <v>9</v>
      </c>
      <c r="D29" s="7">
        <v>19186</v>
      </c>
      <c r="E29" s="7">
        <f>SUMIFS(tblActuals[Amount], tblActuals[Month], A29, tblActuals[Department], B29, tblActuals[Cost Category],C29)</f>
        <v>44538</v>
      </c>
      <c r="F29" s="7">
        <f>tblBudget5[[#This Row],[Actual Cost]]-tblBudget5[[#This Row],[Budgeted Cost]]</f>
        <v>25352</v>
      </c>
      <c r="G29" s="8">
        <f>tblBudget5[[#This Row],[Variance $]]/tblBudget5[[#This Row],[Budgeted Cost]]</f>
        <v>1.3213801730428438</v>
      </c>
    </row>
    <row r="30" spans="1:7" x14ac:dyDescent="0.25">
      <c r="A30" s="1" t="s">
        <v>13</v>
      </c>
      <c r="B30" s="1" t="s">
        <v>12</v>
      </c>
      <c r="C30" s="1" t="s">
        <v>6</v>
      </c>
      <c r="D30" s="7">
        <v>67055</v>
      </c>
      <c r="E30" s="7">
        <f>SUMIFS(tblActuals[Amount], tblActuals[Month], A30, tblActuals[Department], B30, tblActuals[Cost Category],C30)</f>
        <v>39454</v>
      </c>
      <c r="F30" s="7">
        <f>tblBudget5[[#This Row],[Actual Cost]]-tblBudget5[[#This Row],[Budgeted Cost]]</f>
        <v>-27601</v>
      </c>
      <c r="G30" s="8">
        <f>tblBudget5[[#This Row],[Variance $]]/tblBudget5[[#This Row],[Budgeted Cost]]</f>
        <v>-0.41161732905823578</v>
      </c>
    </row>
    <row r="31" spans="1:7" x14ac:dyDescent="0.25">
      <c r="A31" s="1" t="s">
        <v>13</v>
      </c>
      <c r="B31" s="1" t="s">
        <v>12</v>
      </c>
      <c r="C31" s="1" t="s">
        <v>7</v>
      </c>
      <c r="D31" s="7">
        <v>19579</v>
      </c>
      <c r="E31" s="7">
        <f>SUMIFS(tblActuals[Amount], tblActuals[Month], A31, tblActuals[Department], B31, tblActuals[Cost Category],C31)</f>
        <v>41203</v>
      </c>
      <c r="F31" s="7">
        <f>tblBudget5[[#This Row],[Actual Cost]]-tblBudget5[[#This Row],[Budgeted Cost]]</f>
        <v>21624</v>
      </c>
      <c r="G31" s="8">
        <f>tblBudget5[[#This Row],[Variance $]]/tblBudget5[[#This Row],[Budgeted Cost]]</f>
        <v>1.1044486439552581</v>
      </c>
    </row>
    <row r="32" spans="1:7" x14ac:dyDescent="0.25">
      <c r="A32" s="1" t="s">
        <v>13</v>
      </c>
      <c r="B32" s="1" t="s">
        <v>12</v>
      </c>
      <c r="C32" s="1" t="s">
        <v>8</v>
      </c>
      <c r="D32" s="7">
        <v>14427</v>
      </c>
      <c r="E32" s="7">
        <f>SUMIFS(tblActuals[Amount], tblActuals[Month], A32, tblActuals[Department], B32, tblActuals[Cost Category],C32)</f>
        <v>42620</v>
      </c>
      <c r="F32" s="7">
        <f>tblBudget5[[#This Row],[Actual Cost]]-tblBudget5[[#This Row],[Budgeted Cost]]</f>
        <v>28193</v>
      </c>
      <c r="G32" s="8">
        <f>tblBudget5[[#This Row],[Variance $]]/tblBudget5[[#This Row],[Budgeted Cost]]</f>
        <v>1.954183128855618</v>
      </c>
    </row>
    <row r="33" spans="1:7" x14ac:dyDescent="0.25">
      <c r="A33" s="1" t="s">
        <v>13</v>
      </c>
      <c r="B33" s="1" t="s">
        <v>12</v>
      </c>
      <c r="C33" s="1" t="s">
        <v>9</v>
      </c>
      <c r="D33" s="7">
        <v>15028</v>
      </c>
      <c r="E33" s="7">
        <f>SUMIFS(tblActuals[Amount], tblActuals[Month], A33, tblActuals[Department], B33, tblActuals[Cost Category],C33)</f>
        <v>40105</v>
      </c>
      <c r="F33" s="7">
        <f>tblBudget5[[#This Row],[Actual Cost]]-tblBudget5[[#This Row],[Budgeted Cost]]</f>
        <v>25077</v>
      </c>
      <c r="G33" s="8">
        <f>tblBudget5[[#This Row],[Variance $]]/tblBudget5[[#This Row],[Budgeted Cost]]</f>
        <v>1.6686851211072664</v>
      </c>
    </row>
    <row r="34" spans="1:7" x14ac:dyDescent="0.25">
      <c r="A34" s="1" t="s">
        <v>14</v>
      </c>
      <c r="B34" s="1" t="s">
        <v>5</v>
      </c>
      <c r="C34" s="1" t="s">
        <v>6</v>
      </c>
      <c r="D34" s="7">
        <v>71803</v>
      </c>
      <c r="E34" s="7">
        <f>SUMIFS(tblActuals[Amount], tblActuals[Month], A34, tblActuals[Department], B34, tblActuals[Cost Category],C34)</f>
        <v>37456</v>
      </c>
      <c r="F34" s="7">
        <f>tblBudget5[[#This Row],[Actual Cost]]-tblBudget5[[#This Row],[Budgeted Cost]]</f>
        <v>-34347</v>
      </c>
      <c r="G34" s="8">
        <f>tblBudget5[[#This Row],[Variance $]]/tblBudget5[[#This Row],[Budgeted Cost]]</f>
        <v>-0.47835048674846453</v>
      </c>
    </row>
    <row r="35" spans="1:7" x14ac:dyDescent="0.25">
      <c r="A35" s="1" t="s">
        <v>14</v>
      </c>
      <c r="B35" s="1" t="s">
        <v>5</v>
      </c>
      <c r="C35" s="1" t="s">
        <v>7</v>
      </c>
      <c r="D35" s="7">
        <v>19007</v>
      </c>
      <c r="E35" s="7">
        <f>SUMIFS(tblActuals[Amount], tblActuals[Month], A35, tblActuals[Department], B35, tblActuals[Cost Category],C35)</f>
        <v>50281</v>
      </c>
      <c r="F35" s="7">
        <f>tblBudget5[[#This Row],[Actual Cost]]-tblBudget5[[#This Row],[Budgeted Cost]]</f>
        <v>31274</v>
      </c>
      <c r="G35" s="8">
        <f>tblBudget5[[#This Row],[Variance $]]/tblBudget5[[#This Row],[Budgeted Cost]]</f>
        <v>1.6453938022833692</v>
      </c>
    </row>
    <row r="36" spans="1:7" x14ac:dyDescent="0.25">
      <c r="A36" s="1" t="s">
        <v>14</v>
      </c>
      <c r="B36" s="1" t="s">
        <v>5</v>
      </c>
      <c r="C36" s="1" t="s">
        <v>8</v>
      </c>
      <c r="D36" s="7">
        <v>16519</v>
      </c>
      <c r="E36" s="7">
        <f>SUMIFS(tblActuals[Amount], tblActuals[Month], A36, tblActuals[Department], B36, tblActuals[Cost Category],C36)</f>
        <v>36386</v>
      </c>
      <c r="F36" s="7">
        <f>tblBudget5[[#This Row],[Actual Cost]]-tblBudget5[[#This Row],[Budgeted Cost]]</f>
        <v>19867</v>
      </c>
      <c r="G36" s="8">
        <f>tblBudget5[[#This Row],[Variance $]]/tblBudget5[[#This Row],[Budgeted Cost]]</f>
        <v>1.2026757067619105</v>
      </c>
    </row>
    <row r="37" spans="1:7" x14ac:dyDescent="0.25">
      <c r="A37" s="1" t="s">
        <v>14</v>
      </c>
      <c r="B37" s="1" t="s">
        <v>5</v>
      </c>
      <c r="C37" s="1" t="s">
        <v>9</v>
      </c>
      <c r="D37" s="7">
        <v>17712</v>
      </c>
      <c r="E37" s="7">
        <f>SUMIFS(tblActuals[Amount], tblActuals[Month], A37, tblActuals[Department], B37, tblActuals[Cost Category],C37)</f>
        <v>47451</v>
      </c>
      <c r="F37" s="7">
        <f>tblBudget5[[#This Row],[Actual Cost]]-tblBudget5[[#This Row],[Budgeted Cost]]</f>
        <v>29739</v>
      </c>
      <c r="G37" s="8">
        <f>tblBudget5[[#This Row],[Variance $]]/tblBudget5[[#This Row],[Budgeted Cost]]</f>
        <v>1.6790311653116532</v>
      </c>
    </row>
    <row r="38" spans="1:7" x14ac:dyDescent="0.25">
      <c r="A38" s="1" t="s">
        <v>14</v>
      </c>
      <c r="B38" s="1" t="s">
        <v>10</v>
      </c>
      <c r="C38" s="1" t="s">
        <v>6</v>
      </c>
      <c r="D38" s="7">
        <v>55037</v>
      </c>
      <c r="E38" s="7">
        <f>SUMIFS(tblActuals[Amount], tblActuals[Month], A38, tblActuals[Department], B38, tblActuals[Cost Category],C38)</f>
        <v>48127</v>
      </c>
      <c r="F38" s="7">
        <f>tblBudget5[[#This Row],[Actual Cost]]-tblBudget5[[#This Row],[Budgeted Cost]]</f>
        <v>-6910</v>
      </c>
      <c r="G38" s="8">
        <f>tblBudget5[[#This Row],[Variance $]]/tblBudget5[[#This Row],[Budgeted Cost]]</f>
        <v>-0.12555190144811673</v>
      </c>
    </row>
    <row r="39" spans="1:7" x14ac:dyDescent="0.25">
      <c r="A39" s="1" t="s">
        <v>14</v>
      </c>
      <c r="B39" s="1" t="s">
        <v>10</v>
      </c>
      <c r="C39" s="1" t="s">
        <v>7</v>
      </c>
      <c r="D39" s="7">
        <v>14576</v>
      </c>
      <c r="E39" s="7">
        <f>SUMIFS(tblActuals[Amount], tblActuals[Month], A39, tblActuals[Department], B39, tblActuals[Cost Category],C39)</f>
        <v>48704</v>
      </c>
      <c r="F39" s="7">
        <f>tblBudget5[[#This Row],[Actual Cost]]-tblBudget5[[#This Row],[Budgeted Cost]]</f>
        <v>34128</v>
      </c>
      <c r="G39" s="8">
        <f>tblBudget5[[#This Row],[Variance $]]/tblBudget5[[#This Row],[Budgeted Cost]]</f>
        <v>2.341383095499451</v>
      </c>
    </row>
    <row r="40" spans="1:7" x14ac:dyDescent="0.25">
      <c r="A40" s="1" t="s">
        <v>14</v>
      </c>
      <c r="B40" s="1" t="s">
        <v>10</v>
      </c>
      <c r="C40" s="1" t="s">
        <v>8</v>
      </c>
      <c r="D40" s="7">
        <v>8473</v>
      </c>
      <c r="E40" s="7">
        <f>SUMIFS(tblActuals[Amount], tblActuals[Month], A40, tblActuals[Department], B40, tblActuals[Cost Category],C40)</f>
        <v>31258</v>
      </c>
      <c r="F40" s="7">
        <f>tblBudget5[[#This Row],[Actual Cost]]-tblBudget5[[#This Row],[Budgeted Cost]]</f>
        <v>22785</v>
      </c>
      <c r="G40" s="8">
        <f>tblBudget5[[#This Row],[Variance $]]/tblBudget5[[#This Row],[Budgeted Cost]]</f>
        <v>2.6891301782131478</v>
      </c>
    </row>
    <row r="41" spans="1:7" x14ac:dyDescent="0.25">
      <c r="A41" s="1" t="s">
        <v>14</v>
      </c>
      <c r="B41" s="1" t="s">
        <v>10</v>
      </c>
      <c r="C41" s="1" t="s">
        <v>9</v>
      </c>
      <c r="D41" s="7">
        <v>11513</v>
      </c>
      <c r="E41" s="7">
        <f>SUMIFS(tblActuals[Amount], tblActuals[Month], A41, tblActuals[Department], B41, tblActuals[Cost Category],C41)</f>
        <v>40259</v>
      </c>
      <c r="F41" s="7">
        <f>tblBudget5[[#This Row],[Actual Cost]]-tblBudget5[[#This Row],[Budgeted Cost]]</f>
        <v>28746</v>
      </c>
      <c r="G41" s="8">
        <f>tblBudget5[[#This Row],[Variance $]]/tblBudget5[[#This Row],[Budgeted Cost]]</f>
        <v>2.496829670806914</v>
      </c>
    </row>
    <row r="42" spans="1:7" x14ac:dyDescent="0.25">
      <c r="A42" s="1" t="s">
        <v>14</v>
      </c>
      <c r="B42" s="1" t="s">
        <v>11</v>
      </c>
      <c r="C42" s="1" t="s">
        <v>6</v>
      </c>
      <c r="D42" s="7">
        <v>81007</v>
      </c>
      <c r="E42" s="7">
        <f>SUMIFS(tblActuals[Amount], tblActuals[Month], A42, tblActuals[Department], B42, tblActuals[Cost Category],C42)</f>
        <v>36974</v>
      </c>
      <c r="F42" s="7">
        <f>tblBudget5[[#This Row],[Actual Cost]]-tblBudget5[[#This Row],[Budgeted Cost]]</f>
        <v>-44033</v>
      </c>
      <c r="G42" s="8">
        <f>tblBudget5[[#This Row],[Variance $]]/tblBudget5[[#This Row],[Budgeted Cost]]</f>
        <v>-0.54357030873875101</v>
      </c>
    </row>
    <row r="43" spans="1:7" x14ac:dyDescent="0.25">
      <c r="A43" s="1" t="s">
        <v>14</v>
      </c>
      <c r="B43" s="1" t="s">
        <v>11</v>
      </c>
      <c r="C43" s="1" t="s">
        <v>7</v>
      </c>
      <c r="D43" s="7">
        <v>20337</v>
      </c>
      <c r="E43" s="7">
        <f>SUMIFS(tblActuals[Amount], tblActuals[Month], A43, tblActuals[Department], B43, tblActuals[Cost Category],C43)</f>
        <v>38277</v>
      </c>
      <c r="F43" s="7">
        <f>tblBudget5[[#This Row],[Actual Cost]]-tblBudget5[[#This Row],[Budgeted Cost]]</f>
        <v>17940</v>
      </c>
      <c r="G43" s="8">
        <f>tblBudget5[[#This Row],[Variance $]]/tblBudget5[[#This Row],[Budgeted Cost]]</f>
        <v>0.8821360082608054</v>
      </c>
    </row>
    <row r="44" spans="1:7" x14ac:dyDescent="0.25">
      <c r="A44" s="1" t="s">
        <v>14</v>
      </c>
      <c r="B44" s="1" t="s">
        <v>11</v>
      </c>
      <c r="C44" s="1" t="s">
        <v>8</v>
      </c>
      <c r="D44" s="7">
        <v>12759</v>
      </c>
      <c r="E44" s="7">
        <f>SUMIFS(tblActuals[Amount], tblActuals[Month], A44, tblActuals[Department], B44, tblActuals[Cost Category],C44)</f>
        <v>44871</v>
      </c>
      <c r="F44" s="7">
        <f>tblBudget5[[#This Row],[Actual Cost]]-tblBudget5[[#This Row],[Budgeted Cost]]</f>
        <v>32112</v>
      </c>
      <c r="G44" s="8">
        <f>tblBudget5[[#This Row],[Variance $]]/tblBudget5[[#This Row],[Budgeted Cost]]</f>
        <v>2.516811662355984</v>
      </c>
    </row>
    <row r="45" spans="1:7" x14ac:dyDescent="0.25">
      <c r="A45" s="1" t="s">
        <v>14</v>
      </c>
      <c r="B45" s="1" t="s">
        <v>11</v>
      </c>
      <c r="C45" s="1" t="s">
        <v>9</v>
      </c>
      <c r="D45" s="7">
        <v>18862</v>
      </c>
      <c r="E45" s="7">
        <f>SUMIFS(tblActuals[Amount], tblActuals[Month], A45, tblActuals[Department], B45, tblActuals[Cost Category],C45)</f>
        <v>34531</v>
      </c>
      <c r="F45" s="7">
        <f>tblBudget5[[#This Row],[Actual Cost]]-tblBudget5[[#This Row],[Budgeted Cost]]</f>
        <v>15669</v>
      </c>
      <c r="G45" s="8">
        <f>tblBudget5[[#This Row],[Variance $]]/tblBudget5[[#This Row],[Budgeted Cost]]</f>
        <v>0.83071784540345672</v>
      </c>
    </row>
    <row r="46" spans="1:7" x14ac:dyDescent="0.25">
      <c r="A46" s="1" t="s">
        <v>14</v>
      </c>
      <c r="B46" s="1" t="s">
        <v>12</v>
      </c>
      <c r="C46" s="1" t="s">
        <v>6</v>
      </c>
      <c r="D46" s="7">
        <v>66042</v>
      </c>
      <c r="E46" s="7">
        <f>SUMIFS(tblActuals[Amount], tblActuals[Month], A46, tblActuals[Department], B46, tblActuals[Cost Category],C46)</f>
        <v>37967</v>
      </c>
      <c r="F46" s="7">
        <f>tblBudget5[[#This Row],[Actual Cost]]-tblBudget5[[#This Row],[Budgeted Cost]]</f>
        <v>-28075</v>
      </c>
      <c r="G46" s="8">
        <f>tblBudget5[[#This Row],[Variance $]]/tblBudget5[[#This Row],[Budgeted Cost]]</f>
        <v>-0.42510826443778199</v>
      </c>
    </row>
    <row r="47" spans="1:7" x14ac:dyDescent="0.25">
      <c r="A47" s="1" t="s">
        <v>14</v>
      </c>
      <c r="B47" s="1" t="s">
        <v>12</v>
      </c>
      <c r="C47" s="1" t="s">
        <v>7</v>
      </c>
      <c r="D47" s="7">
        <v>18840</v>
      </c>
      <c r="E47" s="7">
        <f>SUMIFS(tblActuals[Amount], tblActuals[Month], A47, tblActuals[Department], B47, tblActuals[Cost Category],C47)</f>
        <v>23396</v>
      </c>
      <c r="F47" s="7">
        <f>tblBudget5[[#This Row],[Actual Cost]]-tblBudget5[[#This Row],[Budgeted Cost]]</f>
        <v>4556</v>
      </c>
      <c r="G47" s="8">
        <f>tblBudget5[[#This Row],[Variance $]]/tblBudget5[[#This Row],[Budgeted Cost]]</f>
        <v>0.24182590233545648</v>
      </c>
    </row>
    <row r="48" spans="1:7" x14ac:dyDescent="0.25">
      <c r="A48" s="1" t="s">
        <v>14</v>
      </c>
      <c r="B48" s="1" t="s">
        <v>12</v>
      </c>
      <c r="C48" s="1" t="s">
        <v>8</v>
      </c>
      <c r="D48" s="7">
        <v>12417</v>
      </c>
      <c r="E48" s="7">
        <f>SUMIFS(tblActuals[Amount], tblActuals[Month], A48, tblActuals[Department], B48, tblActuals[Cost Category],C48)</f>
        <v>33409</v>
      </c>
      <c r="F48" s="7">
        <f>tblBudget5[[#This Row],[Actual Cost]]-tblBudget5[[#This Row],[Budgeted Cost]]</f>
        <v>20992</v>
      </c>
      <c r="G48" s="8">
        <f>tblBudget5[[#This Row],[Variance $]]/tblBudget5[[#This Row],[Budgeted Cost]]</f>
        <v>1.6905854876379158</v>
      </c>
    </row>
    <row r="49" spans="1:7" x14ac:dyDescent="0.25">
      <c r="A49" s="1" t="s">
        <v>14</v>
      </c>
      <c r="B49" s="1" t="s">
        <v>12</v>
      </c>
      <c r="C49" s="1" t="s">
        <v>9</v>
      </c>
      <c r="D49" s="7">
        <v>17695</v>
      </c>
      <c r="E49" s="7">
        <f>SUMIFS(tblActuals[Amount], tblActuals[Month], A49, tblActuals[Department], B49, tblActuals[Cost Category],C49)</f>
        <v>39962</v>
      </c>
      <c r="F49" s="7">
        <f>tblBudget5[[#This Row],[Actual Cost]]-tblBudget5[[#This Row],[Budgeted Cost]]</f>
        <v>22267</v>
      </c>
      <c r="G49" s="8">
        <f>tblBudget5[[#This Row],[Variance $]]/tblBudget5[[#This Row],[Budgeted Cost]]</f>
        <v>1.2583780729019498</v>
      </c>
    </row>
    <row r="50" spans="1:7" x14ac:dyDescent="0.25">
      <c r="A50" s="1" t="s">
        <v>15</v>
      </c>
      <c r="B50" s="1" t="s">
        <v>5</v>
      </c>
      <c r="C50" s="1" t="s">
        <v>6</v>
      </c>
      <c r="D50" s="7">
        <v>73916</v>
      </c>
      <c r="E50" s="7">
        <f>SUMIFS(tblActuals[Amount], tblActuals[Month], A50, tblActuals[Department], B50, tblActuals[Cost Category],C50)</f>
        <v>54695</v>
      </c>
      <c r="F50" s="7">
        <f>tblBudget5[[#This Row],[Actual Cost]]-tblBudget5[[#This Row],[Budgeted Cost]]</f>
        <v>-19221</v>
      </c>
      <c r="G50" s="8">
        <f>tblBudget5[[#This Row],[Variance $]]/tblBudget5[[#This Row],[Budgeted Cost]]</f>
        <v>-0.26003842199253208</v>
      </c>
    </row>
    <row r="51" spans="1:7" x14ac:dyDescent="0.25">
      <c r="A51" s="1" t="s">
        <v>15</v>
      </c>
      <c r="B51" s="1" t="s">
        <v>5</v>
      </c>
      <c r="C51" s="1" t="s">
        <v>7</v>
      </c>
      <c r="D51" s="7">
        <v>18055</v>
      </c>
      <c r="E51" s="7">
        <f>SUMIFS(tblActuals[Amount], tblActuals[Month], A51, tblActuals[Department], B51, tblActuals[Cost Category],C51)</f>
        <v>48538</v>
      </c>
      <c r="F51" s="7">
        <f>tblBudget5[[#This Row],[Actual Cost]]-tblBudget5[[#This Row],[Budgeted Cost]]</f>
        <v>30483</v>
      </c>
      <c r="G51" s="8">
        <f>tblBudget5[[#This Row],[Variance $]]/tblBudget5[[#This Row],[Budgeted Cost]]</f>
        <v>1.688341179728607</v>
      </c>
    </row>
    <row r="52" spans="1:7" x14ac:dyDescent="0.25">
      <c r="A52" s="1" t="s">
        <v>15</v>
      </c>
      <c r="B52" s="1" t="s">
        <v>5</v>
      </c>
      <c r="C52" s="1" t="s">
        <v>8</v>
      </c>
      <c r="D52" s="7">
        <v>16777</v>
      </c>
      <c r="E52" s="7">
        <f>SUMIFS(tblActuals[Amount], tblActuals[Month], A52, tblActuals[Department], B52, tblActuals[Cost Category],C52)</f>
        <v>38134</v>
      </c>
      <c r="F52" s="7">
        <f>tblBudget5[[#This Row],[Actual Cost]]-tblBudget5[[#This Row],[Budgeted Cost]]</f>
        <v>21357</v>
      </c>
      <c r="G52" s="8">
        <f>tblBudget5[[#This Row],[Variance $]]/tblBudget5[[#This Row],[Budgeted Cost]]</f>
        <v>1.2729927877451273</v>
      </c>
    </row>
    <row r="53" spans="1:7" x14ac:dyDescent="0.25">
      <c r="A53" s="1" t="s">
        <v>15</v>
      </c>
      <c r="B53" s="1" t="s">
        <v>5</v>
      </c>
      <c r="C53" s="1" t="s">
        <v>9</v>
      </c>
      <c r="D53" s="7">
        <v>18013</v>
      </c>
      <c r="E53" s="7">
        <f>SUMIFS(tblActuals[Amount], tblActuals[Month], A53, tblActuals[Department], B53, tblActuals[Cost Category],C53)</f>
        <v>46264</v>
      </c>
      <c r="F53" s="7">
        <f>tblBudget5[[#This Row],[Actual Cost]]-tblBudget5[[#This Row],[Budgeted Cost]]</f>
        <v>28251</v>
      </c>
      <c r="G53" s="8">
        <f>tblBudget5[[#This Row],[Variance $]]/tblBudget5[[#This Row],[Budgeted Cost]]</f>
        <v>1.5683672902903458</v>
      </c>
    </row>
    <row r="54" spans="1:7" x14ac:dyDescent="0.25">
      <c r="A54" s="1" t="s">
        <v>15</v>
      </c>
      <c r="B54" s="1" t="s">
        <v>10</v>
      </c>
      <c r="C54" s="1" t="s">
        <v>6</v>
      </c>
      <c r="D54" s="7">
        <v>56642</v>
      </c>
      <c r="E54" s="7">
        <f>SUMIFS(tblActuals[Amount], tblActuals[Month], A54, tblActuals[Department], B54, tblActuals[Cost Category],C54)</f>
        <v>46001</v>
      </c>
      <c r="F54" s="7">
        <f>tblBudget5[[#This Row],[Actual Cost]]-tblBudget5[[#This Row],[Budgeted Cost]]</f>
        <v>-10641</v>
      </c>
      <c r="G54" s="8">
        <f>tblBudget5[[#This Row],[Variance $]]/tblBudget5[[#This Row],[Budgeted Cost]]</f>
        <v>-0.18786412909148689</v>
      </c>
    </row>
    <row r="55" spans="1:7" x14ac:dyDescent="0.25">
      <c r="A55" s="1" t="s">
        <v>15</v>
      </c>
      <c r="B55" s="1" t="s">
        <v>10</v>
      </c>
      <c r="C55" s="1" t="s">
        <v>7</v>
      </c>
      <c r="D55" s="7">
        <v>13322</v>
      </c>
      <c r="E55" s="7">
        <f>SUMIFS(tblActuals[Amount], tblActuals[Month], A55, tblActuals[Department], B55, tblActuals[Cost Category],C55)</f>
        <v>42836</v>
      </c>
      <c r="F55" s="7">
        <f>tblBudget5[[#This Row],[Actual Cost]]-tblBudget5[[#This Row],[Budgeted Cost]]</f>
        <v>29514</v>
      </c>
      <c r="G55" s="8">
        <f>tblBudget5[[#This Row],[Variance $]]/tblBudget5[[#This Row],[Budgeted Cost]]</f>
        <v>2.2154331181504276</v>
      </c>
    </row>
    <row r="56" spans="1:7" x14ac:dyDescent="0.25">
      <c r="A56" s="1" t="s">
        <v>15</v>
      </c>
      <c r="B56" s="1" t="s">
        <v>10</v>
      </c>
      <c r="C56" s="1" t="s">
        <v>8</v>
      </c>
      <c r="D56" s="7">
        <v>10300</v>
      </c>
      <c r="E56" s="7">
        <f>SUMIFS(tblActuals[Amount], tblActuals[Month], A56, tblActuals[Department], B56, tblActuals[Cost Category],C56)</f>
        <v>47679</v>
      </c>
      <c r="F56" s="7">
        <f>tblBudget5[[#This Row],[Actual Cost]]-tblBudget5[[#This Row],[Budgeted Cost]]</f>
        <v>37379</v>
      </c>
      <c r="G56" s="8">
        <f>tblBudget5[[#This Row],[Variance $]]/tblBudget5[[#This Row],[Budgeted Cost]]</f>
        <v>3.6290291262135921</v>
      </c>
    </row>
    <row r="57" spans="1:7" x14ac:dyDescent="0.25">
      <c r="A57" s="1" t="s">
        <v>15</v>
      </c>
      <c r="B57" s="1" t="s">
        <v>10</v>
      </c>
      <c r="C57" s="1" t="s">
        <v>9</v>
      </c>
      <c r="D57" s="7">
        <v>10395</v>
      </c>
      <c r="E57" s="7">
        <f>SUMIFS(tblActuals[Amount], tblActuals[Month], A57, tblActuals[Department], B57, tblActuals[Cost Category],C57)</f>
        <v>41994</v>
      </c>
      <c r="F57" s="7">
        <f>tblBudget5[[#This Row],[Actual Cost]]-tblBudget5[[#This Row],[Budgeted Cost]]</f>
        <v>31599</v>
      </c>
      <c r="G57" s="8">
        <f>tblBudget5[[#This Row],[Variance $]]/tblBudget5[[#This Row],[Budgeted Cost]]</f>
        <v>3.0398268398268398</v>
      </c>
    </row>
    <row r="58" spans="1:7" x14ac:dyDescent="0.25">
      <c r="A58" s="1" t="s">
        <v>15</v>
      </c>
      <c r="B58" s="1" t="s">
        <v>11</v>
      </c>
      <c r="C58" s="1" t="s">
        <v>6</v>
      </c>
      <c r="D58" s="7">
        <v>82772</v>
      </c>
      <c r="E58" s="7">
        <f>SUMIFS(tblActuals[Amount], tblActuals[Month], A58, tblActuals[Department], B58, tblActuals[Cost Category],C58)</f>
        <v>51907</v>
      </c>
      <c r="F58" s="7">
        <f>tblBudget5[[#This Row],[Actual Cost]]-tblBudget5[[#This Row],[Budgeted Cost]]</f>
        <v>-30865</v>
      </c>
      <c r="G58" s="8">
        <f>tblBudget5[[#This Row],[Variance $]]/tblBudget5[[#This Row],[Budgeted Cost]]</f>
        <v>-0.37289179915913595</v>
      </c>
    </row>
    <row r="59" spans="1:7" x14ac:dyDescent="0.25">
      <c r="A59" s="1" t="s">
        <v>15</v>
      </c>
      <c r="B59" s="1" t="s">
        <v>11</v>
      </c>
      <c r="C59" s="1" t="s">
        <v>7</v>
      </c>
      <c r="D59" s="7">
        <v>21901</v>
      </c>
      <c r="E59" s="7">
        <f>SUMIFS(tblActuals[Amount], tblActuals[Month], A59, tblActuals[Department], B59, tblActuals[Cost Category],C59)</f>
        <v>33247</v>
      </c>
      <c r="F59" s="7">
        <f>tblBudget5[[#This Row],[Actual Cost]]-tblBudget5[[#This Row],[Budgeted Cost]]</f>
        <v>11346</v>
      </c>
      <c r="G59" s="8">
        <f>tblBudget5[[#This Row],[Variance $]]/tblBudget5[[#This Row],[Budgeted Cost]]</f>
        <v>0.51805853613990227</v>
      </c>
    </row>
    <row r="60" spans="1:7" x14ac:dyDescent="0.25">
      <c r="A60" s="1" t="s">
        <v>15</v>
      </c>
      <c r="B60" s="1" t="s">
        <v>11</v>
      </c>
      <c r="C60" s="1" t="s">
        <v>8</v>
      </c>
      <c r="D60" s="7">
        <v>17149</v>
      </c>
      <c r="E60" s="7">
        <f>SUMIFS(tblActuals[Amount], tblActuals[Month], A60, tblActuals[Department], B60, tblActuals[Cost Category],C60)</f>
        <v>48781</v>
      </c>
      <c r="F60" s="7">
        <f>tblBudget5[[#This Row],[Actual Cost]]-tblBudget5[[#This Row],[Budgeted Cost]]</f>
        <v>31632</v>
      </c>
      <c r="G60" s="8">
        <f>tblBudget5[[#This Row],[Variance $]]/tblBudget5[[#This Row],[Budgeted Cost]]</f>
        <v>1.8445390401772699</v>
      </c>
    </row>
    <row r="61" spans="1:7" x14ac:dyDescent="0.25">
      <c r="A61" s="1" t="s">
        <v>15</v>
      </c>
      <c r="B61" s="1" t="s">
        <v>11</v>
      </c>
      <c r="C61" s="1" t="s">
        <v>9</v>
      </c>
      <c r="D61" s="7">
        <v>20816</v>
      </c>
      <c r="E61" s="7">
        <f>SUMIFS(tblActuals[Amount], tblActuals[Month], A61, tblActuals[Department], B61, tblActuals[Cost Category],C61)</f>
        <v>34944</v>
      </c>
      <c r="F61" s="7">
        <f>tblBudget5[[#This Row],[Actual Cost]]-tblBudget5[[#This Row],[Budgeted Cost]]</f>
        <v>14128</v>
      </c>
      <c r="G61" s="8">
        <f>tblBudget5[[#This Row],[Variance $]]/tblBudget5[[#This Row],[Budgeted Cost]]</f>
        <v>0.67870868562644115</v>
      </c>
    </row>
    <row r="62" spans="1:7" x14ac:dyDescent="0.25">
      <c r="A62" s="1" t="s">
        <v>15</v>
      </c>
      <c r="B62" s="1" t="s">
        <v>12</v>
      </c>
      <c r="C62" s="1" t="s">
        <v>6</v>
      </c>
      <c r="D62" s="7">
        <v>68212</v>
      </c>
      <c r="E62" s="7">
        <f>SUMIFS(tblActuals[Amount], tblActuals[Month], A62, tblActuals[Department], B62, tblActuals[Cost Category],C62)</f>
        <v>36166</v>
      </c>
      <c r="F62" s="7">
        <f>tblBudget5[[#This Row],[Actual Cost]]-tblBudget5[[#This Row],[Budgeted Cost]]</f>
        <v>-32046</v>
      </c>
      <c r="G62" s="8">
        <f>tblBudget5[[#This Row],[Variance $]]/tblBudget5[[#This Row],[Budgeted Cost]]</f>
        <v>-0.46980003518442504</v>
      </c>
    </row>
    <row r="63" spans="1:7" x14ac:dyDescent="0.25">
      <c r="A63" s="1" t="s">
        <v>15</v>
      </c>
      <c r="B63" s="1" t="s">
        <v>12</v>
      </c>
      <c r="C63" s="1" t="s">
        <v>7</v>
      </c>
      <c r="D63" s="7">
        <v>20629</v>
      </c>
      <c r="E63" s="7">
        <f>SUMIFS(tblActuals[Amount], tblActuals[Month], A63, tblActuals[Department], B63, tblActuals[Cost Category],C63)</f>
        <v>38728</v>
      </c>
      <c r="F63" s="7">
        <f>tblBudget5[[#This Row],[Actual Cost]]-tblBudget5[[#This Row],[Budgeted Cost]]</f>
        <v>18099</v>
      </c>
      <c r="G63" s="8">
        <f>tblBudget5[[#This Row],[Variance $]]/tblBudget5[[#This Row],[Budgeted Cost]]</f>
        <v>0.87735711861941923</v>
      </c>
    </row>
    <row r="64" spans="1:7" x14ac:dyDescent="0.25">
      <c r="A64" s="1" t="s">
        <v>15</v>
      </c>
      <c r="B64" s="1" t="s">
        <v>12</v>
      </c>
      <c r="C64" s="1" t="s">
        <v>8</v>
      </c>
      <c r="D64" s="7">
        <v>11175</v>
      </c>
      <c r="E64" s="7">
        <f>SUMIFS(tblActuals[Amount], tblActuals[Month], A64, tblActuals[Department], B64, tblActuals[Cost Category],C64)</f>
        <v>55813</v>
      </c>
      <c r="F64" s="7">
        <f>tblBudget5[[#This Row],[Actual Cost]]-tblBudget5[[#This Row],[Budgeted Cost]]</f>
        <v>44638</v>
      </c>
      <c r="G64" s="8">
        <f>tblBudget5[[#This Row],[Variance $]]/tblBudget5[[#This Row],[Budgeted Cost]]</f>
        <v>3.9944519015659954</v>
      </c>
    </row>
    <row r="65" spans="1:7" x14ac:dyDescent="0.25">
      <c r="A65" s="1" t="s">
        <v>15</v>
      </c>
      <c r="B65" s="1" t="s">
        <v>12</v>
      </c>
      <c r="C65" s="1" t="s">
        <v>9</v>
      </c>
      <c r="D65" s="7">
        <v>18521</v>
      </c>
      <c r="E65" s="7">
        <f>SUMIFS(tblActuals[Amount], tblActuals[Month], A65, tblActuals[Department], B65, tblActuals[Cost Category],C65)</f>
        <v>40204</v>
      </c>
      <c r="F65" s="7">
        <f>tblBudget5[[#This Row],[Actual Cost]]-tblBudget5[[#This Row],[Budgeted Cost]]</f>
        <v>21683</v>
      </c>
      <c r="G65" s="8">
        <f>tblBudget5[[#This Row],[Variance $]]/tblBudget5[[#This Row],[Budgeted Cost]]</f>
        <v>1.1707251228335402</v>
      </c>
    </row>
    <row r="66" spans="1:7" x14ac:dyDescent="0.25">
      <c r="A66" s="1" t="s">
        <v>16</v>
      </c>
      <c r="B66" s="1" t="s">
        <v>5</v>
      </c>
      <c r="C66" s="1" t="s">
        <v>6</v>
      </c>
      <c r="D66" s="7">
        <v>72319</v>
      </c>
      <c r="E66" s="7">
        <f>SUMIFS(tblActuals[Amount], tblActuals[Month], A66, tblActuals[Department], B66, tblActuals[Cost Category],C66)</f>
        <v>40449</v>
      </c>
      <c r="F66" s="7">
        <f>tblBudget5[[#This Row],[Actual Cost]]-tblBudget5[[#This Row],[Budgeted Cost]]</f>
        <v>-31870</v>
      </c>
      <c r="G66" s="8">
        <f>tblBudget5[[#This Row],[Variance $]]/tblBudget5[[#This Row],[Budgeted Cost]]</f>
        <v>-0.44068640329650577</v>
      </c>
    </row>
    <row r="67" spans="1:7" x14ac:dyDescent="0.25">
      <c r="A67" s="1" t="s">
        <v>16</v>
      </c>
      <c r="B67" s="1" t="s">
        <v>5</v>
      </c>
      <c r="C67" s="1" t="s">
        <v>7</v>
      </c>
      <c r="D67" s="7">
        <v>18075</v>
      </c>
      <c r="E67" s="7">
        <f>SUMIFS(tblActuals[Amount], tblActuals[Month], A67, tblActuals[Department], B67, tblActuals[Cost Category],C67)</f>
        <v>46055</v>
      </c>
      <c r="F67" s="7">
        <f>tblBudget5[[#This Row],[Actual Cost]]-tblBudget5[[#This Row],[Budgeted Cost]]</f>
        <v>27980</v>
      </c>
      <c r="G67" s="8">
        <f>tblBudget5[[#This Row],[Variance $]]/tblBudget5[[#This Row],[Budgeted Cost]]</f>
        <v>1.5479944674965422</v>
      </c>
    </row>
    <row r="68" spans="1:7" x14ac:dyDescent="0.25">
      <c r="A68" s="1" t="s">
        <v>16</v>
      </c>
      <c r="B68" s="1" t="s">
        <v>5</v>
      </c>
      <c r="C68" s="1" t="s">
        <v>8</v>
      </c>
      <c r="D68" s="7">
        <v>16217</v>
      </c>
      <c r="E68" s="7">
        <f>SUMIFS(tblActuals[Amount], tblActuals[Month], A68, tblActuals[Department], B68, tblActuals[Cost Category],C68)</f>
        <v>34309</v>
      </c>
      <c r="F68" s="7">
        <f>tblBudget5[[#This Row],[Actual Cost]]-tblBudget5[[#This Row],[Budgeted Cost]]</f>
        <v>18092</v>
      </c>
      <c r="G68" s="8">
        <f>tblBudget5[[#This Row],[Variance $]]/tblBudget5[[#This Row],[Budgeted Cost]]</f>
        <v>1.115619411728433</v>
      </c>
    </row>
    <row r="69" spans="1:7" x14ac:dyDescent="0.25">
      <c r="A69" s="1" t="s">
        <v>16</v>
      </c>
      <c r="B69" s="1" t="s">
        <v>5</v>
      </c>
      <c r="C69" s="1" t="s">
        <v>9</v>
      </c>
      <c r="D69" s="7">
        <v>16116</v>
      </c>
      <c r="E69" s="7">
        <f>SUMIFS(tblActuals[Amount], tblActuals[Month], A69, tblActuals[Department], B69, tblActuals[Cost Category],C69)</f>
        <v>41545</v>
      </c>
      <c r="F69" s="7">
        <f>tblBudget5[[#This Row],[Actual Cost]]-tblBudget5[[#This Row],[Budgeted Cost]]</f>
        <v>25429</v>
      </c>
      <c r="G69" s="8">
        <f>tblBudget5[[#This Row],[Variance $]]/tblBudget5[[#This Row],[Budgeted Cost]]</f>
        <v>1.577872921320427</v>
      </c>
    </row>
    <row r="70" spans="1:7" x14ac:dyDescent="0.25">
      <c r="A70" s="1" t="s">
        <v>16</v>
      </c>
      <c r="B70" s="1" t="s">
        <v>10</v>
      </c>
      <c r="C70" s="1" t="s">
        <v>6</v>
      </c>
      <c r="D70" s="7">
        <v>54620</v>
      </c>
      <c r="E70" s="7">
        <f>SUMIFS(tblActuals[Amount], tblActuals[Month], A70, tblActuals[Department], B70, tblActuals[Cost Category],C70)</f>
        <v>38835</v>
      </c>
      <c r="F70" s="7">
        <f>tblBudget5[[#This Row],[Actual Cost]]-tblBudget5[[#This Row],[Budgeted Cost]]</f>
        <v>-15785</v>
      </c>
      <c r="G70" s="8">
        <f>tblBudget5[[#This Row],[Variance $]]/tblBudget5[[#This Row],[Budgeted Cost]]</f>
        <v>-0.28899670450384474</v>
      </c>
    </row>
    <row r="71" spans="1:7" x14ac:dyDescent="0.25">
      <c r="A71" s="1" t="s">
        <v>16</v>
      </c>
      <c r="B71" s="1" t="s">
        <v>10</v>
      </c>
      <c r="C71" s="1" t="s">
        <v>7</v>
      </c>
      <c r="D71" s="7">
        <v>12953</v>
      </c>
      <c r="E71" s="7">
        <f>SUMIFS(tblActuals[Amount], tblActuals[Month], A71, tblActuals[Department], B71, tblActuals[Cost Category],C71)</f>
        <v>34056</v>
      </c>
      <c r="F71" s="7">
        <f>tblBudget5[[#This Row],[Actual Cost]]-tblBudget5[[#This Row],[Budgeted Cost]]</f>
        <v>21103</v>
      </c>
      <c r="G71" s="8">
        <f>tblBudget5[[#This Row],[Variance $]]/tblBudget5[[#This Row],[Budgeted Cost]]</f>
        <v>1.6291978692194857</v>
      </c>
    </row>
    <row r="72" spans="1:7" x14ac:dyDescent="0.25">
      <c r="A72" s="1" t="s">
        <v>16</v>
      </c>
      <c r="B72" s="1" t="s">
        <v>10</v>
      </c>
      <c r="C72" s="1" t="s">
        <v>8</v>
      </c>
      <c r="D72" s="7">
        <v>9107</v>
      </c>
      <c r="E72" s="7">
        <f>SUMIFS(tblActuals[Amount], tblActuals[Month], A72, tblActuals[Department], B72, tblActuals[Cost Category],C72)</f>
        <v>42782</v>
      </c>
      <c r="F72" s="7">
        <f>tblBudget5[[#This Row],[Actual Cost]]-tblBudget5[[#This Row],[Budgeted Cost]]</f>
        <v>33675</v>
      </c>
      <c r="G72" s="8">
        <f>tblBudget5[[#This Row],[Variance $]]/tblBudget5[[#This Row],[Budgeted Cost]]</f>
        <v>3.697705062040189</v>
      </c>
    </row>
    <row r="73" spans="1:7" x14ac:dyDescent="0.25">
      <c r="A73" s="1" t="s">
        <v>16</v>
      </c>
      <c r="B73" s="1" t="s">
        <v>10</v>
      </c>
      <c r="C73" s="1" t="s">
        <v>9</v>
      </c>
      <c r="D73" s="7">
        <v>10577</v>
      </c>
      <c r="E73" s="7">
        <f>SUMIFS(tblActuals[Amount], tblActuals[Month], A73, tblActuals[Department], B73, tblActuals[Cost Category],C73)</f>
        <v>43883</v>
      </c>
      <c r="F73" s="7">
        <f>tblBudget5[[#This Row],[Actual Cost]]-tblBudget5[[#This Row],[Budgeted Cost]]</f>
        <v>33306</v>
      </c>
      <c r="G73" s="8">
        <f>tblBudget5[[#This Row],[Variance $]]/tblBudget5[[#This Row],[Budgeted Cost]]</f>
        <v>3.1489080079417606</v>
      </c>
    </row>
    <row r="74" spans="1:7" x14ac:dyDescent="0.25">
      <c r="A74" s="1" t="s">
        <v>16</v>
      </c>
      <c r="B74" s="1" t="s">
        <v>11</v>
      </c>
      <c r="C74" s="1" t="s">
        <v>6</v>
      </c>
      <c r="D74" s="7">
        <v>81363</v>
      </c>
      <c r="E74" s="7">
        <f>SUMIFS(tblActuals[Amount], tblActuals[Month], A74, tblActuals[Department], B74, tblActuals[Cost Category],C74)</f>
        <v>32069</v>
      </c>
      <c r="F74" s="7">
        <f>tblBudget5[[#This Row],[Actual Cost]]-tblBudget5[[#This Row],[Budgeted Cost]]</f>
        <v>-49294</v>
      </c>
      <c r="G74" s="8">
        <f>tblBudget5[[#This Row],[Variance $]]/tblBudget5[[#This Row],[Budgeted Cost]]</f>
        <v>-0.60585278320612568</v>
      </c>
    </row>
    <row r="75" spans="1:7" x14ac:dyDescent="0.25">
      <c r="A75" s="1" t="s">
        <v>16</v>
      </c>
      <c r="B75" s="1" t="s">
        <v>11</v>
      </c>
      <c r="C75" s="1" t="s">
        <v>7</v>
      </c>
      <c r="D75" s="7">
        <v>21777</v>
      </c>
      <c r="E75" s="7">
        <f>SUMIFS(tblActuals[Amount], tblActuals[Month], A75, tblActuals[Department], B75, tblActuals[Cost Category],C75)</f>
        <v>49068</v>
      </c>
      <c r="F75" s="7">
        <f>tblBudget5[[#This Row],[Actual Cost]]-tblBudget5[[#This Row],[Budgeted Cost]]</f>
        <v>27291</v>
      </c>
      <c r="G75" s="8">
        <f>tblBudget5[[#This Row],[Variance $]]/tblBudget5[[#This Row],[Budgeted Cost]]</f>
        <v>1.2532029205124673</v>
      </c>
    </row>
    <row r="76" spans="1:7" x14ac:dyDescent="0.25">
      <c r="A76" s="1" t="s">
        <v>16</v>
      </c>
      <c r="B76" s="1" t="s">
        <v>11</v>
      </c>
      <c r="C76" s="1" t="s">
        <v>8</v>
      </c>
      <c r="D76" s="7">
        <v>15714</v>
      </c>
      <c r="E76" s="7">
        <f>SUMIFS(tblActuals[Amount], tblActuals[Month], A76, tblActuals[Department], B76, tblActuals[Cost Category],C76)</f>
        <v>44440</v>
      </c>
      <c r="F76" s="7">
        <f>tblBudget5[[#This Row],[Actual Cost]]-tblBudget5[[#This Row],[Budgeted Cost]]</f>
        <v>28726</v>
      </c>
      <c r="G76" s="8">
        <f>tblBudget5[[#This Row],[Variance $]]/tblBudget5[[#This Row],[Budgeted Cost]]</f>
        <v>1.8280514191167112</v>
      </c>
    </row>
    <row r="77" spans="1:7" x14ac:dyDescent="0.25">
      <c r="A77" s="1" t="s">
        <v>16</v>
      </c>
      <c r="B77" s="1" t="s">
        <v>11</v>
      </c>
      <c r="C77" s="1" t="s">
        <v>9</v>
      </c>
      <c r="D77" s="7">
        <v>20957</v>
      </c>
      <c r="E77" s="7">
        <f>SUMIFS(tblActuals[Amount], tblActuals[Month], A77, tblActuals[Department], B77, tblActuals[Cost Category],C77)</f>
        <v>34975</v>
      </c>
      <c r="F77" s="7">
        <f>tblBudget5[[#This Row],[Actual Cost]]-tblBudget5[[#This Row],[Budgeted Cost]]</f>
        <v>14018</v>
      </c>
      <c r="G77" s="8">
        <f>tblBudget5[[#This Row],[Variance $]]/tblBudget5[[#This Row],[Budgeted Cost]]</f>
        <v>0.66889344848976473</v>
      </c>
    </row>
    <row r="78" spans="1:7" x14ac:dyDescent="0.25">
      <c r="A78" s="1" t="s">
        <v>16</v>
      </c>
      <c r="B78" s="1" t="s">
        <v>12</v>
      </c>
      <c r="C78" s="1" t="s">
        <v>6</v>
      </c>
      <c r="D78" s="7">
        <v>68238</v>
      </c>
      <c r="E78" s="7">
        <f>SUMIFS(tblActuals[Amount], tblActuals[Month], A78, tblActuals[Department], B78, tblActuals[Cost Category],C78)</f>
        <v>41711</v>
      </c>
      <c r="F78" s="7">
        <f>tblBudget5[[#This Row],[Actual Cost]]-tblBudget5[[#This Row],[Budgeted Cost]]</f>
        <v>-26527</v>
      </c>
      <c r="G78" s="8">
        <f>tblBudget5[[#This Row],[Variance $]]/tblBudget5[[#This Row],[Budgeted Cost]]</f>
        <v>-0.38874234297605442</v>
      </c>
    </row>
    <row r="79" spans="1:7" x14ac:dyDescent="0.25">
      <c r="A79" s="1" t="s">
        <v>16</v>
      </c>
      <c r="B79" s="1" t="s">
        <v>12</v>
      </c>
      <c r="C79" s="1" t="s">
        <v>7</v>
      </c>
      <c r="D79" s="7">
        <v>17232</v>
      </c>
      <c r="E79" s="7">
        <f>SUMIFS(tblActuals[Amount], tblActuals[Month], A79, tblActuals[Department], B79, tblActuals[Cost Category],C79)</f>
        <v>41811</v>
      </c>
      <c r="F79" s="7">
        <f>tblBudget5[[#This Row],[Actual Cost]]-tblBudget5[[#This Row],[Budgeted Cost]]</f>
        <v>24579</v>
      </c>
      <c r="G79" s="8">
        <f>tblBudget5[[#This Row],[Variance $]]/tblBudget5[[#This Row],[Budgeted Cost]]</f>
        <v>1.4263579387186629</v>
      </c>
    </row>
    <row r="80" spans="1:7" x14ac:dyDescent="0.25">
      <c r="A80" s="1" t="s">
        <v>16</v>
      </c>
      <c r="B80" s="1" t="s">
        <v>12</v>
      </c>
      <c r="C80" s="1" t="s">
        <v>8</v>
      </c>
      <c r="D80" s="7">
        <v>12632</v>
      </c>
      <c r="E80" s="7">
        <f>SUMIFS(tblActuals[Amount], tblActuals[Month], A80, tblActuals[Department], B80, tblActuals[Cost Category],C80)</f>
        <v>51299</v>
      </c>
      <c r="F80" s="7">
        <f>tblBudget5[[#This Row],[Actual Cost]]-tblBudget5[[#This Row],[Budgeted Cost]]</f>
        <v>38667</v>
      </c>
      <c r="G80" s="8">
        <f>tblBudget5[[#This Row],[Variance $]]/tblBudget5[[#This Row],[Budgeted Cost]]</f>
        <v>3.0610354654844838</v>
      </c>
    </row>
    <row r="81" spans="1:7" x14ac:dyDescent="0.25">
      <c r="A81" s="1" t="s">
        <v>16</v>
      </c>
      <c r="B81" s="1" t="s">
        <v>12</v>
      </c>
      <c r="C81" s="1" t="s">
        <v>9</v>
      </c>
      <c r="D81" s="7">
        <v>15660</v>
      </c>
      <c r="E81" s="7">
        <f>SUMIFS(tblActuals[Amount], tblActuals[Month], A81, tblActuals[Department], B81, tblActuals[Cost Category],C81)</f>
        <v>44085</v>
      </c>
      <c r="F81" s="7">
        <f>tblBudget5[[#This Row],[Actual Cost]]-tblBudget5[[#This Row],[Budgeted Cost]]</f>
        <v>28425</v>
      </c>
      <c r="G81" s="8">
        <f>tblBudget5[[#This Row],[Variance $]]/tblBudget5[[#This Row],[Budgeted Cost]]</f>
        <v>1.8151340996168583</v>
      </c>
    </row>
    <row r="82" spans="1:7" x14ac:dyDescent="0.25">
      <c r="A82" s="1" t="s">
        <v>17</v>
      </c>
      <c r="B82" s="1" t="s">
        <v>5</v>
      </c>
      <c r="C82" s="1" t="s">
        <v>6</v>
      </c>
      <c r="D82" s="7">
        <v>73466</v>
      </c>
      <c r="E82" s="7">
        <f>SUMIFS(tblActuals[Amount], tblActuals[Month], A82, tblActuals[Department], B82, tblActuals[Cost Category],C82)</f>
        <v>38036</v>
      </c>
      <c r="F82" s="7">
        <f>tblBudget5[[#This Row],[Actual Cost]]-tblBudget5[[#This Row],[Budgeted Cost]]</f>
        <v>-35430</v>
      </c>
      <c r="G82" s="8">
        <f>tblBudget5[[#This Row],[Variance $]]/tblBudget5[[#This Row],[Budgeted Cost]]</f>
        <v>-0.48226390439114691</v>
      </c>
    </row>
    <row r="83" spans="1:7" x14ac:dyDescent="0.25">
      <c r="A83" s="1" t="s">
        <v>17</v>
      </c>
      <c r="B83" s="1" t="s">
        <v>5</v>
      </c>
      <c r="C83" s="1" t="s">
        <v>7</v>
      </c>
      <c r="D83" s="7">
        <v>23190</v>
      </c>
      <c r="E83" s="7">
        <f>SUMIFS(tblActuals[Amount], tblActuals[Month], A83, tblActuals[Department], B83, tblActuals[Cost Category],C83)</f>
        <v>41110</v>
      </c>
      <c r="F83" s="7">
        <f>tblBudget5[[#This Row],[Actual Cost]]-tblBudget5[[#This Row],[Budgeted Cost]]</f>
        <v>17920</v>
      </c>
      <c r="G83" s="8">
        <f>tblBudget5[[#This Row],[Variance $]]/tblBudget5[[#This Row],[Budgeted Cost]]</f>
        <v>0.77274687365243644</v>
      </c>
    </row>
    <row r="84" spans="1:7" x14ac:dyDescent="0.25">
      <c r="A84" s="1" t="s">
        <v>17</v>
      </c>
      <c r="B84" s="1" t="s">
        <v>5</v>
      </c>
      <c r="C84" s="1" t="s">
        <v>8</v>
      </c>
      <c r="D84" s="7">
        <v>12987</v>
      </c>
      <c r="E84" s="7">
        <f>SUMIFS(tblActuals[Amount], tblActuals[Month], A84, tblActuals[Department], B84, tblActuals[Cost Category],C84)</f>
        <v>41336</v>
      </c>
      <c r="F84" s="7">
        <f>tblBudget5[[#This Row],[Actual Cost]]-tblBudget5[[#This Row],[Budgeted Cost]]</f>
        <v>28349</v>
      </c>
      <c r="G84" s="8">
        <f>tblBudget5[[#This Row],[Variance $]]/tblBudget5[[#This Row],[Budgeted Cost]]</f>
        <v>2.1828751828751827</v>
      </c>
    </row>
    <row r="85" spans="1:7" x14ac:dyDescent="0.25">
      <c r="A85" s="1" t="s">
        <v>17</v>
      </c>
      <c r="B85" s="1" t="s">
        <v>5</v>
      </c>
      <c r="C85" s="1" t="s">
        <v>9</v>
      </c>
      <c r="D85" s="7">
        <v>19999</v>
      </c>
      <c r="E85" s="7">
        <f>SUMIFS(tblActuals[Amount], tblActuals[Month], A85, tblActuals[Department], B85, tblActuals[Cost Category],C85)</f>
        <v>38939</v>
      </c>
      <c r="F85" s="7">
        <f>tblBudget5[[#This Row],[Actual Cost]]-tblBudget5[[#This Row],[Budgeted Cost]]</f>
        <v>18940</v>
      </c>
      <c r="G85" s="8">
        <f>tblBudget5[[#This Row],[Variance $]]/tblBudget5[[#This Row],[Budgeted Cost]]</f>
        <v>0.94704735236761839</v>
      </c>
    </row>
    <row r="86" spans="1:7" x14ac:dyDescent="0.25">
      <c r="A86" s="1" t="s">
        <v>17</v>
      </c>
      <c r="B86" s="1" t="s">
        <v>10</v>
      </c>
      <c r="C86" s="1" t="s">
        <v>6</v>
      </c>
      <c r="D86" s="7">
        <v>57849</v>
      </c>
      <c r="E86" s="7">
        <f>SUMIFS(tblActuals[Amount], tblActuals[Month], A86, tblActuals[Department], B86, tblActuals[Cost Category],C86)</f>
        <v>22122</v>
      </c>
      <c r="F86" s="7">
        <f>tblBudget5[[#This Row],[Actual Cost]]-tblBudget5[[#This Row],[Budgeted Cost]]</f>
        <v>-35727</v>
      </c>
      <c r="G86" s="8">
        <f>tblBudget5[[#This Row],[Variance $]]/tblBudget5[[#This Row],[Budgeted Cost]]</f>
        <v>-0.61759062386558106</v>
      </c>
    </row>
    <row r="87" spans="1:7" x14ac:dyDescent="0.25">
      <c r="A87" s="1" t="s">
        <v>17</v>
      </c>
      <c r="B87" s="1" t="s">
        <v>10</v>
      </c>
      <c r="C87" s="1" t="s">
        <v>7</v>
      </c>
      <c r="D87" s="7">
        <v>17608</v>
      </c>
      <c r="E87" s="7">
        <f>SUMIFS(tblActuals[Amount], tblActuals[Month], A87, tblActuals[Department], B87, tblActuals[Cost Category],C87)</f>
        <v>36549</v>
      </c>
      <c r="F87" s="7">
        <f>tblBudget5[[#This Row],[Actual Cost]]-tblBudget5[[#This Row],[Budgeted Cost]]</f>
        <v>18941</v>
      </c>
      <c r="G87" s="8">
        <f>tblBudget5[[#This Row],[Variance $]]/tblBudget5[[#This Row],[Budgeted Cost]]</f>
        <v>1.0757042253521127</v>
      </c>
    </row>
    <row r="88" spans="1:7" x14ac:dyDescent="0.25">
      <c r="A88" s="1" t="s">
        <v>17</v>
      </c>
      <c r="B88" s="1" t="s">
        <v>10</v>
      </c>
      <c r="C88" s="1" t="s">
        <v>8</v>
      </c>
      <c r="D88" s="7">
        <v>7784</v>
      </c>
      <c r="E88" s="7">
        <f>SUMIFS(tblActuals[Amount], tblActuals[Month], A88, tblActuals[Department], B88, tblActuals[Cost Category],C88)</f>
        <v>49309</v>
      </c>
      <c r="F88" s="7">
        <f>tblBudget5[[#This Row],[Actual Cost]]-tblBudget5[[#This Row],[Budgeted Cost]]</f>
        <v>41525</v>
      </c>
      <c r="G88" s="8">
        <f>tblBudget5[[#This Row],[Variance $]]/tblBudget5[[#This Row],[Budgeted Cost]]</f>
        <v>5.334660842754368</v>
      </c>
    </row>
    <row r="89" spans="1:7" x14ac:dyDescent="0.25">
      <c r="A89" s="1" t="s">
        <v>17</v>
      </c>
      <c r="B89" s="1" t="s">
        <v>10</v>
      </c>
      <c r="C89" s="1" t="s">
        <v>9</v>
      </c>
      <c r="D89" s="7">
        <v>14740</v>
      </c>
      <c r="E89" s="7">
        <f>SUMIFS(tblActuals[Amount], tblActuals[Month], A89, tblActuals[Department], B89, tblActuals[Cost Category],C89)</f>
        <v>42010</v>
      </c>
      <c r="F89" s="7">
        <f>tblBudget5[[#This Row],[Actual Cost]]-tblBudget5[[#This Row],[Budgeted Cost]]</f>
        <v>27270</v>
      </c>
      <c r="G89" s="8">
        <f>tblBudget5[[#This Row],[Variance $]]/tblBudget5[[#This Row],[Budgeted Cost]]</f>
        <v>1.850067842605156</v>
      </c>
    </row>
    <row r="90" spans="1:7" x14ac:dyDescent="0.25">
      <c r="A90" s="1" t="s">
        <v>17</v>
      </c>
      <c r="B90" s="1" t="s">
        <v>11</v>
      </c>
      <c r="C90" s="1" t="s">
        <v>6</v>
      </c>
      <c r="D90" s="7">
        <v>83451</v>
      </c>
      <c r="E90" s="7">
        <f>SUMIFS(tblActuals[Amount], tblActuals[Month], A90, tblActuals[Department], B90, tblActuals[Cost Category],C90)</f>
        <v>41861</v>
      </c>
      <c r="F90" s="7">
        <f>tblBudget5[[#This Row],[Actual Cost]]-tblBudget5[[#This Row],[Budgeted Cost]]</f>
        <v>-41590</v>
      </c>
      <c r="G90" s="8">
        <f>tblBudget5[[#This Row],[Variance $]]/tblBudget5[[#This Row],[Budgeted Cost]]</f>
        <v>-0.49837629267474326</v>
      </c>
    </row>
    <row r="91" spans="1:7" x14ac:dyDescent="0.25">
      <c r="A91" s="1" t="s">
        <v>17</v>
      </c>
      <c r="B91" s="1" t="s">
        <v>11</v>
      </c>
      <c r="C91" s="1" t="s">
        <v>7</v>
      </c>
      <c r="D91" s="7">
        <v>20901</v>
      </c>
      <c r="E91" s="7">
        <f>SUMIFS(tblActuals[Amount], tblActuals[Month], A91, tblActuals[Department], B91, tblActuals[Cost Category],C91)</f>
        <v>39044</v>
      </c>
      <c r="F91" s="7">
        <f>tblBudget5[[#This Row],[Actual Cost]]-tblBudget5[[#This Row],[Budgeted Cost]]</f>
        <v>18143</v>
      </c>
      <c r="G91" s="8">
        <f>tblBudget5[[#This Row],[Variance $]]/tblBudget5[[#This Row],[Budgeted Cost]]</f>
        <v>0.86804459116788668</v>
      </c>
    </row>
    <row r="92" spans="1:7" x14ac:dyDescent="0.25">
      <c r="A92" s="1" t="s">
        <v>17</v>
      </c>
      <c r="B92" s="1" t="s">
        <v>11</v>
      </c>
      <c r="C92" s="1" t="s">
        <v>8</v>
      </c>
      <c r="D92" s="7">
        <v>16375</v>
      </c>
      <c r="E92" s="7">
        <f>SUMIFS(tblActuals[Amount], tblActuals[Month], A92, tblActuals[Department], B92, tblActuals[Cost Category],C92)</f>
        <v>38045</v>
      </c>
      <c r="F92" s="7">
        <f>tblBudget5[[#This Row],[Actual Cost]]-tblBudget5[[#This Row],[Budgeted Cost]]</f>
        <v>21670</v>
      </c>
      <c r="G92" s="8">
        <f>tblBudget5[[#This Row],[Variance $]]/tblBudget5[[#This Row],[Budgeted Cost]]</f>
        <v>1.3233587786259542</v>
      </c>
    </row>
    <row r="93" spans="1:7" x14ac:dyDescent="0.25">
      <c r="A93" s="1" t="s">
        <v>17</v>
      </c>
      <c r="B93" s="1" t="s">
        <v>11</v>
      </c>
      <c r="C93" s="1" t="s">
        <v>9</v>
      </c>
      <c r="D93" s="7">
        <v>21723</v>
      </c>
      <c r="E93" s="7">
        <f>SUMIFS(tblActuals[Amount], tblActuals[Month], A93, tblActuals[Department], B93, tblActuals[Cost Category],C93)</f>
        <v>40365</v>
      </c>
      <c r="F93" s="7">
        <f>tblBudget5[[#This Row],[Actual Cost]]-tblBudget5[[#This Row],[Budgeted Cost]]</f>
        <v>18642</v>
      </c>
      <c r="G93" s="8">
        <f>tblBudget5[[#This Row],[Variance $]]/tblBudget5[[#This Row],[Budgeted Cost]]</f>
        <v>0.85816876122082586</v>
      </c>
    </row>
    <row r="94" spans="1:7" x14ac:dyDescent="0.25">
      <c r="A94" s="1" t="s">
        <v>17</v>
      </c>
      <c r="B94" s="1" t="s">
        <v>12</v>
      </c>
      <c r="C94" s="1" t="s">
        <v>6</v>
      </c>
      <c r="D94" s="7">
        <v>67255</v>
      </c>
      <c r="E94" s="7">
        <f>SUMIFS(tblActuals[Amount], tblActuals[Month], A94, tblActuals[Department], B94, tblActuals[Cost Category],C94)</f>
        <v>43618</v>
      </c>
      <c r="F94" s="7">
        <f>tblBudget5[[#This Row],[Actual Cost]]-tblBudget5[[#This Row],[Budgeted Cost]]</f>
        <v>-23637</v>
      </c>
      <c r="G94" s="8">
        <f>tblBudget5[[#This Row],[Variance $]]/tblBudget5[[#This Row],[Budgeted Cost]]</f>
        <v>-0.35145342353728348</v>
      </c>
    </row>
    <row r="95" spans="1:7" x14ac:dyDescent="0.25">
      <c r="A95" s="1" t="s">
        <v>17</v>
      </c>
      <c r="B95" s="1" t="s">
        <v>12</v>
      </c>
      <c r="C95" s="1" t="s">
        <v>7</v>
      </c>
      <c r="D95" s="7">
        <v>17238</v>
      </c>
      <c r="E95" s="7">
        <f>SUMIFS(tblActuals[Amount], tblActuals[Month], A95, tblActuals[Department], B95, tblActuals[Cost Category],C95)</f>
        <v>38038</v>
      </c>
      <c r="F95" s="7">
        <f>tblBudget5[[#This Row],[Actual Cost]]-tblBudget5[[#This Row],[Budgeted Cost]]</f>
        <v>20800</v>
      </c>
      <c r="G95" s="8">
        <f>tblBudget5[[#This Row],[Variance $]]/tblBudget5[[#This Row],[Budgeted Cost]]</f>
        <v>1.2066365007541477</v>
      </c>
    </row>
    <row r="96" spans="1:7" x14ac:dyDescent="0.25">
      <c r="A96" s="1" t="s">
        <v>17</v>
      </c>
      <c r="B96" s="1" t="s">
        <v>12</v>
      </c>
      <c r="C96" s="1" t="s">
        <v>8</v>
      </c>
      <c r="D96" s="7">
        <v>13386</v>
      </c>
      <c r="E96" s="7">
        <f>SUMIFS(tblActuals[Amount], tblActuals[Month], A96, tblActuals[Department], B96, tblActuals[Cost Category],C96)</f>
        <v>40361</v>
      </c>
      <c r="F96" s="7">
        <f>tblBudget5[[#This Row],[Actual Cost]]-tblBudget5[[#This Row],[Budgeted Cost]]</f>
        <v>26975</v>
      </c>
      <c r="G96" s="8">
        <f>tblBudget5[[#This Row],[Variance $]]/tblBudget5[[#This Row],[Budgeted Cost]]</f>
        <v>2.0151650978634392</v>
      </c>
    </row>
    <row r="97" spans="1:7" x14ac:dyDescent="0.25">
      <c r="A97" s="1" t="s">
        <v>17</v>
      </c>
      <c r="B97" s="1" t="s">
        <v>12</v>
      </c>
      <c r="C97" s="1" t="s">
        <v>9</v>
      </c>
      <c r="D97" s="7">
        <v>15858</v>
      </c>
      <c r="E97" s="7">
        <f>SUMIFS(tblActuals[Amount], tblActuals[Month], A97, tblActuals[Department], B97, tblActuals[Cost Category],C97)</f>
        <v>39061</v>
      </c>
      <c r="F97" s="7">
        <f>tblBudget5[[#This Row],[Actual Cost]]-tblBudget5[[#This Row],[Budgeted Cost]]</f>
        <v>23203</v>
      </c>
      <c r="G97" s="8">
        <f>tblBudget5[[#This Row],[Variance $]]/tblBudget5[[#This Row],[Budgeted Cost]]</f>
        <v>1.4631731618110733</v>
      </c>
    </row>
    <row r="98" spans="1:7" x14ac:dyDescent="0.25">
      <c r="A98" s="1" t="s">
        <v>18</v>
      </c>
      <c r="B98" s="1" t="s">
        <v>5</v>
      </c>
      <c r="C98" s="1" t="s">
        <v>6</v>
      </c>
      <c r="D98" s="7">
        <v>73961</v>
      </c>
      <c r="E98" s="7">
        <f>SUMIFS(tblActuals[Amount], tblActuals[Month], A98, tblActuals[Department], B98, tblActuals[Cost Category],C98)</f>
        <v>41566</v>
      </c>
      <c r="F98" s="7">
        <f>tblBudget5[[#This Row],[Actual Cost]]-tblBudget5[[#This Row],[Budgeted Cost]]</f>
        <v>-32395</v>
      </c>
      <c r="G98" s="8">
        <f>tblBudget5[[#This Row],[Variance $]]/tblBudget5[[#This Row],[Budgeted Cost]]</f>
        <v>-0.43800110869241898</v>
      </c>
    </row>
    <row r="99" spans="1:7" x14ac:dyDescent="0.25">
      <c r="A99" s="1" t="s">
        <v>18</v>
      </c>
      <c r="B99" s="1" t="s">
        <v>5</v>
      </c>
      <c r="C99" s="1" t="s">
        <v>7</v>
      </c>
      <c r="D99" s="7">
        <v>22942</v>
      </c>
      <c r="E99" s="7">
        <f>SUMIFS(tblActuals[Amount], tblActuals[Month], A99, tblActuals[Department], B99, tblActuals[Cost Category],C99)</f>
        <v>40524</v>
      </c>
      <c r="F99" s="7">
        <f>tblBudget5[[#This Row],[Actual Cost]]-tblBudget5[[#This Row],[Budgeted Cost]]</f>
        <v>17582</v>
      </c>
      <c r="G99" s="8">
        <f>tblBudget5[[#This Row],[Variance $]]/tblBudget5[[#This Row],[Budgeted Cost]]</f>
        <v>0.76636736117165027</v>
      </c>
    </row>
    <row r="100" spans="1:7" x14ac:dyDescent="0.25">
      <c r="A100" s="1" t="s">
        <v>18</v>
      </c>
      <c r="B100" s="1" t="s">
        <v>5</v>
      </c>
      <c r="C100" s="1" t="s">
        <v>8</v>
      </c>
      <c r="D100" s="7">
        <v>16437</v>
      </c>
      <c r="E100" s="7">
        <f>SUMIFS(tblActuals[Amount], tblActuals[Month], A100, tblActuals[Department], B100, tblActuals[Cost Category],C100)</f>
        <v>46294</v>
      </c>
      <c r="F100" s="7">
        <f>tblBudget5[[#This Row],[Actual Cost]]-tblBudget5[[#This Row],[Budgeted Cost]]</f>
        <v>29857</v>
      </c>
      <c r="G100" s="8">
        <f>tblBudget5[[#This Row],[Variance $]]/tblBudget5[[#This Row],[Budgeted Cost]]</f>
        <v>1.8164506905153008</v>
      </c>
    </row>
    <row r="101" spans="1:7" x14ac:dyDescent="0.25">
      <c r="A101" s="1" t="s">
        <v>18</v>
      </c>
      <c r="B101" s="1" t="s">
        <v>5</v>
      </c>
      <c r="C101" s="1" t="s">
        <v>9</v>
      </c>
      <c r="D101" s="7">
        <v>18812</v>
      </c>
      <c r="E101" s="7">
        <f>SUMIFS(tblActuals[Amount], tblActuals[Month], A101, tblActuals[Department], B101, tblActuals[Cost Category],C101)</f>
        <v>39723</v>
      </c>
      <c r="F101" s="7">
        <f>tblBudget5[[#This Row],[Actual Cost]]-tblBudget5[[#This Row],[Budgeted Cost]]</f>
        <v>20911</v>
      </c>
      <c r="G101" s="8">
        <f>tblBudget5[[#This Row],[Variance $]]/tblBudget5[[#This Row],[Budgeted Cost]]</f>
        <v>1.1115777163512652</v>
      </c>
    </row>
    <row r="102" spans="1:7" x14ac:dyDescent="0.25">
      <c r="A102" s="1" t="s">
        <v>18</v>
      </c>
      <c r="B102" s="1" t="s">
        <v>10</v>
      </c>
      <c r="C102" s="1" t="s">
        <v>6</v>
      </c>
      <c r="D102" s="7">
        <v>54049</v>
      </c>
      <c r="E102" s="7">
        <f>SUMIFS(tblActuals[Amount], tblActuals[Month], A102, tblActuals[Department], B102, tblActuals[Cost Category],C102)</f>
        <v>40383</v>
      </c>
      <c r="F102" s="7">
        <f>tblBudget5[[#This Row],[Actual Cost]]-tblBudget5[[#This Row],[Budgeted Cost]]</f>
        <v>-13666</v>
      </c>
      <c r="G102" s="8">
        <f>tblBudget5[[#This Row],[Variance $]]/tblBudget5[[#This Row],[Budgeted Cost]]</f>
        <v>-0.25284464097393106</v>
      </c>
    </row>
    <row r="103" spans="1:7" x14ac:dyDescent="0.25">
      <c r="A103" s="1" t="s">
        <v>18</v>
      </c>
      <c r="B103" s="1" t="s">
        <v>10</v>
      </c>
      <c r="C103" s="1" t="s">
        <v>7</v>
      </c>
      <c r="D103" s="7">
        <v>17908</v>
      </c>
      <c r="E103" s="7">
        <f>SUMIFS(tblActuals[Amount], tblActuals[Month], A103, tblActuals[Department], B103, tblActuals[Cost Category],C103)</f>
        <v>42393</v>
      </c>
      <c r="F103" s="7">
        <f>tblBudget5[[#This Row],[Actual Cost]]-tblBudget5[[#This Row],[Budgeted Cost]]</f>
        <v>24485</v>
      </c>
      <c r="G103" s="8">
        <f>tblBudget5[[#This Row],[Variance $]]/tblBudget5[[#This Row],[Budgeted Cost]]</f>
        <v>1.3672660263569354</v>
      </c>
    </row>
    <row r="104" spans="1:7" x14ac:dyDescent="0.25">
      <c r="A104" s="1" t="s">
        <v>18</v>
      </c>
      <c r="B104" s="1" t="s">
        <v>10</v>
      </c>
      <c r="C104" s="1" t="s">
        <v>8</v>
      </c>
      <c r="D104" s="7">
        <v>9856</v>
      </c>
      <c r="E104" s="7">
        <f>SUMIFS(tblActuals[Amount], tblActuals[Month], A104, tblActuals[Department], B104, tblActuals[Cost Category],C104)</f>
        <v>25963</v>
      </c>
      <c r="F104" s="7">
        <f>tblBudget5[[#This Row],[Actual Cost]]-tblBudget5[[#This Row],[Budgeted Cost]]</f>
        <v>16107</v>
      </c>
      <c r="G104" s="8">
        <f>tblBudget5[[#This Row],[Variance $]]/tblBudget5[[#This Row],[Budgeted Cost]]</f>
        <v>1.6342329545454546</v>
      </c>
    </row>
    <row r="105" spans="1:7" x14ac:dyDescent="0.25">
      <c r="A105" s="1" t="s">
        <v>18</v>
      </c>
      <c r="B105" s="1" t="s">
        <v>10</v>
      </c>
      <c r="C105" s="1" t="s">
        <v>9</v>
      </c>
      <c r="D105" s="7">
        <v>10208</v>
      </c>
      <c r="E105" s="7">
        <f>SUMIFS(tblActuals[Amount], tblActuals[Month], A105, tblActuals[Department], B105, tblActuals[Cost Category],C105)</f>
        <v>29054</v>
      </c>
      <c r="F105" s="7">
        <f>tblBudget5[[#This Row],[Actual Cost]]-tblBudget5[[#This Row],[Budgeted Cost]]</f>
        <v>18846</v>
      </c>
      <c r="G105" s="8">
        <f>tblBudget5[[#This Row],[Variance $]]/tblBudget5[[#This Row],[Budgeted Cost]]</f>
        <v>1.8461990595611286</v>
      </c>
    </row>
    <row r="106" spans="1:7" x14ac:dyDescent="0.25">
      <c r="A106" s="1" t="s">
        <v>18</v>
      </c>
      <c r="B106" s="1" t="s">
        <v>11</v>
      </c>
      <c r="C106" s="1" t="s">
        <v>6</v>
      </c>
      <c r="D106" s="7">
        <v>80126</v>
      </c>
      <c r="E106" s="7">
        <f>SUMIFS(tblActuals[Amount], tblActuals[Month], A106, tblActuals[Department], B106, tblActuals[Cost Category],C106)</f>
        <v>37695</v>
      </c>
      <c r="F106" s="7">
        <f>tblBudget5[[#This Row],[Actual Cost]]-tblBudget5[[#This Row],[Budgeted Cost]]</f>
        <v>-42431</v>
      </c>
      <c r="G106" s="8">
        <f>tblBudget5[[#This Row],[Variance $]]/tblBudget5[[#This Row],[Budgeted Cost]]</f>
        <v>-0.52955345331103509</v>
      </c>
    </row>
    <row r="107" spans="1:7" x14ac:dyDescent="0.25">
      <c r="A107" s="1" t="s">
        <v>18</v>
      </c>
      <c r="B107" s="1" t="s">
        <v>11</v>
      </c>
      <c r="C107" s="1" t="s">
        <v>7</v>
      </c>
      <c r="D107" s="7">
        <v>19762</v>
      </c>
      <c r="E107" s="7">
        <f>SUMIFS(tblActuals[Amount], tblActuals[Month], A107, tblActuals[Department], B107, tblActuals[Cost Category],C107)</f>
        <v>50465</v>
      </c>
      <c r="F107" s="7">
        <f>tblBudget5[[#This Row],[Actual Cost]]-tblBudget5[[#This Row],[Budgeted Cost]]</f>
        <v>30703</v>
      </c>
      <c r="G107" s="8">
        <f>tblBudget5[[#This Row],[Variance $]]/tblBudget5[[#This Row],[Budgeted Cost]]</f>
        <v>1.5536382957190569</v>
      </c>
    </row>
    <row r="108" spans="1:7" x14ac:dyDescent="0.25">
      <c r="A108" s="1" t="s">
        <v>18</v>
      </c>
      <c r="B108" s="1" t="s">
        <v>11</v>
      </c>
      <c r="C108" s="1" t="s">
        <v>8</v>
      </c>
      <c r="D108" s="7">
        <v>14584</v>
      </c>
      <c r="E108" s="7">
        <f>SUMIFS(tblActuals[Amount], tblActuals[Month], A108, tblActuals[Department], B108, tblActuals[Cost Category],C108)</f>
        <v>34905</v>
      </c>
      <c r="F108" s="7">
        <f>tblBudget5[[#This Row],[Actual Cost]]-tblBudget5[[#This Row],[Budgeted Cost]]</f>
        <v>20321</v>
      </c>
      <c r="G108" s="8">
        <f>tblBudget5[[#This Row],[Variance $]]/tblBudget5[[#This Row],[Budgeted Cost]]</f>
        <v>1.3933763027975863</v>
      </c>
    </row>
    <row r="109" spans="1:7" x14ac:dyDescent="0.25">
      <c r="A109" s="1" t="s">
        <v>18</v>
      </c>
      <c r="B109" s="1" t="s">
        <v>11</v>
      </c>
      <c r="C109" s="1" t="s">
        <v>9</v>
      </c>
      <c r="D109" s="7">
        <v>19036</v>
      </c>
      <c r="E109" s="7">
        <f>SUMIFS(tblActuals[Amount], tblActuals[Month], A109, tblActuals[Department], B109, tblActuals[Cost Category],C109)</f>
        <v>56583</v>
      </c>
      <c r="F109" s="7">
        <f>tblBudget5[[#This Row],[Actual Cost]]-tblBudget5[[#This Row],[Budgeted Cost]]</f>
        <v>37547</v>
      </c>
      <c r="G109" s="8">
        <f>tblBudget5[[#This Row],[Variance $]]/tblBudget5[[#This Row],[Budgeted Cost]]</f>
        <v>1.9724206766127337</v>
      </c>
    </row>
    <row r="110" spans="1:7" x14ac:dyDescent="0.25">
      <c r="A110" s="1" t="s">
        <v>18</v>
      </c>
      <c r="B110" s="1" t="s">
        <v>12</v>
      </c>
      <c r="C110" s="1" t="s">
        <v>6</v>
      </c>
      <c r="D110" s="7">
        <v>67443</v>
      </c>
      <c r="E110" s="7">
        <f>SUMIFS(tblActuals[Amount], tblActuals[Month], A110, tblActuals[Department], B110, tblActuals[Cost Category],C110)</f>
        <v>44654</v>
      </c>
      <c r="F110" s="7">
        <f>tblBudget5[[#This Row],[Actual Cost]]-tblBudget5[[#This Row],[Budgeted Cost]]</f>
        <v>-22789</v>
      </c>
      <c r="G110" s="8">
        <f>tblBudget5[[#This Row],[Variance $]]/tblBudget5[[#This Row],[Budgeted Cost]]</f>
        <v>-0.33790015272155749</v>
      </c>
    </row>
    <row r="111" spans="1:7" x14ac:dyDescent="0.25">
      <c r="A111" s="1" t="s">
        <v>18</v>
      </c>
      <c r="B111" s="1" t="s">
        <v>12</v>
      </c>
      <c r="C111" s="1" t="s">
        <v>7</v>
      </c>
      <c r="D111" s="7">
        <v>16442</v>
      </c>
      <c r="E111" s="7">
        <f>SUMIFS(tblActuals[Amount], tblActuals[Month], A111, tblActuals[Department], B111, tblActuals[Cost Category],C111)</f>
        <v>38470</v>
      </c>
      <c r="F111" s="7">
        <f>tblBudget5[[#This Row],[Actual Cost]]-tblBudget5[[#This Row],[Budgeted Cost]]</f>
        <v>22028</v>
      </c>
      <c r="G111" s="8">
        <f>tblBudget5[[#This Row],[Variance $]]/tblBudget5[[#This Row],[Budgeted Cost]]</f>
        <v>1.3397396910351538</v>
      </c>
    </row>
    <row r="112" spans="1:7" x14ac:dyDescent="0.25">
      <c r="A112" s="1" t="s">
        <v>18</v>
      </c>
      <c r="B112" s="1" t="s">
        <v>12</v>
      </c>
      <c r="C112" s="1" t="s">
        <v>8</v>
      </c>
      <c r="D112" s="7">
        <v>11328</v>
      </c>
      <c r="E112" s="7">
        <f>SUMIFS(tblActuals[Amount], tblActuals[Month], A112, tblActuals[Department], B112, tblActuals[Cost Category],C112)</f>
        <v>36593</v>
      </c>
      <c r="F112" s="7">
        <f>tblBudget5[[#This Row],[Actual Cost]]-tblBudget5[[#This Row],[Budgeted Cost]]</f>
        <v>25265</v>
      </c>
      <c r="G112" s="8">
        <f>tblBudget5[[#This Row],[Variance $]]/tblBudget5[[#This Row],[Budgeted Cost]]</f>
        <v>2.2303142655367232</v>
      </c>
    </row>
    <row r="113" spans="1:7" x14ac:dyDescent="0.25">
      <c r="A113" s="1" t="s">
        <v>18</v>
      </c>
      <c r="B113" s="1" t="s">
        <v>12</v>
      </c>
      <c r="C113" s="1" t="s">
        <v>9</v>
      </c>
      <c r="D113" s="7">
        <v>17396</v>
      </c>
      <c r="E113" s="7">
        <f>SUMIFS(tblActuals[Amount], tblActuals[Month], A113, tblActuals[Department], B113, tblActuals[Cost Category],C113)</f>
        <v>43376</v>
      </c>
      <c r="F113" s="7">
        <f>tblBudget5[[#This Row],[Actual Cost]]-tblBudget5[[#This Row],[Budgeted Cost]]</f>
        <v>25980</v>
      </c>
      <c r="G113" s="8">
        <f>tblBudget5[[#This Row],[Variance $]]/tblBudget5[[#This Row],[Budgeted Cost]]</f>
        <v>1.4934467693722695</v>
      </c>
    </row>
    <row r="114" spans="1:7" x14ac:dyDescent="0.25">
      <c r="A114" s="1" t="s">
        <v>19</v>
      </c>
      <c r="B114" s="1" t="s">
        <v>5</v>
      </c>
      <c r="C114" s="1" t="s">
        <v>6</v>
      </c>
      <c r="D114" s="7">
        <v>77631</v>
      </c>
      <c r="E114" s="7">
        <f>SUMIFS(tblActuals[Amount], tblActuals[Month], A114, tblActuals[Department], B114, tblActuals[Cost Category],C114)</f>
        <v>47224</v>
      </c>
      <c r="F114" s="7">
        <f>tblBudget5[[#This Row],[Actual Cost]]-tblBudget5[[#This Row],[Budgeted Cost]]</f>
        <v>-30407</v>
      </c>
      <c r="G114" s="8">
        <f>tblBudget5[[#This Row],[Variance $]]/tblBudget5[[#This Row],[Budgeted Cost]]</f>
        <v>-0.39168631088096251</v>
      </c>
    </row>
    <row r="115" spans="1:7" x14ac:dyDescent="0.25">
      <c r="A115" s="1" t="s">
        <v>19</v>
      </c>
      <c r="B115" s="1" t="s">
        <v>5</v>
      </c>
      <c r="C115" s="1" t="s">
        <v>7</v>
      </c>
      <c r="D115" s="7">
        <v>20277</v>
      </c>
      <c r="E115" s="7">
        <f>SUMIFS(tblActuals[Amount], tblActuals[Month], A115, tblActuals[Department], B115, tblActuals[Cost Category],C115)</f>
        <v>55738</v>
      </c>
      <c r="F115" s="7">
        <f>tblBudget5[[#This Row],[Actual Cost]]-tblBudget5[[#This Row],[Budgeted Cost]]</f>
        <v>35461</v>
      </c>
      <c r="G115" s="8">
        <f>tblBudget5[[#This Row],[Variance $]]/tblBudget5[[#This Row],[Budgeted Cost]]</f>
        <v>1.7488287221975638</v>
      </c>
    </row>
    <row r="116" spans="1:7" x14ac:dyDescent="0.25">
      <c r="A116" s="1" t="s">
        <v>19</v>
      </c>
      <c r="B116" s="1" t="s">
        <v>5</v>
      </c>
      <c r="C116" s="1" t="s">
        <v>8</v>
      </c>
      <c r="D116" s="7">
        <v>12541</v>
      </c>
      <c r="E116" s="7">
        <f>SUMIFS(tblActuals[Amount], tblActuals[Month], A116, tblActuals[Department], B116, tblActuals[Cost Category],C116)</f>
        <v>40098</v>
      </c>
      <c r="F116" s="7">
        <f>tblBudget5[[#This Row],[Actual Cost]]-tblBudget5[[#This Row],[Budgeted Cost]]</f>
        <v>27557</v>
      </c>
      <c r="G116" s="8">
        <f>tblBudget5[[#This Row],[Variance $]]/tblBudget5[[#This Row],[Budgeted Cost]]</f>
        <v>2.197352683199107</v>
      </c>
    </row>
    <row r="117" spans="1:7" x14ac:dyDescent="0.25">
      <c r="A117" s="1" t="s">
        <v>19</v>
      </c>
      <c r="B117" s="1" t="s">
        <v>5</v>
      </c>
      <c r="C117" s="1" t="s">
        <v>9</v>
      </c>
      <c r="D117" s="7">
        <v>19619</v>
      </c>
      <c r="E117" s="7">
        <f>SUMIFS(tblActuals[Amount], tblActuals[Month], A117, tblActuals[Department], B117, tblActuals[Cost Category],C117)</f>
        <v>47735</v>
      </c>
      <c r="F117" s="7">
        <f>tblBudget5[[#This Row],[Actual Cost]]-tblBudget5[[#This Row],[Budgeted Cost]]</f>
        <v>28116</v>
      </c>
      <c r="G117" s="8">
        <f>tblBudget5[[#This Row],[Variance $]]/tblBudget5[[#This Row],[Budgeted Cost]]</f>
        <v>1.4331005657780722</v>
      </c>
    </row>
    <row r="118" spans="1:7" x14ac:dyDescent="0.25">
      <c r="A118" s="1" t="s">
        <v>19</v>
      </c>
      <c r="B118" s="1" t="s">
        <v>10</v>
      </c>
      <c r="C118" s="1" t="s">
        <v>6</v>
      </c>
      <c r="D118" s="7">
        <v>56339</v>
      </c>
      <c r="E118" s="7">
        <f>SUMIFS(tblActuals[Amount], tblActuals[Month], A118, tblActuals[Department], B118, tblActuals[Cost Category],C118)</f>
        <v>45360</v>
      </c>
      <c r="F118" s="7">
        <f>tblBudget5[[#This Row],[Actual Cost]]-tblBudget5[[#This Row],[Budgeted Cost]]</f>
        <v>-10979</v>
      </c>
      <c r="G118" s="8">
        <f>tblBudget5[[#This Row],[Variance $]]/tblBudget5[[#This Row],[Budgeted Cost]]</f>
        <v>-0.19487388842542466</v>
      </c>
    </row>
    <row r="119" spans="1:7" x14ac:dyDescent="0.25">
      <c r="A119" s="1" t="s">
        <v>19</v>
      </c>
      <c r="B119" s="1" t="s">
        <v>10</v>
      </c>
      <c r="C119" s="1" t="s">
        <v>7</v>
      </c>
      <c r="D119" s="7">
        <v>15541</v>
      </c>
      <c r="E119" s="7">
        <f>SUMIFS(tblActuals[Amount], tblActuals[Month], A119, tblActuals[Department], B119, tblActuals[Cost Category],C119)</f>
        <v>28797</v>
      </c>
      <c r="F119" s="7">
        <f>tblBudget5[[#This Row],[Actual Cost]]-tblBudget5[[#This Row],[Budgeted Cost]]</f>
        <v>13256</v>
      </c>
      <c r="G119" s="8">
        <f>tblBudget5[[#This Row],[Variance $]]/tblBudget5[[#This Row],[Budgeted Cost]]</f>
        <v>0.85296956437809668</v>
      </c>
    </row>
    <row r="120" spans="1:7" x14ac:dyDescent="0.25">
      <c r="A120" s="1" t="s">
        <v>19</v>
      </c>
      <c r="B120" s="1" t="s">
        <v>10</v>
      </c>
      <c r="C120" s="1" t="s">
        <v>8</v>
      </c>
      <c r="D120" s="7">
        <v>12466</v>
      </c>
      <c r="E120" s="7">
        <f>SUMIFS(tblActuals[Amount], tblActuals[Month], A120, tblActuals[Department], B120, tblActuals[Cost Category],C120)</f>
        <v>42809</v>
      </c>
      <c r="F120" s="7">
        <f>tblBudget5[[#This Row],[Actual Cost]]-tblBudget5[[#This Row],[Budgeted Cost]]</f>
        <v>30343</v>
      </c>
      <c r="G120" s="8">
        <f>tblBudget5[[#This Row],[Variance $]]/tblBudget5[[#This Row],[Budgeted Cost]]</f>
        <v>2.4340606449542754</v>
      </c>
    </row>
    <row r="121" spans="1:7" x14ac:dyDescent="0.25">
      <c r="A121" s="1" t="s">
        <v>19</v>
      </c>
      <c r="B121" s="1" t="s">
        <v>10</v>
      </c>
      <c r="C121" s="1" t="s">
        <v>9</v>
      </c>
      <c r="D121" s="7">
        <v>13508</v>
      </c>
      <c r="E121" s="7">
        <f>SUMIFS(tblActuals[Amount], tblActuals[Month], A121, tblActuals[Department], B121, tblActuals[Cost Category],C121)</f>
        <v>45959</v>
      </c>
      <c r="F121" s="7">
        <f>tblBudget5[[#This Row],[Actual Cost]]-tblBudget5[[#This Row],[Budgeted Cost]]</f>
        <v>32451</v>
      </c>
      <c r="G121" s="8">
        <f>tblBudget5[[#This Row],[Variance $]]/tblBudget5[[#This Row],[Budgeted Cost]]</f>
        <v>2.4023541604974832</v>
      </c>
    </row>
    <row r="122" spans="1:7" x14ac:dyDescent="0.25">
      <c r="A122" s="1" t="s">
        <v>19</v>
      </c>
      <c r="B122" s="1" t="s">
        <v>11</v>
      </c>
      <c r="C122" s="1" t="s">
        <v>6</v>
      </c>
      <c r="D122" s="7">
        <v>79420</v>
      </c>
      <c r="E122" s="7">
        <f>SUMIFS(tblActuals[Amount], tblActuals[Month], A122, tblActuals[Department], B122, tblActuals[Cost Category],C122)</f>
        <v>38097</v>
      </c>
      <c r="F122" s="7">
        <f>tblBudget5[[#This Row],[Actual Cost]]-tblBudget5[[#This Row],[Budgeted Cost]]</f>
        <v>-41323</v>
      </c>
      <c r="G122" s="8">
        <f>tblBudget5[[#This Row],[Variance $]]/tblBudget5[[#This Row],[Budgeted Cost]]</f>
        <v>-0.52030974565600607</v>
      </c>
    </row>
    <row r="123" spans="1:7" x14ac:dyDescent="0.25">
      <c r="A123" s="1" t="s">
        <v>19</v>
      </c>
      <c r="B123" s="1" t="s">
        <v>11</v>
      </c>
      <c r="C123" s="1" t="s">
        <v>7</v>
      </c>
      <c r="D123" s="7">
        <v>21669</v>
      </c>
      <c r="E123" s="7">
        <f>SUMIFS(tblActuals[Amount], tblActuals[Month], A123, tblActuals[Department], B123, tblActuals[Cost Category],C123)</f>
        <v>45072</v>
      </c>
      <c r="F123" s="7">
        <f>tblBudget5[[#This Row],[Actual Cost]]-tblBudget5[[#This Row],[Budgeted Cost]]</f>
        <v>23403</v>
      </c>
      <c r="G123" s="8">
        <f>tblBudget5[[#This Row],[Variance $]]/tblBudget5[[#This Row],[Budgeted Cost]]</f>
        <v>1.0800221514606119</v>
      </c>
    </row>
    <row r="124" spans="1:7" x14ac:dyDescent="0.25">
      <c r="A124" s="1" t="s">
        <v>19</v>
      </c>
      <c r="B124" s="1" t="s">
        <v>11</v>
      </c>
      <c r="C124" s="1" t="s">
        <v>8</v>
      </c>
      <c r="D124" s="7">
        <v>13143</v>
      </c>
      <c r="E124" s="7">
        <f>SUMIFS(tblActuals[Amount], tblActuals[Month], A124, tblActuals[Department], B124, tblActuals[Cost Category],C124)</f>
        <v>40590</v>
      </c>
      <c r="F124" s="7">
        <f>tblBudget5[[#This Row],[Actual Cost]]-tblBudget5[[#This Row],[Budgeted Cost]]</f>
        <v>27447</v>
      </c>
      <c r="G124" s="8">
        <f>tblBudget5[[#This Row],[Variance $]]/tblBudget5[[#This Row],[Budgeted Cost]]</f>
        <v>2.0883359963478658</v>
      </c>
    </row>
    <row r="125" spans="1:7" x14ac:dyDescent="0.25">
      <c r="A125" s="1" t="s">
        <v>19</v>
      </c>
      <c r="B125" s="1" t="s">
        <v>11</v>
      </c>
      <c r="C125" s="1" t="s">
        <v>9</v>
      </c>
      <c r="D125" s="7">
        <v>17770</v>
      </c>
      <c r="E125" s="7">
        <f>SUMIFS(tblActuals[Amount], tblActuals[Month], A125, tblActuals[Department], B125, tblActuals[Cost Category],C125)</f>
        <v>48910</v>
      </c>
      <c r="F125" s="7">
        <f>tblBudget5[[#This Row],[Actual Cost]]-tblBudget5[[#This Row],[Budgeted Cost]]</f>
        <v>31140</v>
      </c>
      <c r="G125" s="8">
        <f>tblBudget5[[#This Row],[Variance $]]/tblBudget5[[#This Row],[Budgeted Cost]]</f>
        <v>1.7523916713562184</v>
      </c>
    </row>
    <row r="126" spans="1:7" x14ac:dyDescent="0.25">
      <c r="A126" s="1" t="s">
        <v>19</v>
      </c>
      <c r="B126" s="1" t="s">
        <v>12</v>
      </c>
      <c r="C126" s="1" t="s">
        <v>6</v>
      </c>
      <c r="D126" s="7">
        <v>69848</v>
      </c>
      <c r="E126" s="7">
        <f>SUMIFS(tblActuals[Amount], tblActuals[Month], A126, tblActuals[Department], B126, tblActuals[Cost Category],C126)</f>
        <v>48720</v>
      </c>
      <c r="F126" s="7">
        <f>tblBudget5[[#This Row],[Actual Cost]]-tblBudget5[[#This Row],[Budgeted Cost]]</f>
        <v>-21128</v>
      </c>
      <c r="G126" s="8">
        <f>tblBudget5[[#This Row],[Variance $]]/tblBudget5[[#This Row],[Budgeted Cost]]</f>
        <v>-0.30248539686175696</v>
      </c>
    </row>
    <row r="127" spans="1:7" x14ac:dyDescent="0.25">
      <c r="A127" s="1" t="s">
        <v>19</v>
      </c>
      <c r="B127" s="1" t="s">
        <v>12</v>
      </c>
      <c r="C127" s="1" t="s">
        <v>7</v>
      </c>
      <c r="D127" s="7">
        <v>20315</v>
      </c>
      <c r="E127" s="7">
        <f>SUMIFS(tblActuals[Amount], tblActuals[Month], A127, tblActuals[Department], B127, tblActuals[Cost Category],C127)</f>
        <v>40665</v>
      </c>
      <c r="F127" s="7">
        <f>tblBudget5[[#This Row],[Actual Cost]]-tblBudget5[[#This Row],[Budgeted Cost]]</f>
        <v>20350</v>
      </c>
      <c r="G127" s="8">
        <f>tblBudget5[[#This Row],[Variance $]]/tblBudget5[[#This Row],[Budgeted Cost]]</f>
        <v>1.0017228648781689</v>
      </c>
    </row>
    <row r="128" spans="1:7" x14ac:dyDescent="0.25">
      <c r="A128" s="1" t="s">
        <v>19</v>
      </c>
      <c r="B128" s="1" t="s">
        <v>12</v>
      </c>
      <c r="C128" s="1" t="s">
        <v>8</v>
      </c>
      <c r="D128" s="7">
        <v>11752</v>
      </c>
      <c r="E128" s="7">
        <f>SUMIFS(tblActuals[Amount], tblActuals[Month], A128, tblActuals[Department], B128, tblActuals[Cost Category],C128)</f>
        <v>31745</v>
      </c>
      <c r="F128" s="7">
        <f>tblBudget5[[#This Row],[Actual Cost]]-tblBudget5[[#This Row],[Budgeted Cost]]</f>
        <v>19993</v>
      </c>
      <c r="G128" s="8">
        <f>tblBudget5[[#This Row],[Variance $]]/tblBudget5[[#This Row],[Budgeted Cost]]</f>
        <v>1.7012423417290674</v>
      </c>
    </row>
    <row r="129" spans="1:7" x14ac:dyDescent="0.25">
      <c r="A129" s="1" t="s">
        <v>19</v>
      </c>
      <c r="B129" s="1" t="s">
        <v>12</v>
      </c>
      <c r="C129" s="1" t="s">
        <v>9</v>
      </c>
      <c r="D129" s="7">
        <v>17538</v>
      </c>
      <c r="E129" s="7">
        <f>SUMIFS(tblActuals[Amount], tblActuals[Month], A129, tblActuals[Department], B129, tblActuals[Cost Category],C129)</f>
        <v>56225</v>
      </c>
      <c r="F129" s="7">
        <f>tblBudget5[[#This Row],[Actual Cost]]-tblBudget5[[#This Row],[Budgeted Cost]]</f>
        <v>38687</v>
      </c>
      <c r="G129" s="8">
        <f>tblBudget5[[#This Row],[Variance $]]/tblBudget5[[#This Row],[Budgeted Cost]]</f>
        <v>2.2058957691869083</v>
      </c>
    </row>
    <row r="130" spans="1:7" x14ac:dyDescent="0.25">
      <c r="A130" s="1" t="s">
        <v>20</v>
      </c>
      <c r="B130" s="1" t="s">
        <v>5</v>
      </c>
      <c r="C130" s="1" t="s">
        <v>6</v>
      </c>
      <c r="D130" s="7">
        <v>75259</v>
      </c>
      <c r="E130" s="7">
        <f>SUMIFS(tblActuals[Amount], tblActuals[Month], A130, tblActuals[Department], B130, tblActuals[Cost Category],C130)</f>
        <v>47963</v>
      </c>
      <c r="F130" s="7">
        <f>tblBudget5[[#This Row],[Actual Cost]]-tblBudget5[[#This Row],[Budgeted Cost]]</f>
        <v>-27296</v>
      </c>
      <c r="G130" s="8">
        <f>tblBudget5[[#This Row],[Variance $]]/tblBudget5[[#This Row],[Budgeted Cost]]</f>
        <v>-0.36269416282437983</v>
      </c>
    </row>
    <row r="131" spans="1:7" x14ac:dyDescent="0.25">
      <c r="A131" s="1" t="s">
        <v>20</v>
      </c>
      <c r="B131" s="1" t="s">
        <v>5</v>
      </c>
      <c r="C131" s="1" t="s">
        <v>7</v>
      </c>
      <c r="D131" s="7">
        <v>22480</v>
      </c>
      <c r="E131" s="7">
        <f>SUMIFS(tblActuals[Amount], tblActuals[Month], A131, tblActuals[Department], B131, tblActuals[Cost Category],C131)</f>
        <v>38336</v>
      </c>
      <c r="F131" s="7">
        <f>tblBudget5[[#This Row],[Actual Cost]]-tblBudget5[[#This Row],[Budgeted Cost]]</f>
        <v>15856</v>
      </c>
      <c r="G131" s="8">
        <f>tblBudget5[[#This Row],[Variance $]]/tblBudget5[[#This Row],[Budgeted Cost]]</f>
        <v>0.70533807829181494</v>
      </c>
    </row>
    <row r="132" spans="1:7" x14ac:dyDescent="0.25">
      <c r="A132" s="1" t="s">
        <v>20</v>
      </c>
      <c r="B132" s="1" t="s">
        <v>5</v>
      </c>
      <c r="C132" s="1" t="s">
        <v>8</v>
      </c>
      <c r="D132" s="7">
        <v>14071</v>
      </c>
      <c r="E132" s="7">
        <f>SUMIFS(tblActuals[Amount], tblActuals[Month], A132, tblActuals[Department], B132, tblActuals[Cost Category],C132)</f>
        <v>47841</v>
      </c>
      <c r="F132" s="7">
        <f>tblBudget5[[#This Row],[Actual Cost]]-tblBudget5[[#This Row],[Budgeted Cost]]</f>
        <v>33770</v>
      </c>
      <c r="G132" s="8">
        <f>tblBudget5[[#This Row],[Variance $]]/tblBudget5[[#This Row],[Budgeted Cost]]</f>
        <v>2.3999715727382558</v>
      </c>
    </row>
    <row r="133" spans="1:7" x14ac:dyDescent="0.25">
      <c r="A133" s="1" t="s">
        <v>20</v>
      </c>
      <c r="B133" s="1" t="s">
        <v>5</v>
      </c>
      <c r="C133" s="1" t="s">
        <v>9</v>
      </c>
      <c r="D133" s="7">
        <v>17215</v>
      </c>
      <c r="E133" s="7">
        <f>SUMIFS(tblActuals[Amount], tblActuals[Month], A133, tblActuals[Department], B133, tblActuals[Cost Category],C133)</f>
        <v>28189</v>
      </c>
      <c r="F133" s="7">
        <f>tblBudget5[[#This Row],[Actual Cost]]-tblBudget5[[#This Row],[Budgeted Cost]]</f>
        <v>10974</v>
      </c>
      <c r="G133" s="8">
        <f>tblBudget5[[#This Row],[Variance $]]/tblBudget5[[#This Row],[Budgeted Cost]]</f>
        <v>0.63746732500726111</v>
      </c>
    </row>
    <row r="134" spans="1:7" x14ac:dyDescent="0.25">
      <c r="A134" s="1" t="s">
        <v>20</v>
      </c>
      <c r="B134" s="1" t="s">
        <v>10</v>
      </c>
      <c r="C134" s="1" t="s">
        <v>6</v>
      </c>
      <c r="D134" s="7">
        <v>54046</v>
      </c>
      <c r="E134" s="7">
        <f>SUMIFS(tblActuals[Amount], tblActuals[Month], A134, tblActuals[Department], B134, tblActuals[Cost Category],C134)</f>
        <v>52042</v>
      </c>
      <c r="F134" s="7">
        <f>tblBudget5[[#This Row],[Actual Cost]]-tblBudget5[[#This Row],[Budgeted Cost]]</f>
        <v>-2004</v>
      </c>
      <c r="G134" s="8">
        <f>tblBudget5[[#This Row],[Variance $]]/tblBudget5[[#This Row],[Budgeted Cost]]</f>
        <v>-3.707952484920253E-2</v>
      </c>
    </row>
    <row r="135" spans="1:7" x14ac:dyDescent="0.25">
      <c r="A135" s="1" t="s">
        <v>20</v>
      </c>
      <c r="B135" s="1" t="s">
        <v>10</v>
      </c>
      <c r="C135" s="1" t="s">
        <v>7</v>
      </c>
      <c r="D135" s="7">
        <v>13433</v>
      </c>
      <c r="E135" s="7">
        <f>SUMIFS(tblActuals[Amount], tblActuals[Month], A135, tblActuals[Department], B135, tblActuals[Cost Category],C135)</f>
        <v>55488</v>
      </c>
      <c r="F135" s="7">
        <f>tblBudget5[[#This Row],[Actual Cost]]-tblBudget5[[#This Row],[Budgeted Cost]]</f>
        <v>42055</v>
      </c>
      <c r="G135" s="8">
        <f>tblBudget5[[#This Row],[Variance $]]/tblBudget5[[#This Row],[Budgeted Cost]]</f>
        <v>3.1307228467207624</v>
      </c>
    </row>
    <row r="136" spans="1:7" x14ac:dyDescent="0.25">
      <c r="A136" s="1" t="s">
        <v>20</v>
      </c>
      <c r="B136" s="1" t="s">
        <v>10</v>
      </c>
      <c r="C136" s="1" t="s">
        <v>8</v>
      </c>
      <c r="D136" s="7">
        <v>11374</v>
      </c>
      <c r="E136" s="7">
        <f>SUMIFS(tblActuals[Amount], tblActuals[Month], A136, tblActuals[Department], B136, tblActuals[Cost Category],C136)</f>
        <v>45409</v>
      </c>
      <c r="F136" s="7">
        <f>tblBudget5[[#This Row],[Actual Cost]]-tblBudget5[[#This Row],[Budgeted Cost]]</f>
        <v>34035</v>
      </c>
      <c r="G136" s="8">
        <f>tblBudget5[[#This Row],[Variance $]]/tblBudget5[[#This Row],[Budgeted Cost]]</f>
        <v>2.9923509759099702</v>
      </c>
    </row>
    <row r="137" spans="1:7" x14ac:dyDescent="0.25">
      <c r="A137" s="1" t="s">
        <v>20</v>
      </c>
      <c r="B137" s="1" t="s">
        <v>10</v>
      </c>
      <c r="C137" s="1" t="s">
        <v>9</v>
      </c>
      <c r="D137" s="7">
        <v>13792</v>
      </c>
      <c r="E137" s="7">
        <f>SUMIFS(tblActuals[Amount], tblActuals[Month], A137, tblActuals[Department], B137, tblActuals[Cost Category],C137)</f>
        <v>49720</v>
      </c>
      <c r="F137" s="7">
        <f>tblBudget5[[#This Row],[Actual Cost]]-tblBudget5[[#This Row],[Budgeted Cost]]</f>
        <v>35928</v>
      </c>
      <c r="G137" s="8">
        <f>tblBudget5[[#This Row],[Variance $]]/tblBudget5[[#This Row],[Budgeted Cost]]</f>
        <v>2.6049883990719258</v>
      </c>
    </row>
    <row r="138" spans="1:7" x14ac:dyDescent="0.25">
      <c r="A138" s="1" t="s">
        <v>20</v>
      </c>
      <c r="B138" s="1" t="s">
        <v>11</v>
      </c>
      <c r="C138" s="1" t="s">
        <v>6</v>
      </c>
      <c r="D138" s="7">
        <v>78994</v>
      </c>
      <c r="E138" s="7">
        <f>SUMIFS(tblActuals[Amount], tblActuals[Month], A138, tblActuals[Department], B138, tblActuals[Cost Category],C138)</f>
        <v>39501</v>
      </c>
      <c r="F138" s="7">
        <f>tblBudget5[[#This Row],[Actual Cost]]-tblBudget5[[#This Row],[Budgeted Cost]]</f>
        <v>-39493</v>
      </c>
      <c r="G138" s="8">
        <f>tblBudget5[[#This Row],[Variance $]]/tblBudget5[[#This Row],[Budgeted Cost]]</f>
        <v>-0.49994936324277794</v>
      </c>
    </row>
    <row r="139" spans="1:7" x14ac:dyDescent="0.25">
      <c r="A139" s="1" t="s">
        <v>20</v>
      </c>
      <c r="B139" s="1" t="s">
        <v>11</v>
      </c>
      <c r="C139" s="1" t="s">
        <v>7</v>
      </c>
      <c r="D139" s="7">
        <v>19885</v>
      </c>
      <c r="E139" s="7">
        <f>SUMIFS(tblActuals[Amount], tblActuals[Month], A139, tblActuals[Department], B139, tblActuals[Cost Category],C139)</f>
        <v>37160</v>
      </c>
      <c r="F139" s="7">
        <f>tblBudget5[[#This Row],[Actual Cost]]-tblBudget5[[#This Row],[Budgeted Cost]]</f>
        <v>17275</v>
      </c>
      <c r="G139" s="8">
        <f>tblBudget5[[#This Row],[Variance $]]/tblBudget5[[#This Row],[Budgeted Cost]]</f>
        <v>0.86874528539099827</v>
      </c>
    </row>
    <row r="140" spans="1:7" x14ac:dyDescent="0.25">
      <c r="A140" s="1" t="s">
        <v>20</v>
      </c>
      <c r="B140" s="1" t="s">
        <v>11</v>
      </c>
      <c r="C140" s="1" t="s">
        <v>8</v>
      </c>
      <c r="D140" s="7">
        <v>12898</v>
      </c>
      <c r="E140" s="7">
        <f>SUMIFS(tblActuals[Amount], tblActuals[Month], A140, tblActuals[Department], B140, tblActuals[Cost Category],C140)</f>
        <v>44113</v>
      </c>
      <c r="F140" s="7">
        <f>tblBudget5[[#This Row],[Actual Cost]]-tblBudget5[[#This Row],[Budgeted Cost]]</f>
        <v>31215</v>
      </c>
      <c r="G140" s="8">
        <f>tblBudget5[[#This Row],[Variance $]]/tblBudget5[[#This Row],[Budgeted Cost]]</f>
        <v>2.4201426577763994</v>
      </c>
    </row>
    <row r="141" spans="1:7" x14ac:dyDescent="0.25">
      <c r="A141" s="1" t="s">
        <v>20</v>
      </c>
      <c r="B141" s="1" t="s">
        <v>11</v>
      </c>
      <c r="C141" s="1" t="s">
        <v>9</v>
      </c>
      <c r="D141" s="7">
        <v>17002</v>
      </c>
      <c r="E141" s="7">
        <f>SUMIFS(tblActuals[Amount], tblActuals[Month], A141, tblActuals[Department], B141, tblActuals[Cost Category],C141)</f>
        <v>47246</v>
      </c>
      <c r="F141" s="7">
        <f>tblBudget5[[#This Row],[Actual Cost]]-tblBudget5[[#This Row],[Budgeted Cost]]</f>
        <v>30244</v>
      </c>
      <c r="G141" s="8">
        <f>tblBudget5[[#This Row],[Variance $]]/tblBudget5[[#This Row],[Budgeted Cost]]</f>
        <v>1.7788495471121044</v>
      </c>
    </row>
    <row r="142" spans="1:7" x14ac:dyDescent="0.25">
      <c r="A142" s="1" t="s">
        <v>20</v>
      </c>
      <c r="B142" s="1" t="s">
        <v>12</v>
      </c>
      <c r="C142" s="1" t="s">
        <v>6</v>
      </c>
      <c r="D142" s="7">
        <v>70390</v>
      </c>
      <c r="E142" s="7">
        <f>SUMIFS(tblActuals[Amount], tblActuals[Month], A142, tblActuals[Department], B142, tblActuals[Cost Category],C142)</f>
        <v>53367</v>
      </c>
      <c r="F142" s="7">
        <f>tblBudget5[[#This Row],[Actual Cost]]-tblBudget5[[#This Row],[Budgeted Cost]]</f>
        <v>-17023</v>
      </c>
      <c r="G142" s="8">
        <f>tblBudget5[[#This Row],[Variance $]]/tblBudget5[[#This Row],[Budgeted Cost]]</f>
        <v>-0.24183832930814037</v>
      </c>
    </row>
    <row r="143" spans="1:7" x14ac:dyDescent="0.25">
      <c r="A143" s="1" t="s">
        <v>20</v>
      </c>
      <c r="B143" s="1" t="s">
        <v>12</v>
      </c>
      <c r="C143" s="1" t="s">
        <v>7</v>
      </c>
      <c r="D143" s="7">
        <v>17210</v>
      </c>
      <c r="E143" s="7">
        <f>SUMIFS(tblActuals[Amount], tblActuals[Month], A143, tblActuals[Department], B143, tblActuals[Cost Category],C143)</f>
        <v>45802</v>
      </c>
      <c r="F143" s="7">
        <f>tblBudget5[[#This Row],[Actual Cost]]-tblBudget5[[#This Row],[Budgeted Cost]]</f>
        <v>28592</v>
      </c>
      <c r="G143" s="8">
        <f>tblBudget5[[#This Row],[Variance $]]/tblBudget5[[#This Row],[Budgeted Cost]]</f>
        <v>1.6613596746077861</v>
      </c>
    </row>
    <row r="144" spans="1:7" x14ac:dyDescent="0.25">
      <c r="A144" s="1" t="s">
        <v>20</v>
      </c>
      <c r="B144" s="1" t="s">
        <v>12</v>
      </c>
      <c r="C144" s="1" t="s">
        <v>8</v>
      </c>
      <c r="D144" s="7">
        <v>15174</v>
      </c>
      <c r="E144" s="7">
        <f>SUMIFS(tblActuals[Amount], tblActuals[Month], A144, tblActuals[Department], B144, tblActuals[Cost Category],C144)</f>
        <v>28976</v>
      </c>
      <c r="F144" s="7">
        <f>tblBudget5[[#This Row],[Actual Cost]]-tblBudget5[[#This Row],[Budgeted Cost]]</f>
        <v>13802</v>
      </c>
      <c r="G144" s="8">
        <f>tblBudget5[[#This Row],[Variance $]]/tblBudget5[[#This Row],[Budgeted Cost]]</f>
        <v>0.9095821800448135</v>
      </c>
    </row>
    <row r="145" spans="1:7" x14ac:dyDescent="0.25">
      <c r="A145" s="1" t="s">
        <v>20</v>
      </c>
      <c r="B145" s="1" t="s">
        <v>12</v>
      </c>
      <c r="C145" s="1" t="s">
        <v>9</v>
      </c>
      <c r="D145" s="7">
        <v>16208</v>
      </c>
      <c r="E145" s="7">
        <f>SUMIFS(tblActuals[Amount], tblActuals[Month], A145, tblActuals[Department], B145, tblActuals[Cost Category],C145)</f>
        <v>36815</v>
      </c>
      <c r="F145" s="7">
        <f>tblBudget5[[#This Row],[Actual Cost]]-tblBudget5[[#This Row],[Budgeted Cost]]</f>
        <v>20607</v>
      </c>
      <c r="G145" s="8">
        <f>tblBudget5[[#This Row],[Variance $]]/tblBudget5[[#This Row],[Budgeted Cost]]</f>
        <v>1.2714091806515302</v>
      </c>
    </row>
    <row r="146" spans="1:7" x14ac:dyDescent="0.25">
      <c r="A146" s="1" t="s">
        <v>21</v>
      </c>
      <c r="B146" s="1" t="s">
        <v>5</v>
      </c>
      <c r="C146" s="1" t="s">
        <v>6</v>
      </c>
      <c r="D146" s="7">
        <v>76635</v>
      </c>
      <c r="E146" s="7">
        <f>SUMIFS(tblActuals[Amount], tblActuals[Month], A146, tblActuals[Department], B146, tblActuals[Cost Category],C146)</f>
        <v>37291</v>
      </c>
      <c r="F146" s="7">
        <f>tblBudget5[[#This Row],[Actual Cost]]-tblBudget5[[#This Row],[Budgeted Cost]]</f>
        <v>-39344</v>
      </c>
      <c r="G146" s="8">
        <f>tblBudget5[[#This Row],[Variance $]]/tblBudget5[[#This Row],[Budgeted Cost]]</f>
        <v>-0.51339466301298364</v>
      </c>
    </row>
    <row r="147" spans="1:7" x14ac:dyDescent="0.25">
      <c r="A147" s="1" t="s">
        <v>21</v>
      </c>
      <c r="B147" s="1" t="s">
        <v>5</v>
      </c>
      <c r="C147" s="1" t="s">
        <v>7</v>
      </c>
      <c r="D147" s="7">
        <v>18220</v>
      </c>
      <c r="E147" s="7">
        <f>SUMIFS(tblActuals[Amount], tblActuals[Month], A147, tblActuals[Department], B147, tblActuals[Cost Category],C147)</f>
        <v>42205</v>
      </c>
      <c r="F147" s="7">
        <f>tblBudget5[[#This Row],[Actual Cost]]-tblBudget5[[#This Row],[Budgeted Cost]]</f>
        <v>23985</v>
      </c>
      <c r="G147" s="8">
        <f>tblBudget5[[#This Row],[Variance $]]/tblBudget5[[#This Row],[Budgeted Cost]]</f>
        <v>1.316410537870472</v>
      </c>
    </row>
    <row r="148" spans="1:7" x14ac:dyDescent="0.25">
      <c r="A148" s="1" t="s">
        <v>21</v>
      </c>
      <c r="B148" s="1" t="s">
        <v>5</v>
      </c>
      <c r="C148" s="1" t="s">
        <v>8</v>
      </c>
      <c r="D148" s="7">
        <v>13952</v>
      </c>
      <c r="E148" s="7">
        <f>SUMIFS(tblActuals[Amount], tblActuals[Month], A148, tblActuals[Department], B148, tblActuals[Cost Category],C148)</f>
        <v>44864</v>
      </c>
      <c r="F148" s="7">
        <f>tblBudget5[[#This Row],[Actual Cost]]-tblBudget5[[#This Row],[Budgeted Cost]]</f>
        <v>30912</v>
      </c>
      <c r="G148" s="8">
        <f>tblBudget5[[#This Row],[Variance $]]/tblBudget5[[#This Row],[Budgeted Cost]]</f>
        <v>2.2155963302752295</v>
      </c>
    </row>
    <row r="149" spans="1:7" x14ac:dyDescent="0.25">
      <c r="A149" s="1" t="s">
        <v>21</v>
      </c>
      <c r="B149" s="1" t="s">
        <v>5</v>
      </c>
      <c r="C149" s="1" t="s">
        <v>9</v>
      </c>
      <c r="D149" s="7">
        <v>17376</v>
      </c>
      <c r="E149" s="7">
        <f>SUMIFS(tblActuals[Amount], tblActuals[Month], A149, tblActuals[Department], B149, tblActuals[Cost Category],C149)</f>
        <v>52172</v>
      </c>
      <c r="F149" s="7">
        <f>tblBudget5[[#This Row],[Actual Cost]]-tblBudget5[[#This Row],[Budgeted Cost]]</f>
        <v>34796</v>
      </c>
      <c r="G149" s="8">
        <f>tblBudget5[[#This Row],[Variance $]]/tblBudget5[[#This Row],[Budgeted Cost]]</f>
        <v>2.0025322283609577</v>
      </c>
    </row>
    <row r="150" spans="1:7" x14ac:dyDescent="0.25">
      <c r="A150" s="1" t="s">
        <v>21</v>
      </c>
      <c r="B150" s="1" t="s">
        <v>10</v>
      </c>
      <c r="C150" s="1" t="s">
        <v>6</v>
      </c>
      <c r="D150" s="7">
        <v>57131</v>
      </c>
      <c r="E150" s="7">
        <f>SUMIFS(tblActuals[Amount], tblActuals[Month], A150, tblActuals[Department], B150, tblActuals[Cost Category],C150)</f>
        <v>49144</v>
      </c>
      <c r="F150" s="7">
        <f>tblBudget5[[#This Row],[Actual Cost]]-tblBudget5[[#This Row],[Budgeted Cost]]</f>
        <v>-7987</v>
      </c>
      <c r="G150" s="8">
        <f>tblBudget5[[#This Row],[Variance $]]/tblBudget5[[#This Row],[Budgeted Cost]]</f>
        <v>-0.13980150881307871</v>
      </c>
    </row>
    <row r="151" spans="1:7" x14ac:dyDescent="0.25">
      <c r="A151" s="1" t="s">
        <v>21</v>
      </c>
      <c r="B151" s="1" t="s">
        <v>10</v>
      </c>
      <c r="C151" s="1" t="s">
        <v>7</v>
      </c>
      <c r="D151" s="7">
        <v>16134</v>
      </c>
      <c r="E151" s="7">
        <f>SUMIFS(tblActuals[Amount], tblActuals[Month], A151, tblActuals[Department], B151, tblActuals[Cost Category],C151)</f>
        <v>27975</v>
      </c>
      <c r="F151" s="7">
        <f>tblBudget5[[#This Row],[Actual Cost]]-tblBudget5[[#This Row],[Budgeted Cost]]</f>
        <v>11841</v>
      </c>
      <c r="G151" s="8">
        <f>tblBudget5[[#This Row],[Variance $]]/tblBudget5[[#This Row],[Budgeted Cost]]</f>
        <v>0.73391595388620301</v>
      </c>
    </row>
    <row r="152" spans="1:7" x14ac:dyDescent="0.25">
      <c r="A152" s="1" t="s">
        <v>21</v>
      </c>
      <c r="B152" s="1" t="s">
        <v>10</v>
      </c>
      <c r="C152" s="1" t="s">
        <v>8</v>
      </c>
      <c r="D152" s="7">
        <v>11534</v>
      </c>
      <c r="E152" s="7">
        <f>SUMIFS(tblActuals[Amount], tblActuals[Month], A152, tblActuals[Department], B152, tblActuals[Cost Category],C152)</f>
        <v>47894</v>
      </c>
      <c r="F152" s="7">
        <f>tblBudget5[[#This Row],[Actual Cost]]-tblBudget5[[#This Row],[Budgeted Cost]]</f>
        <v>36360</v>
      </c>
      <c r="G152" s="8">
        <f>tblBudget5[[#This Row],[Variance $]]/tblBudget5[[#This Row],[Budgeted Cost]]</f>
        <v>3.1524189353216578</v>
      </c>
    </row>
    <row r="153" spans="1:7" x14ac:dyDescent="0.25">
      <c r="A153" s="1" t="s">
        <v>21</v>
      </c>
      <c r="B153" s="1" t="s">
        <v>10</v>
      </c>
      <c r="C153" s="1" t="s">
        <v>9</v>
      </c>
      <c r="D153" s="7">
        <v>11809</v>
      </c>
      <c r="E153" s="7">
        <f>SUMIFS(tblActuals[Amount], tblActuals[Month], A153, tblActuals[Department], B153, tblActuals[Cost Category],C153)</f>
        <v>38837</v>
      </c>
      <c r="F153" s="7">
        <f>tblBudget5[[#This Row],[Actual Cost]]-tblBudget5[[#This Row],[Budgeted Cost]]</f>
        <v>27028</v>
      </c>
      <c r="G153" s="8">
        <f>tblBudget5[[#This Row],[Variance $]]/tblBudget5[[#This Row],[Budgeted Cost]]</f>
        <v>2.2887628080277755</v>
      </c>
    </row>
    <row r="154" spans="1:7" x14ac:dyDescent="0.25">
      <c r="A154" s="1" t="s">
        <v>21</v>
      </c>
      <c r="B154" s="1" t="s">
        <v>11</v>
      </c>
      <c r="C154" s="1" t="s">
        <v>6</v>
      </c>
      <c r="D154" s="7">
        <v>82782</v>
      </c>
      <c r="E154" s="7">
        <f>SUMIFS(tblActuals[Amount], tblActuals[Month], A154, tblActuals[Department], B154, tblActuals[Cost Category],C154)</f>
        <v>34570</v>
      </c>
      <c r="F154" s="7">
        <f>tblBudget5[[#This Row],[Actual Cost]]-tblBudget5[[#This Row],[Budgeted Cost]]</f>
        <v>-48212</v>
      </c>
      <c r="G154" s="8">
        <f>tblBudget5[[#This Row],[Variance $]]/tblBudget5[[#This Row],[Budgeted Cost]]</f>
        <v>-0.58239713947476501</v>
      </c>
    </row>
    <row r="155" spans="1:7" x14ac:dyDescent="0.25">
      <c r="A155" s="1" t="s">
        <v>21</v>
      </c>
      <c r="B155" s="1" t="s">
        <v>11</v>
      </c>
      <c r="C155" s="1" t="s">
        <v>7</v>
      </c>
      <c r="D155" s="7">
        <v>19594</v>
      </c>
      <c r="E155" s="7">
        <f>SUMIFS(tblActuals[Amount], tblActuals[Month], A155, tblActuals[Department], B155, tblActuals[Cost Category],C155)</f>
        <v>33214</v>
      </c>
      <c r="F155" s="7">
        <f>tblBudget5[[#This Row],[Actual Cost]]-tblBudget5[[#This Row],[Budgeted Cost]]</f>
        <v>13620</v>
      </c>
      <c r="G155" s="8">
        <f>tblBudget5[[#This Row],[Variance $]]/tblBudget5[[#This Row],[Budgeted Cost]]</f>
        <v>0.69511074818822094</v>
      </c>
    </row>
    <row r="156" spans="1:7" x14ac:dyDescent="0.25">
      <c r="A156" s="1" t="s">
        <v>21</v>
      </c>
      <c r="B156" s="1" t="s">
        <v>11</v>
      </c>
      <c r="C156" s="1" t="s">
        <v>8</v>
      </c>
      <c r="D156" s="7">
        <v>17572</v>
      </c>
      <c r="E156" s="7">
        <f>SUMIFS(tblActuals[Amount], tblActuals[Month], A156, tblActuals[Department], B156, tblActuals[Cost Category],C156)</f>
        <v>47898</v>
      </c>
      <c r="F156" s="7">
        <f>tblBudget5[[#This Row],[Actual Cost]]-tblBudget5[[#This Row],[Budgeted Cost]]</f>
        <v>30326</v>
      </c>
      <c r="G156" s="8">
        <f>tblBudget5[[#This Row],[Variance $]]/tblBudget5[[#This Row],[Budgeted Cost]]</f>
        <v>1.7258137946733441</v>
      </c>
    </row>
    <row r="157" spans="1:7" x14ac:dyDescent="0.25">
      <c r="A157" s="1" t="s">
        <v>21</v>
      </c>
      <c r="B157" s="1" t="s">
        <v>11</v>
      </c>
      <c r="C157" s="1" t="s">
        <v>9</v>
      </c>
      <c r="D157" s="7">
        <v>21654</v>
      </c>
      <c r="E157" s="7">
        <f>SUMIFS(tblActuals[Amount], tblActuals[Month], A157, tblActuals[Department], B157, tblActuals[Cost Category],C157)</f>
        <v>37831</v>
      </c>
      <c r="F157" s="7">
        <f>tblBudget5[[#This Row],[Actual Cost]]-tblBudget5[[#This Row],[Budgeted Cost]]</f>
        <v>16177</v>
      </c>
      <c r="G157" s="8">
        <f>tblBudget5[[#This Row],[Variance $]]/tblBudget5[[#This Row],[Budgeted Cost]]</f>
        <v>0.74706751639419966</v>
      </c>
    </row>
    <row r="158" spans="1:7" x14ac:dyDescent="0.25">
      <c r="A158" s="1" t="s">
        <v>21</v>
      </c>
      <c r="B158" s="1" t="s">
        <v>12</v>
      </c>
      <c r="C158" s="1" t="s">
        <v>6</v>
      </c>
      <c r="D158" s="7">
        <v>66188</v>
      </c>
      <c r="E158" s="7">
        <f>SUMIFS(tblActuals[Amount], tblActuals[Month], A158, tblActuals[Department], B158, tblActuals[Cost Category],C158)</f>
        <v>48502</v>
      </c>
      <c r="F158" s="7">
        <f>tblBudget5[[#This Row],[Actual Cost]]-tblBudget5[[#This Row],[Budgeted Cost]]</f>
        <v>-17686</v>
      </c>
      <c r="G158" s="8">
        <f>tblBudget5[[#This Row],[Variance $]]/tblBudget5[[#This Row],[Budgeted Cost]]</f>
        <v>-0.26720855744243671</v>
      </c>
    </row>
    <row r="159" spans="1:7" x14ac:dyDescent="0.25">
      <c r="A159" s="1" t="s">
        <v>21</v>
      </c>
      <c r="B159" s="1" t="s">
        <v>12</v>
      </c>
      <c r="C159" s="1" t="s">
        <v>7</v>
      </c>
      <c r="D159" s="7">
        <v>21484</v>
      </c>
      <c r="E159" s="7">
        <f>SUMIFS(tblActuals[Amount], tblActuals[Month], A159, tblActuals[Department], B159, tblActuals[Cost Category],C159)</f>
        <v>46850</v>
      </c>
      <c r="F159" s="7">
        <f>tblBudget5[[#This Row],[Actual Cost]]-tblBudget5[[#This Row],[Budgeted Cost]]</f>
        <v>25366</v>
      </c>
      <c r="G159" s="8">
        <f>tblBudget5[[#This Row],[Variance $]]/tblBudget5[[#This Row],[Budgeted Cost]]</f>
        <v>1.180692608452802</v>
      </c>
    </row>
    <row r="160" spans="1:7" x14ac:dyDescent="0.25">
      <c r="A160" s="1" t="s">
        <v>21</v>
      </c>
      <c r="B160" s="1" t="s">
        <v>12</v>
      </c>
      <c r="C160" s="1" t="s">
        <v>8</v>
      </c>
      <c r="D160" s="7">
        <v>13998</v>
      </c>
      <c r="E160" s="7">
        <f>SUMIFS(tblActuals[Amount], tblActuals[Month], A160, tblActuals[Department], B160, tblActuals[Cost Category],C160)</f>
        <v>36725</v>
      </c>
      <c r="F160" s="7">
        <f>tblBudget5[[#This Row],[Actual Cost]]-tblBudget5[[#This Row],[Budgeted Cost]]</f>
        <v>22727</v>
      </c>
      <c r="G160" s="8">
        <f>tblBudget5[[#This Row],[Variance $]]/tblBudget5[[#This Row],[Budgeted Cost]]</f>
        <v>1.6235890841548792</v>
      </c>
    </row>
    <row r="161" spans="1:7" x14ac:dyDescent="0.25">
      <c r="A161" s="1" t="s">
        <v>21</v>
      </c>
      <c r="B161" s="1" t="s">
        <v>12</v>
      </c>
      <c r="C161" s="1" t="s">
        <v>9</v>
      </c>
      <c r="D161" s="7">
        <v>14935</v>
      </c>
      <c r="E161" s="7">
        <f>SUMIFS(tblActuals[Amount], tblActuals[Month], A161, tblActuals[Department], B161, tblActuals[Cost Category],C161)</f>
        <v>29023</v>
      </c>
      <c r="F161" s="7">
        <f>tblBudget5[[#This Row],[Actual Cost]]-tblBudget5[[#This Row],[Budgeted Cost]]</f>
        <v>14088</v>
      </c>
      <c r="G161" s="8">
        <f>tblBudget5[[#This Row],[Variance $]]/tblBudget5[[#This Row],[Budgeted Cost]]</f>
        <v>0.94328757951121522</v>
      </c>
    </row>
    <row r="162" spans="1:7" x14ac:dyDescent="0.25">
      <c r="A162" s="1" t="s">
        <v>22</v>
      </c>
      <c r="B162" s="1" t="s">
        <v>5</v>
      </c>
      <c r="C162" s="1" t="s">
        <v>6</v>
      </c>
      <c r="D162" s="7">
        <v>77000</v>
      </c>
      <c r="E162" s="7">
        <f>SUMIFS(tblActuals[Amount], tblActuals[Month], A162, tblActuals[Department], B162, tblActuals[Cost Category],C162)</f>
        <v>38116</v>
      </c>
      <c r="F162" s="7">
        <f>tblBudget5[[#This Row],[Actual Cost]]-tblBudget5[[#This Row],[Budgeted Cost]]</f>
        <v>-38884</v>
      </c>
      <c r="G162" s="8">
        <f>tblBudget5[[#This Row],[Variance $]]/tblBudget5[[#This Row],[Budgeted Cost]]</f>
        <v>-0.50498701298701298</v>
      </c>
    </row>
    <row r="163" spans="1:7" x14ac:dyDescent="0.25">
      <c r="A163" s="1" t="s">
        <v>22</v>
      </c>
      <c r="B163" s="1" t="s">
        <v>5</v>
      </c>
      <c r="C163" s="1" t="s">
        <v>7</v>
      </c>
      <c r="D163" s="7">
        <v>20486</v>
      </c>
      <c r="E163" s="7">
        <f>SUMIFS(tblActuals[Amount], tblActuals[Month], A163, tblActuals[Department], B163, tblActuals[Cost Category],C163)</f>
        <v>49881</v>
      </c>
      <c r="F163" s="7">
        <f>tblBudget5[[#This Row],[Actual Cost]]-tblBudget5[[#This Row],[Budgeted Cost]]</f>
        <v>29395</v>
      </c>
      <c r="G163" s="8">
        <f>tblBudget5[[#This Row],[Variance $]]/tblBudget5[[#This Row],[Budgeted Cost]]</f>
        <v>1.4348823586839794</v>
      </c>
    </row>
    <row r="164" spans="1:7" x14ac:dyDescent="0.25">
      <c r="A164" s="1" t="s">
        <v>22</v>
      </c>
      <c r="B164" s="1" t="s">
        <v>5</v>
      </c>
      <c r="C164" s="1" t="s">
        <v>8</v>
      </c>
      <c r="D164" s="7">
        <v>11713</v>
      </c>
      <c r="E164" s="7">
        <f>SUMIFS(tblActuals[Amount], tblActuals[Month], A164, tblActuals[Department], B164, tblActuals[Cost Category],C164)</f>
        <v>32324</v>
      </c>
      <c r="F164" s="7">
        <f>tblBudget5[[#This Row],[Actual Cost]]-tblBudget5[[#This Row],[Budgeted Cost]]</f>
        <v>20611</v>
      </c>
      <c r="G164" s="8">
        <f>tblBudget5[[#This Row],[Variance $]]/tblBudget5[[#This Row],[Budgeted Cost]]</f>
        <v>1.7596687441304533</v>
      </c>
    </row>
    <row r="165" spans="1:7" x14ac:dyDescent="0.25">
      <c r="A165" s="1" t="s">
        <v>22</v>
      </c>
      <c r="B165" s="1" t="s">
        <v>5</v>
      </c>
      <c r="C165" s="1" t="s">
        <v>9</v>
      </c>
      <c r="D165" s="7">
        <v>16654</v>
      </c>
      <c r="E165" s="7">
        <f>SUMIFS(tblActuals[Amount], tblActuals[Month], A165, tblActuals[Department], B165, tblActuals[Cost Category],C165)</f>
        <v>46131</v>
      </c>
      <c r="F165" s="7">
        <f>tblBudget5[[#This Row],[Actual Cost]]-tblBudget5[[#This Row],[Budgeted Cost]]</f>
        <v>29477</v>
      </c>
      <c r="G165" s="8">
        <f>tblBudget5[[#This Row],[Variance $]]/tblBudget5[[#This Row],[Budgeted Cost]]</f>
        <v>1.7699651735318842</v>
      </c>
    </row>
    <row r="166" spans="1:7" x14ac:dyDescent="0.25">
      <c r="A166" s="1" t="s">
        <v>22</v>
      </c>
      <c r="B166" s="1" t="s">
        <v>10</v>
      </c>
      <c r="C166" s="1" t="s">
        <v>6</v>
      </c>
      <c r="D166" s="7">
        <v>55811</v>
      </c>
      <c r="E166" s="7">
        <f>SUMIFS(tblActuals[Amount], tblActuals[Month], A166, tblActuals[Department], B166, tblActuals[Cost Category],C166)</f>
        <v>47493</v>
      </c>
      <c r="F166" s="7">
        <f>tblBudget5[[#This Row],[Actual Cost]]-tblBudget5[[#This Row],[Budgeted Cost]]</f>
        <v>-8318</v>
      </c>
      <c r="G166" s="8">
        <f>tblBudget5[[#This Row],[Variance $]]/tblBudget5[[#This Row],[Budgeted Cost]]</f>
        <v>-0.14903871996559817</v>
      </c>
    </row>
    <row r="167" spans="1:7" x14ac:dyDescent="0.25">
      <c r="A167" s="1" t="s">
        <v>22</v>
      </c>
      <c r="B167" s="1" t="s">
        <v>10</v>
      </c>
      <c r="C167" s="1" t="s">
        <v>7</v>
      </c>
      <c r="D167" s="7">
        <v>13595</v>
      </c>
      <c r="E167" s="7">
        <f>SUMIFS(tblActuals[Amount], tblActuals[Month], A167, tblActuals[Department], B167, tblActuals[Cost Category],C167)</f>
        <v>42644</v>
      </c>
      <c r="F167" s="7">
        <f>tblBudget5[[#This Row],[Actual Cost]]-tblBudget5[[#This Row],[Budgeted Cost]]</f>
        <v>29049</v>
      </c>
      <c r="G167" s="8">
        <f>tblBudget5[[#This Row],[Variance $]]/tblBudget5[[#This Row],[Budgeted Cost]]</f>
        <v>2.1367414490621552</v>
      </c>
    </row>
    <row r="168" spans="1:7" x14ac:dyDescent="0.25">
      <c r="A168" s="1" t="s">
        <v>22</v>
      </c>
      <c r="B168" s="1" t="s">
        <v>10</v>
      </c>
      <c r="C168" s="1" t="s">
        <v>8</v>
      </c>
      <c r="D168" s="7">
        <v>10916</v>
      </c>
      <c r="E168" s="7">
        <f>SUMIFS(tblActuals[Amount], tblActuals[Month], A168, tblActuals[Department], B168, tblActuals[Cost Category],C168)</f>
        <v>41888</v>
      </c>
      <c r="F168" s="7">
        <f>tblBudget5[[#This Row],[Actual Cost]]-tblBudget5[[#This Row],[Budgeted Cost]]</f>
        <v>30972</v>
      </c>
      <c r="G168" s="8">
        <f>tblBudget5[[#This Row],[Variance $]]/tblBudget5[[#This Row],[Budgeted Cost]]</f>
        <v>2.8373030414071088</v>
      </c>
    </row>
    <row r="169" spans="1:7" x14ac:dyDescent="0.25">
      <c r="A169" s="1" t="s">
        <v>22</v>
      </c>
      <c r="B169" s="1" t="s">
        <v>10</v>
      </c>
      <c r="C169" s="1" t="s">
        <v>9</v>
      </c>
      <c r="D169" s="7">
        <v>9776</v>
      </c>
      <c r="E169" s="7">
        <f>SUMIFS(tblActuals[Amount], tblActuals[Month], A169, tblActuals[Department], B169, tblActuals[Cost Category],C169)</f>
        <v>36812</v>
      </c>
      <c r="F169" s="7">
        <f>tblBudget5[[#This Row],[Actual Cost]]-tblBudget5[[#This Row],[Budgeted Cost]]</f>
        <v>27036</v>
      </c>
      <c r="G169" s="8">
        <f>tblBudget5[[#This Row],[Variance $]]/tblBudget5[[#This Row],[Budgeted Cost]]</f>
        <v>2.7655482815057284</v>
      </c>
    </row>
    <row r="170" spans="1:7" x14ac:dyDescent="0.25">
      <c r="A170" s="1" t="s">
        <v>22</v>
      </c>
      <c r="B170" s="1" t="s">
        <v>11</v>
      </c>
      <c r="C170" s="1" t="s">
        <v>6</v>
      </c>
      <c r="D170" s="7">
        <v>84165</v>
      </c>
      <c r="E170" s="7">
        <f>SUMIFS(tblActuals[Amount], tblActuals[Month], A170, tblActuals[Department], B170, tblActuals[Cost Category],C170)</f>
        <v>38044</v>
      </c>
      <c r="F170" s="7">
        <f>tblBudget5[[#This Row],[Actual Cost]]-tblBudget5[[#This Row],[Budgeted Cost]]</f>
        <v>-46121</v>
      </c>
      <c r="G170" s="8">
        <f>tblBudget5[[#This Row],[Variance $]]/tblBudget5[[#This Row],[Budgeted Cost]]</f>
        <v>-0.54798312837877983</v>
      </c>
    </row>
    <row r="171" spans="1:7" x14ac:dyDescent="0.25">
      <c r="A171" s="1" t="s">
        <v>22</v>
      </c>
      <c r="B171" s="1" t="s">
        <v>11</v>
      </c>
      <c r="C171" s="1" t="s">
        <v>7</v>
      </c>
      <c r="D171" s="7">
        <v>25395</v>
      </c>
      <c r="E171" s="7">
        <f>SUMIFS(tblActuals[Amount], tblActuals[Month], A171, tblActuals[Department], B171, tblActuals[Cost Category],C171)</f>
        <v>51284</v>
      </c>
      <c r="F171" s="7">
        <f>tblBudget5[[#This Row],[Actual Cost]]-tblBudget5[[#This Row],[Budgeted Cost]]</f>
        <v>25889</v>
      </c>
      <c r="G171" s="8">
        <f>tblBudget5[[#This Row],[Variance $]]/tblBudget5[[#This Row],[Budgeted Cost]]</f>
        <v>1.0194526481590864</v>
      </c>
    </row>
    <row r="172" spans="1:7" x14ac:dyDescent="0.25">
      <c r="A172" s="1" t="s">
        <v>22</v>
      </c>
      <c r="B172" s="1" t="s">
        <v>11</v>
      </c>
      <c r="C172" s="1" t="s">
        <v>8</v>
      </c>
      <c r="D172" s="7">
        <v>14157</v>
      </c>
      <c r="E172" s="7">
        <f>SUMIFS(tblActuals[Amount], tblActuals[Month], A172, tblActuals[Department], B172, tblActuals[Cost Category],C172)</f>
        <v>42258</v>
      </c>
      <c r="F172" s="7">
        <f>tblBudget5[[#This Row],[Actual Cost]]-tblBudget5[[#This Row],[Budgeted Cost]]</f>
        <v>28101</v>
      </c>
      <c r="G172" s="8">
        <f>tblBudget5[[#This Row],[Variance $]]/tblBudget5[[#This Row],[Budgeted Cost]]</f>
        <v>1.9849544394998941</v>
      </c>
    </row>
    <row r="173" spans="1:7" x14ac:dyDescent="0.25">
      <c r="A173" s="1" t="s">
        <v>22</v>
      </c>
      <c r="B173" s="1" t="s">
        <v>11</v>
      </c>
      <c r="C173" s="1" t="s">
        <v>9</v>
      </c>
      <c r="D173" s="7">
        <v>19850</v>
      </c>
      <c r="E173" s="7">
        <f>SUMIFS(tblActuals[Amount], tblActuals[Month], A173, tblActuals[Department], B173, tblActuals[Cost Category],C173)</f>
        <v>52352</v>
      </c>
      <c r="F173" s="7">
        <f>tblBudget5[[#This Row],[Actual Cost]]-tblBudget5[[#This Row],[Budgeted Cost]]</f>
        <v>32502</v>
      </c>
      <c r="G173" s="8">
        <f>tblBudget5[[#This Row],[Variance $]]/tblBudget5[[#This Row],[Budgeted Cost]]</f>
        <v>1.6373803526448363</v>
      </c>
    </row>
    <row r="174" spans="1:7" x14ac:dyDescent="0.25">
      <c r="A174" s="1" t="s">
        <v>22</v>
      </c>
      <c r="B174" s="1" t="s">
        <v>12</v>
      </c>
      <c r="C174" s="1" t="s">
        <v>6</v>
      </c>
      <c r="D174" s="7">
        <v>66713</v>
      </c>
      <c r="E174" s="7">
        <f>SUMIFS(tblActuals[Amount], tblActuals[Month], A174, tblActuals[Department], B174, tblActuals[Cost Category],C174)</f>
        <v>42541</v>
      </c>
      <c r="F174" s="7">
        <f>tblBudget5[[#This Row],[Actual Cost]]-tblBudget5[[#This Row],[Budgeted Cost]]</f>
        <v>-24172</v>
      </c>
      <c r="G174" s="8">
        <f>tblBudget5[[#This Row],[Variance $]]/tblBudget5[[#This Row],[Budgeted Cost]]</f>
        <v>-0.36232818191357008</v>
      </c>
    </row>
    <row r="175" spans="1:7" x14ac:dyDescent="0.25">
      <c r="A175" s="1" t="s">
        <v>22</v>
      </c>
      <c r="B175" s="1" t="s">
        <v>12</v>
      </c>
      <c r="C175" s="1" t="s">
        <v>7</v>
      </c>
      <c r="D175" s="7">
        <v>20058</v>
      </c>
      <c r="E175" s="7">
        <f>SUMIFS(tblActuals[Amount], tblActuals[Month], A175, tblActuals[Department], B175, tblActuals[Cost Category],C175)</f>
        <v>45528</v>
      </c>
      <c r="F175" s="7">
        <f>tblBudget5[[#This Row],[Actual Cost]]-tblBudget5[[#This Row],[Budgeted Cost]]</f>
        <v>25470</v>
      </c>
      <c r="G175" s="8">
        <f>tblBudget5[[#This Row],[Variance $]]/tblBudget5[[#This Row],[Budgeted Cost]]</f>
        <v>1.2698175291654203</v>
      </c>
    </row>
    <row r="176" spans="1:7" x14ac:dyDescent="0.25">
      <c r="A176" s="1" t="s">
        <v>22</v>
      </c>
      <c r="B176" s="1" t="s">
        <v>12</v>
      </c>
      <c r="C176" s="1" t="s">
        <v>8</v>
      </c>
      <c r="D176" s="7">
        <v>10471</v>
      </c>
      <c r="E176" s="7">
        <f>SUMIFS(tblActuals[Amount], tblActuals[Month], A176, tblActuals[Department], B176, tblActuals[Cost Category],C176)</f>
        <v>27209</v>
      </c>
      <c r="F176" s="7">
        <f>tblBudget5[[#This Row],[Actual Cost]]-tblBudget5[[#This Row],[Budgeted Cost]]</f>
        <v>16738</v>
      </c>
      <c r="G176" s="8">
        <f>tblBudget5[[#This Row],[Variance $]]/tblBudget5[[#This Row],[Budgeted Cost]]</f>
        <v>1.5985101709483336</v>
      </c>
    </row>
    <row r="177" spans="1:7" x14ac:dyDescent="0.25">
      <c r="A177" s="1" t="s">
        <v>22</v>
      </c>
      <c r="B177" s="1" t="s">
        <v>12</v>
      </c>
      <c r="C177" s="1" t="s">
        <v>9</v>
      </c>
      <c r="D177" s="7">
        <v>17872</v>
      </c>
      <c r="E177" s="7">
        <f>SUMIFS(tblActuals[Amount], tblActuals[Month], A177, tblActuals[Department], B177, tblActuals[Cost Category],C177)</f>
        <v>41956</v>
      </c>
      <c r="F177" s="7">
        <f>tblBudget5[[#This Row],[Actual Cost]]-tblBudget5[[#This Row],[Budgeted Cost]]</f>
        <v>24084</v>
      </c>
      <c r="G177" s="8">
        <f>tblBudget5[[#This Row],[Variance $]]/tblBudget5[[#This Row],[Budgeted Cost]]</f>
        <v>1.3475828111011638</v>
      </c>
    </row>
    <row r="178" spans="1:7" x14ac:dyDescent="0.25">
      <c r="A178" s="1" t="s">
        <v>23</v>
      </c>
      <c r="B178" s="1" t="s">
        <v>5</v>
      </c>
      <c r="C178" s="1" t="s">
        <v>6</v>
      </c>
      <c r="D178" s="7">
        <v>74194</v>
      </c>
      <c r="E178" s="7">
        <f>SUMIFS(tblActuals[Amount], tblActuals[Month], A178, tblActuals[Department], B178, tblActuals[Cost Category],C178)</f>
        <v>47452</v>
      </c>
      <c r="F178" s="7">
        <f>tblBudget5[[#This Row],[Actual Cost]]-tblBudget5[[#This Row],[Budgeted Cost]]</f>
        <v>-26742</v>
      </c>
      <c r="G178" s="8">
        <f>tblBudget5[[#This Row],[Variance $]]/tblBudget5[[#This Row],[Budgeted Cost]]</f>
        <v>-0.36043345823112383</v>
      </c>
    </row>
    <row r="179" spans="1:7" x14ac:dyDescent="0.25">
      <c r="A179" s="1" t="s">
        <v>23</v>
      </c>
      <c r="B179" s="1" t="s">
        <v>5</v>
      </c>
      <c r="C179" s="1" t="s">
        <v>7</v>
      </c>
      <c r="D179" s="7">
        <v>22934</v>
      </c>
      <c r="E179" s="7">
        <f>SUMIFS(tblActuals[Amount], tblActuals[Month], A179, tblActuals[Department], B179, tblActuals[Cost Category],C179)</f>
        <v>50255</v>
      </c>
      <c r="F179" s="7">
        <f>tblBudget5[[#This Row],[Actual Cost]]-tblBudget5[[#This Row],[Budgeted Cost]]</f>
        <v>27321</v>
      </c>
      <c r="G179" s="8">
        <f>tblBudget5[[#This Row],[Variance $]]/tblBudget5[[#This Row],[Budgeted Cost]]</f>
        <v>1.1912880439522107</v>
      </c>
    </row>
    <row r="180" spans="1:7" x14ac:dyDescent="0.25">
      <c r="A180" s="1" t="s">
        <v>23</v>
      </c>
      <c r="B180" s="1" t="s">
        <v>5</v>
      </c>
      <c r="C180" s="1" t="s">
        <v>8</v>
      </c>
      <c r="D180" s="7">
        <v>14958</v>
      </c>
      <c r="E180" s="7">
        <f>SUMIFS(tblActuals[Amount], tblActuals[Month], A180, tblActuals[Department], B180, tblActuals[Cost Category],C180)</f>
        <v>40848</v>
      </c>
      <c r="F180" s="7">
        <f>tblBudget5[[#This Row],[Actual Cost]]-tblBudget5[[#This Row],[Budgeted Cost]]</f>
        <v>25890</v>
      </c>
      <c r="G180" s="8">
        <f>tblBudget5[[#This Row],[Variance $]]/tblBudget5[[#This Row],[Budgeted Cost]]</f>
        <v>1.7308463698355394</v>
      </c>
    </row>
    <row r="181" spans="1:7" x14ac:dyDescent="0.25">
      <c r="A181" s="1" t="s">
        <v>23</v>
      </c>
      <c r="B181" s="1" t="s">
        <v>5</v>
      </c>
      <c r="C181" s="1" t="s">
        <v>9</v>
      </c>
      <c r="D181" s="7">
        <v>19238</v>
      </c>
      <c r="E181" s="7">
        <f>SUMIFS(tblActuals[Amount], tblActuals[Month], A181, tblActuals[Department], B181, tblActuals[Cost Category],C181)</f>
        <v>49937</v>
      </c>
      <c r="F181" s="7">
        <f>tblBudget5[[#This Row],[Actual Cost]]-tblBudget5[[#This Row],[Budgeted Cost]]</f>
        <v>30699</v>
      </c>
      <c r="G181" s="8">
        <f>tblBudget5[[#This Row],[Variance $]]/tblBudget5[[#This Row],[Budgeted Cost]]</f>
        <v>1.595747998752469</v>
      </c>
    </row>
    <row r="182" spans="1:7" x14ac:dyDescent="0.25">
      <c r="A182" s="1" t="s">
        <v>23</v>
      </c>
      <c r="B182" s="1" t="s">
        <v>10</v>
      </c>
      <c r="C182" s="1" t="s">
        <v>6</v>
      </c>
      <c r="D182" s="7">
        <v>53879</v>
      </c>
      <c r="E182" s="7">
        <f>SUMIFS(tblActuals[Amount], tblActuals[Month], A182, tblActuals[Department], B182, tblActuals[Cost Category],C182)</f>
        <v>42378</v>
      </c>
      <c r="F182" s="7">
        <f>tblBudget5[[#This Row],[Actual Cost]]-tblBudget5[[#This Row],[Budgeted Cost]]</f>
        <v>-11501</v>
      </c>
      <c r="G182" s="8">
        <f>tblBudget5[[#This Row],[Variance $]]/tblBudget5[[#This Row],[Budgeted Cost]]</f>
        <v>-0.21345978952838768</v>
      </c>
    </row>
    <row r="183" spans="1:7" x14ac:dyDescent="0.25">
      <c r="A183" s="1" t="s">
        <v>23</v>
      </c>
      <c r="B183" s="1" t="s">
        <v>10</v>
      </c>
      <c r="C183" s="1" t="s">
        <v>7</v>
      </c>
      <c r="D183" s="7">
        <v>13552</v>
      </c>
      <c r="E183" s="7">
        <f>SUMIFS(tblActuals[Amount], tblActuals[Month], A183, tblActuals[Department], B183, tblActuals[Cost Category],C183)</f>
        <v>42485</v>
      </c>
      <c r="F183" s="7">
        <f>tblBudget5[[#This Row],[Actual Cost]]-tblBudget5[[#This Row],[Budgeted Cost]]</f>
        <v>28933</v>
      </c>
      <c r="G183" s="8">
        <f>tblBudget5[[#This Row],[Variance $]]/tblBudget5[[#This Row],[Budgeted Cost]]</f>
        <v>2.134961629279811</v>
      </c>
    </row>
    <row r="184" spans="1:7" x14ac:dyDescent="0.25">
      <c r="A184" s="1" t="s">
        <v>23</v>
      </c>
      <c r="B184" s="1" t="s">
        <v>10</v>
      </c>
      <c r="C184" s="1" t="s">
        <v>8</v>
      </c>
      <c r="D184" s="7">
        <v>10263</v>
      </c>
      <c r="E184" s="7">
        <f>SUMIFS(tblActuals[Amount], tblActuals[Month], A184, tblActuals[Department], B184, tblActuals[Cost Category],C184)</f>
        <v>41817</v>
      </c>
      <c r="F184" s="7">
        <f>tblBudget5[[#This Row],[Actual Cost]]-tblBudget5[[#This Row],[Budgeted Cost]]</f>
        <v>31554</v>
      </c>
      <c r="G184" s="8">
        <f>tblBudget5[[#This Row],[Variance $]]/tblBudget5[[#This Row],[Budgeted Cost]]</f>
        <v>3.0745396083016661</v>
      </c>
    </row>
    <row r="185" spans="1:7" x14ac:dyDescent="0.25">
      <c r="A185" s="1" t="s">
        <v>23</v>
      </c>
      <c r="B185" s="1" t="s">
        <v>10</v>
      </c>
      <c r="C185" s="1" t="s">
        <v>9</v>
      </c>
      <c r="D185" s="7">
        <v>11073</v>
      </c>
      <c r="E185" s="7">
        <f>SUMIFS(tblActuals[Amount], tblActuals[Month], A185, tblActuals[Department], B185, tblActuals[Cost Category],C185)</f>
        <v>53924</v>
      </c>
      <c r="F185" s="7">
        <f>tblBudget5[[#This Row],[Actual Cost]]-tblBudget5[[#This Row],[Budgeted Cost]]</f>
        <v>42851</v>
      </c>
      <c r="G185" s="8">
        <f>tblBudget5[[#This Row],[Variance $]]/tblBudget5[[#This Row],[Budgeted Cost]]</f>
        <v>3.8698636322586473</v>
      </c>
    </row>
    <row r="186" spans="1:7" x14ac:dyDescent="0.25">
      <c r="A186" s="1" t="s">
        <v>23</v>
      </c>
      <c r="B186" s="1" t="s">
        <v>11</v>
      </c>
      <c r="C186" s="1" t="s">
        <v>6</v>
      </c>
      <c r="D186" s="7">
        <v>82668</v>
      </c>
      <c r="E186" s="7">
        <f>SUMIFS(tblActuals[Amount], tblActuals[Month], A186, tblActuals[Department], B186, tblActuals[Cost Category],C186)</f>
        <v>54273</v>
      </c>
      <c r="F186" s="7">
        <f>tblBudget5[[#This Row],[Actual Cost]]-tblBudget5[[#This Row],[Budgeted Cost]]</f>
        <v>-28395</v>
      </c>
      <c r="G186" s="8">
        <f>tblBudget5[[#This Row],[Variance $]]/tblBudget5[[#This Row],[Budgeted Cost]]</f>
        <v>-0.34348236318769054</v>
      </c>
    </row>
    <row r="187" spans="1:7" x14ac:dyDescent="0.25">
      <c r="A187" s="1" t="s">
        <v>23</v>
      </c>
      <c r="B187" s="1" t="s">
        <v>11</v>
      </c>
      <c r="C187" s="1" t="s">
        <v>7</v>
      </c>
      <c r="D187" s="7">
        <v>23844</v>
      </c>
      <c r="E187" s="7">
        <f>SUMIFS(tblActuals[Amount], tblActuals[Month], A187, tblActuals[Department], B187, tblActuals[Cost Category],C187)</f>
        <v>42603</v>
      </c>
      <c r="F187" s="7">
        <f>tblBudget5[[#This Row],[Actual Cost]]-tblBudget5[[#This Row],[Budgeted Cost]]</f>
        <v>18759</v>
      </c>
      <c r="G187" s="8">
        <f>tblBudget5[[#This Row],[Variance $]]/tblBudget5[[#This Row],[Budgeted Cost]]</f>
        <v>0.78673880221439352</v>
      </c>
    </row>
    <row r="188" spans="1:7" x14ac:dyDescent="0.25">
      <c r="A188" s="1" t="s">
        <v>23</v>
      </c>
      <c r="B188" s="1" t="s">
        <v>11</v>
      </c>
      <c r="C188" s="1" t="s">
        <v>8</v>
      </c>
      <c r="D188" s="7">
        <v>12004</v>
      </c>
      <c r="E188" s="7">
        <f>SUMIFS(tblActuals[Amount], tblActuals[Month], A188, tblActuals[Department], B188, tblActuals[Cost Category],C188)</f>
        <v>32078</v>
      </c>
      <c r="F188" s="7">
        <f>tblBudget5[[#This Row],[Actual Cost]]-tblBudget5[[#This Row],[Budgeted Cost]]</f>
        <v>20074</v>
      </c>
      <c r="G188" s="8">
        <f>tblBudget5[[#This Row],[Variance $]]/tblBudget5[[#This Row],[Budgeted Cost]]</f>
        <v>1.6722759080306564</v>
      </c>
    </row>
    <row r="189" spans="1:7" x14ac:dyDescent="0.25">
      <c r="A189" s="1" t="s">
        <v>23</v>
      </c>
      <c r="B189" s="1" t="s">
        <v>11</v>
      </c>
      <c r="C189" s="1" t="s">
        <v>9</v>
      </c>
      <c r="D189" s="7">
        <v>20656</v>
      </c>
      <c r="E189" s="7">
        <f>SUMIFS(tblActuals[Amount], tblActuals[Month], A189, tblActuals[Department], B189, tblActuals[Cost Category],C189)</f>
        <v>34966</v>
      </c>
      <c r="F189" s="7">
        <f>tblBudget5[[#This Row],[Actual Cost]]-tblBudget5[[#This Row],[Budgeted Cost]]</f>
        <v>14310</v>
      </c>
      <c r="G189" s="8">
        <f>tblBudget5[[#This Row],[Variance $]]/tblBudget5[[#This Row],[Budgeted Cost]]</f>
        <v>0.69277691711851275</v>
      </c>
    </row>
    <row r="190" spans="1:7" x14ac:dyDescent="0.25">
      <c r="A190" s="1" t="s">
        <v>23</v>
      </c>
      <c r="B190" s="1" t="s">
        <v>12</v>
      </c>
      <c r="C190" s="1" t="s">
        <v>6</v>
      </c>
      <c r="D190" s="7">
        <v>67905</v>
      </c>
      <c r="E190" s="7">
        <f>SUMIFS(tblActuals[Amount], tblActuals[Month], A190, tblActuals[Department], B190, tblActuals[Cost Category],C190)</f>
        <v>48856</v>
      </c>
      <c r="F190" s="7">
        <f>tblBudget5[[#This Row],[Actual Cost]]-tblBudget5[[#This Row],[Budgeted Cost]]</f>
        <v>-19049</v>
      </c>
      <c r="G190" s="8">
        <f>tblBudget5[[#This Row],[Variance $]]/tblBudget5[[#This Row],[Budgeted Cost]]</f>
        <v>-0.28052426183638907</v>
      </c>
    </row>
    <row r="191" spans="1:7" x14ac:dyDescent="0.25">
      <c r="A191" s="1" t="s">
        <v>23</v>
      </c>
      <c r="B191" s="1" t="s">
        <v>12</v>
      </c>
      <c r="C191" s="1" t="s">
        <v>7</v>
      </c>
      <c r="D191" s="7">
        <v>19902</v>
      </c>
      <c r="E191" s="7">
        <f>SUMIFS(tblActuals[Amount], tblActuals[Month], A191, tblActuals[Department], B191, tblActuals[Cost Category],C191)</f>
        <v>42863</v>
      </c>
      <c r="F191" s="7">
        <f>tblBudget5[[#This Row],[Actual Cost]]-tblBudget5[[#This Row],[Budgeted Cost]]</f>
        <v>22961</v>
      </c>
      <c r="G191" s="8">
        <f>tblBudget5[[#This Row],[Variance $]]/tblBudget5[[#This Row],[Budgeted Cost]]</f>
        <v>1.1537031454125213</v>
      </c>
    </row>
    <row r="192" spans="1:7" x14ac:dyDescent="0.25">
      <c r="A192" s="1" t="s">
        <v>23</v>
      </c>
      <c r="B192" s="1" t="s">
        <v>12</v>
      </c>
      <c r="C192" s="1" t="s">
        <v>8</v>
      </c>
      <c r="D192" s="7">
        <v>9759</v>
      </c>
      <c r="E192" s="7">
        <f>SUMIFS(tblActuals[Amount], tblActuals[Month], A192, tblActuals[Department], B192, tblActuals[Cost Category],C192)</f>
        <v>43927</v>
      </c>
      <c r="F192" s="7">
        <f>tblBudget5[[#This Row],[Actual Cost]]-tblBudget5[[#This Row],[Budgeted Cost]]</f>
        <v>34168</v>
      </c>
      <c r="G192" s="8">
        <f>tblBudget5[[#This Row],[Variance $]]/tblBudget5[[#This Row],[Budgeted Cost]]</f>
        <v>3.5011783994261707</v>
      </c>
    </row>
    <row r="193" spans="1:7" x14ac:dyDescent="0.25">
      <c r="A193" s="1" t="s">
        <v>23</v>
      </c>
      <c r="B193" s="1" t="s">
        <v>12</v>
      </c>
      <c r="C193" s="1" t="s">
        <v>9</v>
      </c>
      <c r="D193" s="7">
        <v>13666</v>
      </c>
      <c r="E193" s="7">
        <f>SUMIFS(tblActuals[Amount], tblActuals[Month], A193, tblActuals[Department], B193, tblActuals[Cost Category],C193)</f>
        <v>35992</v>
      </c>
      <c r="F193" s="7">
        <f>tblBudget5[[#This Row],[Actual Cost]]-tblBudget5[[#This Row],[Budgeted Cost]]</f>
        <v>22326</v>
      </c>
      <c r="G193" s="8">
        <f>tblBudget5[[#This Row],[Variance $]]/tblBudget5[[#This Row],[Budgeted Cost]]</f>
        <v>1.6336894482657691</v>
      </c>
    </row>
  </sheetData>
  <conditionalFormatting sqref="F2:F193">
    <cfRule type="cellIs" dxfId="3" priority="3" operator="lessThan">
      <formula>0</formula>
    </cfRule>
    <cfRule type="cellIs" dxfId="2" priority="4" operator="greaterThan">
      <formula>0</formula>
    </cfRule>
  </conditionalFormatting>
  <conditionalFormatting sqref="G2:G193">
    <cfRule type="cellIs" dxfId="1" priority="1" operator="lessThan">
      <formula>0</formula>
    </cfRule>
    <cfRule type="cellIs" dxfId="0" priority="2" operator="greaterThan">
      <formula>0</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FAD15-FAF7-443A-8CDA-837A49A84F8F}">
  <dimension ref="A1:F7"/>
  <sheetViews>
    <sheetView workbookViewId="0">
      <selection activeCell="B5" sqref="B5"/>
    </sheetView>
  </sheetViews>
  <sheetFormatPr defaultRowHeight="15" x14ac:dyDescent="0.25"/>
  <cols>
    <col min="1" max="1" width="21.42578125" bestFit="1" customWidth="1"/>
    <col min="2" max="5" width="22" bestFit="1" customWidth="1"/>
    <col min="6" max="6" width="14.28515625" bestFit="1" customWidth="1"/>
  </cols>
  <sheetData>
    <row r="1" spans="1:6" x14ac:dyDescent="0.25">
      <c r="A1" s="3" t="s">
        <v>50</v>
      </c>
      <c r="B1" s="3" t="s">
        <v>2</v>
      </c>
    </row>
    <row r="2" spans="1:6" x14ac:dyDescent="0.25">
      <c r="A2" s="3" t="s">
        <v>1</v>
      </c>
      <c r="B2" t="s">
        <v>6</v>
      </c>
      <c r="C2" t="s">
        <v>9</v>
      </c>
      <c r="D2" t="s">
        <v>7</v>
      </c>
      <c r="E2" t="s">
        <v>8</v>
      </c>
      <c r="F2" t="s">
        <v>45</v>
      </c>
    </row>
    <row r="3" spans="1:6" x14ac:dyDescent="0.25">
      <c r="A3" t="s">
        <v>12</v>
      </c>
      <c r="B3" s="7">
        <v>-297614</v>
      </c>
      <c r="C3" s="7">
        <v>289995</v>
      </c>
      <c r="D3" s="7">
        <v>271826</v>
      </c>
      <c r="E3" s="7">
        <v>318233</v>
      </c>
      <c r="F3" s="7">
        <v>582440</v>
      </c>
    </row>
    <row r="4" spans="1:6" x14ac:dyDescent="0.25">
      <c r="A4" t="s">
        <v>5</v>
      </c>
      <c r="B4" s="7">
        <v>-380781</v>
      </c>
      <c r="C4" s="7">
        <v>306658</v>
      </c>
      <c r="D4" s="7">
        <v>309185</v>
      </c>
      <c r="E4" s="7">
        <v>308939</v>
      </c>
      <c r="F4" s="7">
        <v>544001</v>
      </c>
    </row>
    <row r="5" spans="1:6" x14ac:dyDescent="0.25">
      <c r="A5" t="s">
        <v>11</v>
      </c>
      <c r="B5" s="7">
        <v>-507111</v>
      </c>
      <c r="C5" s="7">
        <v>262856</v>
      </c>
      <c r="D5" s="7">
        <v>236608</v>
      </c>
      <c r="E5" s="7">
        <v>344423</v>
      </c>
      <c r="F5" s="7">
        <v>336776</v>
      </c>
    </row>
    <row r="6" spans="1:6" x14ac:dyDescent="0.25">
      <c r="A6" t="s">
        <v>10</v>
      </c>
      <c r="B6" s="7">
        <v>-167810</v>
      </c>
      <c r="C6" s="7">
        <v>347226</v>
      </c>
      <c r="D6" s="7">
        <v>300986</v>
      </c>
      <c r="E6" s="7">
        <v>375305</v>
      </c>
      <c r="F6" s="7">
        <v>855707</v>
      </c>
    </row>
    <row r="7" spans="1:6" x14ac:dyDescent="0.25">
      <c r="A7" t="s">
        <v>45</v>
      </c>
      <c r="B7" s="7">
        <v>-1353316</v>
      </c>
      <c r="C7" s="7">
        <v>1206735</v>
      </c>
      <c r="D7" s="7">
        <v>1118605</v>
      </c>
      <c r="E7" s="7">
        <v>1346900</v>
      </c>
      <c r="F7" s="7">
        <v>2318924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93311-6C1B-4549-A1FE-353B428DEE50}">
  <dimension ref="A1:D6"/>
  <sheetViews>
    <sheetView showGridLines="0" tabSelected="1" workbookViewId="0">
      <selection activeCell="L10" sqref="L10"/>
    </sheetView>
  </sheetViews>
  <sheetFormatPr defaultRowHeight="15" x14ac:dyDescent="0.25"/>
  <cols>
    <col min="1" max="3" width="27.42578125" bestFit="1" customWidth="1"/>
    <col min="4" max="4" width="19.42578125" bestFit="1" customWidth="1"/>
  </cols>
  <sheetData>
    <row r="1" spans="1:4" ht="26.25" x14ac:dyDescent="0.4">
      <c r="A1" s="10" t="s">
        <v>51</v>
      </c>
      <c r="B1" s="10" t="s">
        <v>52</v>
      </c>
      <c r="C1" s="10" t="s">
        <v>53</v>
      </c>
      <c r="D1" s="10" t="s">
        <v>49</v>
      </c>
    </row>
    <row r="2" spans="1:4" ht="26.25" x14ac:dyDescent="0.4">
      <c r="A2" s="11">
        <f>SUM('Variance Analysis'!D:D)</f>
        <v>5675123</v>
      </c>
      <c r="B2" s="11">
        <f>SUM('Variance Analysis'!E:E)</f>
        <v>7994047</v>
      </c>
      <c r="C2" s="11">
        <f>SUM('Variance Analysis'!F:F)</f>
        <v>2318924</v>
      </c>
      <c r="D2" s="12">
        <f>C2/A2</f>
        <v>0.40861211290046046</v>
      </c>
    </row>
    <row r="3" spans="1:4" x14ac:dyDescent="0.25">
      <c r="A3" s="7"/>
    </row>
    <row r="6" spans="1:4" x14ac:dyDescent="0.25">
      <c r="A6"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2B380-E7CF-4C2C-8DAD-B084F1325F2B}">
  <dimension ref="A3:B16"/>
  <sheetViews>
    <sheetView workbookViewId="0">
      <selection activeCell="E10" sqref="E10"/>
    </sheetView>
  </sheetViews>
  <sheetFormatPr defaultRowHeight="15" x14ac:dyDescent="0.25"/>
  <cols>
    <col min="1" max="1" width="13.42578125" bestFit="1" customWidth="1"/>
    <col min="2" max="2" width="18.28515625" bestFit="1" customWidth="1"/>
  </cols>
  <sheetData>
    <row r="3" spans="1:2" x14ac:dyDescent="0.25">
      <c r="A3" s="3" t="s">
        <v>44</v>
      </c>
      <c r="B3" t="s">
        <v>54</v>
      </c>
    </row>
    <row r="4" spans="1:2" x14ac:dyDescent="0.25">
      <c r="A4" s="4" t="s">
        <v>4</v>
      </c>
      <c r="B4" s="9">
        <v>647208</v>
      </c>
    </row>
    <row r="5" spans="1:2" x14ac:dyDescent="0.25">
      <c r="A5" s="4" t="s">
        <v>13</v>
      </c>
      <c r="B5" s="9">
        <v>633960</v>
      </c>
    </row>
    <row r="6" spans="1:2" x14ac:dyDescent="0.25">
      <c r="A6" s="4" t="s">
        <v>14</v>
      </c>
      <c r="B6" s="9">
        <v>629309</v>
      </c>
    </row>
    <row r="7" spans="1:2" x14ac:dyDescent="0.25">
      <c r="A7" s="4" t="s">
        <v>15</v>
      </c>
      <c r="B7" s="9">
        <v>705931</v>
      </c>
    </row>
    <row r="8" spans="1:2" x14ac:dyDescent="0.25">
      <c r="A8" s="4" t="s">
        <v>16</v>
      </c>
      <c r="B8" s="9">
        <v>661372</v>
      </c>
    </row>
    <row r="9" spans="1:2" x14ac:dyDescent="0.25">
      <c r="A9" s="4" t="s">
        <v>17</v>
      </c>
      <c r="B9" s="9">
        <v>629804</v>
      </c>
    </row>
    <row r="10" spans="1:2" x14ac:dyDescent="0.25">
      <c r="A10" s="4" t="s">
        <v>18</v>
      </c>
      <c r="B10" s="9">
        <v>648641</v>
      </c>
    </row>
    <row r="11" spans="1:2" x14ac:dyDescent="0.25">
      <c r="A11" s="4" t="s">
        <v>19</v>
      </c>
      <c r="B11" s="9">
        <v>703744</v>
      </c>
    </row>
    <row r="12" spans="1:2" x14ac:dyDescent="0.25">
      <c r="A12" s="4" t="s">
        <v>20</v>
      </c>
      <c r="B12" s="9">
        <v>697968</v>
      </c>
    </row>
    <row r="13" spans="1:2" x14ac:dyDescent="0.25">
      <c r="A13" s="4" t="s">
        <v>21</v>
      </c>
      <c r="B13" s="9">
        <v>654995</v>
      </c>
    </row>
    <row r="14" spans="1:2" x14ac:dyDescent="0.25">
      <c r="A14" s="4" t="s">
        <v>22</v>
      </c>
      <c r="B14" s="9">
        <v>676461</v>
      </c>
    </row>
    <row r="15" spans="1:2" x14ac:dyDescent="0.25">
      <c r="A15" s="4" t="s">
        <v>23</v>
      </c>
      <c r="B15" s="9">
        <v>704654</v>
      </c>
    </row>
    <row r="16" spans="1:2" x14ac:dyDescent="0.25">
      <c r="A16" s="4" t="s">
        <v>45</v>
      </c>
      <c r="B16" s="9">
        <v>7994047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DE4A85-E247-4DF9-AA50-646E170D640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Budget</vt:lpstr>
      <vt:lpstr>Actuals</vt:lpstr>
      <vt:lpstr>GL Mapping</vt:lpstr>
      <vt:lpstr>Actual Summary</vt:lpstr>
      <vt:lpstr>Variance Analysis</vt:lpstr>
      <vt:lpstr>Executive Summary</vt:lpstr>
      <vt:lpstr>Dashboard</vt:lpstr>
      <vt:lpstr>Monthly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Tyler Wood</dc:creator>
  <cp:lastModifiedBy>Tyler Wood</cp:lastModifiedBy>
  <dcterms:created xsi:type="dcterms:W3CDTF">2026-08-13T18:13:44Z</dcterms:created>
  <dcterms:modified xsi:type="dcterms:W3CDTF">2026-08-17T18:25:57Z</dcterms:modified>
</cp:coreProperties>
</file>