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7893da704d8080/Resumes etc/Github Projects/"/>
    </mc:Choice>
  </mc:AlternateContent>
  <xr:revisionPtr revIDLastSave="217" documentId="8_{10EB5BBF-8B95-4A02-8587-6AF086FA94CA}" xr6:coauthVersionLast="47" xr6:coauthVersionMax="47" xr10:uidLastSave="{3116061E-9FB9-4BF4-B3F9-82C4E583885D}"/>
  <bookViews>
    <workbookView xWindow="10860" yWindow="0" windowWidth="17940" windowHeight="15600" tabRatio="692" firstSheet="5" activeTab="5" xr2:uid="{13360A61-EF5C-4D3A-A889-BB6C8C5170E5}"/>
  </bookViews>
  <sheets>
    <sheet name="Beginning Inventory" sheetId="4" r:id="rId1"/>
    <sheet name="Inventory Transactions" sheetId="3" r:id="rId2"/>
    <sheet name="Vendor Master" sheetId="2" r:id="rId3"/>
    <sheet name="Sheet3" sheetId="6" r:id="rId4"/>
    <sheet name="Inventory Analysis" sheetId="1" r:id="rId5"/>
    <sheet name="Dashboard" sheetId="9" r:id="rId6"/>
    <sheet name="Category Summary" sheetId="5" r:id="rId7"/>
    <sheet name="Vendor Summary" sheetId="7" r:id="rId8"/>
    <sheet name="Top Cost Items" sheetId="8" r:id="rId9"/>
  </sheets>
  <definedNames>
    <definedName name="ExternalData_2" localSheetId="1" hidden="1">'Inventory Transactions'!$A$1:$F$301</definedName>
    <definedName name="ExternalData_3" localSheetId="0" hidden="1">'Beginning Inventory'!$A$1:$D$11</definedName>
  </definedNames>
  <calcPr calcId="191029"/>
  <pivotCaches>
    <pivotCache cacheId="1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9" l="1"/>
  <c r="C2" i="9"/>
  <c r="B2" i="9"/>
  <c r="A2" i="9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G3" i="1"/>
  <c r="G4" i="1"/>
  <c r="G5" i="1"/>
  <c r="G6" i="1"/>
  <c r="G7" i="1"/>
  <c r="G8" i="1"/>
  <c r="G9" i="1"/>
  <c r="G10" i="1"/>
  <c r="G11" i="1"/>
  <c r="G2" i="1"/>
  <c r="C3" i="1"/>
  <c r="C4" i="1"/>
  <c r="C5" i="1"/>
  <c r="C6" i="1"/>
  <c r="C7" i="1"/>
  <c r="C8" i="1"/>
  <c r="C9" i="1"/>
  <c r="C10" i="1"/>
  <c r="C11" i="1"/>
  <c r="C2" i="1"/>
  <c r="B3" i="1"/>
  <c r="B4" i="1"/>
  <c r="B5" i="1"/>
  <c r="B6" i="1"/>
  <c r="B7" i="1"/>
  <c r="B8" i="1"/>
  <c r="B9" i="1"/>
  <c r="B10" i="1"/>
  <c r="B11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648FBA-484D-479F-B53D-6544F2964D2C}" keepAlive="1" name="Query - Beginning_Inventory" description="Connection to the 'Beginning_Inventory' query in the workbook." type="5" refreshedVersion="8" background="1" saveData="1">
    <dbPr connection="Provider=Microsoft.Mashup.OleDb.1;Data Source=$Workbook$;Location=Beginning_Inventory;Extended Properties=&quot;&quot;" command="SELECT * FROM [Beginning_Inventory]"/>
  </connection>
  <connection id="2" xr16:uid="{38BF5402-615E-4F0C-9B0A-34B439BA0196}" keepAlive="1" name="Query - Inventory_Transactions" description="Connection to the 'Inventory_Transactions' query in the workbook." type="5" refreshedVersion="8" background="1" saveData="1">
    <dbPr connection="Provider=Microsoft.Mashup.OleDb.1;Data Source=$Workbook$;Location=Inventory_Transactions;Extended Properties=&quot;&quot;" command="SELECT * FROM [Inventory_Transactions]"/>
  </connection>
  <connection id="3" xr16:uid="{27969A99-9522-423C-A153-B62836D7E0DC}" keepAlive="1" name="Query - Vendor_Master" description="Connection to the 'Vendor_Master' query in the workbook." type="5" refreshedVersion="0" background="1" saveData="1">
    <dbPr connection="Provider=Microsoft.Mashup.OleDb.1;Data Source=$Workbook$;Location=Vendor_Master;Extended Properties=&quot;&quot;" command="SELECT * FROM [Vendor_Master]"/>
  </connection>
</connections>
</file>

<file path=xl/sharedStrings.xml><?xml version="1.0" encoding="utf-8"?>
<sst xmlns="http://schemas.openxmlformats.org/spreadsheetml/2006/main" count="1003" uniqueCount="40">
  <si>
    <t>Item</t>
  </si>
  <si>
    <t>Preferred Vendor</t>
  </si>
  <si>
    <t>Ribeye Steak</t>
  </si>
  <si>
    <t>US Foods</t>
  </si>
  <si>
    <t>Chicken Breast</t>
  </si>
  <si>
    <t>Sysco</t>
  </si>
  <si>
    <t>Atlantic Salmon</t>
  </si>
  <si>
    <t>Beer Keg</t>
  </si>
  <si>
    <t>Southern Glazers</t>
  </si>
  <si>
    <t>House Wine Bottle</t>
  </si>
  <si>
    <t>Premium Liquor</t>
  </si>
  <si>
    <t>Lettuce</t>
  </si>
  <si>
    <t>FreshPoint</t>
  </si>
  <si>
    <t>Tomatoes</t>
  </si>
  <si>
    <t>Milk</t>
  </si>
  <si>
    <t>Cheddar Cheese</t>
  </si>
  <si>
    <t>Date</t>
  </si>
  <si>
    <t>Category</t>
  </si>
  <si>
    <t>Transaction Type</t>
  </si>
  <si>
    <t>Quantity</t>
  </si>
  <si>
    <t>Unit Cost</t>
  </si>
  <si>
    <t>Dairy</t>
  </si>
  <si>
    <t>Usage</t>
  </si>
  <si>
    <t>Produce</t>
  </si>
  <si>
    <t>Purchase</t>
  </si>
  <si>
    <t>Beverage</t>
  </si>
  <si>
    <t>Seafood</t>
  </si>
  <si>
    <t>Meat</t>
  </si>
  <si>
    <t>Beginning Qty</t>
  </si>
  <si>
    <t>Purchases</t>
  </si>
  <si>
    <t>Expected Ending Qty</t>
  </si>
  <si>
    <t>COGS</t>
  </si>
  <si>
    <t>Vendor</t>
  </si>
  <si>
    <t>Row Labels</t>
  </si>
  <si>
    <t>Grand Total</t>
  </si>
  <si>
    <t>Sum of COGS</t>
  </si>
  <si>
    <t>Total Purchases</t>
  </si>
  <si>
    <t>Total Usage</t>
  </si>
  <si>
    <t>Total COGS</t>
  </si>
  <si>
    <t>Highest Cost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</si>
</sst>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6"/>
      <color theme="1"/>
      <name val="Segoe UI"/>
      <family val="2"/>
    </font>
    <font>
      <b/>
      <sz val="2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44" fontId="3" fillId="2" borderId="0" xfId="0" applyNumberFormat="1" applyFont="1" applyFill="1"/>
  </cellXfs>
  <cellStyles count="1">
    <cellStyle name="Normal" xfId="0" builtinId="0"/>
  </cellStyles>
  <dxfs count="20"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[Silver_Sands_Inventory_COGS_Tracker_2025.xlsx]Category Summary!PivotTable1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COGS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'Category Summary'!$B$3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Summary'!$A$4:$A$9</c:f>
              <c:strCache>
                <c:ptCount val="5"/>
                <c:pt idx="0">
                  <c:v>Beverage</c:v>
                </c:pt>
                <c:pt idx="1">
                  <c:v>Dairy</c:v>
                </c:pt>
                <c:pt idx="2">
                  <c:v>Meat</c:v>
                </c:pt>
                <c:pt idx="3">
                  <c:v>Produce</c:v>
                </c:pt>
                <c:pt idx="4">
                  <c:v>Seafood</c:v>
                </c:pt>
              </c:strCache>
            </c:strRef>
          </c:cat>
          <c:val>
            <c:numRef>
              <c:f>'Category Summary'!$B$4:$B$9</c:f>
              <c:numCache>
                <c:formatCode>_("$"* #,##0.00_);_("$"* \(#,##0.00\);_("$"* "-"??_);_(@_)</c:formatCode>
                <c:ptCount val="5"/>
                <c:pt idx="0">
                  <c:v>67069.5</c:v>
                </c:pt>
                <c:pt idx="1">
                  <c:v>4356</c:v>
                </c:pt>
                <c:pt idx="2">
                  <c:v>13377</c:v>
                </c:pt>
                <c:pt idx="3">
                  <c:v>1564.8500000000001</c:v>
                </c:pt>
                <c:pt idx="4">
                  <c:v>8453.25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B-4AA8-81DA-EB52D49829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58231584"/>
        <c:axId val="1955891968"/>
        <c:axId val="0"/>
      </c:bar3DChart>
      <c:catAx>
        <c:axId val="135823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891968"/>
        <c:crosses val="autoZero"/>
        <c:auto val="1"/>
        <c:lblAlgn val="ctr"/>
        <c:lblOffset val="100"/>
        <c:noMultiLvlLbl val="0"/>
      </c:catAx>
      <c:valAx>
        <c:axId val="195589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23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[Silver_Sands_Inventory_COGS_Tracker_2025.xlsx]Vendor Summary!PivotTable3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COGS by Vendor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'Vendor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'Vendor Summary'!$A$4:$A$8</c:f>
              <c:strCache>
                <c:ptCount val="4"/>
                <c:pt idx="0">
                  <c:v>Southern Glazers</c:v>
                </c:pt>
                <c:pt idx="1">
                  <c:v>US Foods</c:v>
                </c:pt>
                <c:pt idx="2">
                  <c:v>Sysco</c:v>
                </c:pt>
                <c:pt idx="3">
                  <c:v>FreshPoint</c:v>
                </c:pt>
              </c:strCache>
            </c:strRef>
          </c:cat>
          <c:val>
            <c:numRef>
              <c:f>'Vendor Summary'!$B$4:$B$8</c:f>
              <c:numCache>
                <c:formatCode>_("$"* #,##0.00_);_("$"* \(#,##0.00\);_("$"* "-"??_);_(@_)</c:formatCode>
                <c:ptCount val="4"/>
                <c:pt idx="0">
                  <c:v>67069.5</c:v>
                </c:pt>
                <c:pt idx="1">
                  <c:v>18328.25</c:v>
                </c:pt>
                <c:pt idx="2">
                  <c:v>7858</c:v>
                </c:pt>
                <c:pt idx="3">
                  <c:v>1564.8500000000001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3-4829-8189-A8D68440D1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65299168"/>
        <c:axId val="1366048224"/>
      </c:barChart>
      <c:catAx>
        <c:axId val="136529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48224"/>
        <c:crosses val="autoZero"/>
        <c:auto val="1"/>
        <c:lblAlgn val="ctr"/>
        <c:lblOffset val="100"/>
        <c:noMultiLvlLbl val="0"/>
      </c:catAx>
      <c:valAx>
        <c:axId val="1366048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9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[Silver_Sands_Inventory_COGS_Tracker_2025.xlsx]Top Cost Items!PivotTable4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>
                <a:effectLst/>
              </a:rPr>
              <a:t>COGS by Item</a:t>
            </a:r>
            <a:endParaRPr lang="en-US" sz="2400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'Top Cost Items'!$B$3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1D-476E-B80F-3E7834D0371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1D-476E-B80F-3E7834D0371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1D-476E-B80F-3E7834D03715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1D-476E-B80F-3E7834D03715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1D-476E-B80F-3E7834D03715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1D-476E-B80F-3E7834D03715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E1D-476E-B80F-3E7834D03715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E1D-476E-B80F-3E7834D03715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E1D-476E-B80F-3E7834D03715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E1D-476E-B80F-3E7834D037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Cost Items'!$A$4:$A$14</c:f>
              <c:strCache>
                <c:ptCount val="10"/>
                <c:pt idx="0">
                  <c:v>Beer Keg</c:v>
                </c:pt>
                <c:pt idx="1">
                  <c:v>Premium Liquor</c:v>
                </c:pt>
                <c:pt idx="2">
                  <c:v>Ribeye Steak</c:v>
                </c:pt>
                <c:pt idx="3">
                  <c:v>Atlantic Salmon</c:v>
                </c:pt>
                <c:pt idx="4">
                  <c:v>House Wine Bottle</c:v>
                </c:pt>
                <c:pt idx="5">
                  <c:v>Chicken Breast</c:v>
                </c:pt>
                <c:pt idx="6">
                  <c:v>Cheddar Cheese</c:v>
                </c:pt>
                <c:pt idx="7">
                  <c:v>Milk</c:v>
                </c:pt>
                <c:pt idx="8">
                  <c:v>Tomatoes</c:v>
                </c:pt>
                <c:pt idx="9">
                  <c:v>Lettuce</c:v>
                </c:pt>
              </c:strCache>
            </c:strRef>
          </c:cat>
          <c:val>
            <c:numRef>
              <c:f>'Top Cost Items'!$B$4:$B$14</c:f>
              <c:numCache>
                <c:formatCode>_("$"* #,##0.00_);_("$"* \(#,##0.00\);_("$"* "-"??_);_(@_)</c:formatCode>
                <c:ptCount val="10"/>
                <c:pt idx="0">
                  <c:v>50370</c:v>
                </c:pt>
                <c:pt idx="1">
                  <c:v>12628</c:v>
                </c:pt>
                <c:pt idx="2">
                  <c:v>9875</c:v>
                </c:pt>
                <c:pt idx="3">
                  <c:v>8453.25</c:v>
                </c:pt>
                <c:pt idx="4">
                  <c:v>4071.5</c:v>
                </c:pt>
                <c:pt idx="5">
                  <c:v>3502</c:v>
                </c:pt>
                <c:pt idx="6">
                  <c:v>3017.6</c:v>
                </c:pt>
                <c:pt idx="7">
                  <c:v>1338.3999999999999</c:v>
                </c:pt>
                <c:pt idx="8">
                  <c:v>989.55000000000007</c:v>
                </c:pt>
                <c:pt idx="9">
                  <c:v>575.30000000000007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E1D-476E-B80F-3E7834D0371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25831146106746"/>
          <c:y val="0.10745115193934092"/>
          <c:w val="0.24507502187226596"/>
          <c:h val="0.83275955088947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[Silver_Sands_Inventory_COGS_Tracker_2025.xlsx]Category 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>
                <a:effectLst/>
              </a:rPr>
              <a:t>COGS by Category</a:t>
            </a:r>
            <a:endParaRPr lang="en-US" sz="2400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'Category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Summary'!$A$4:$A$9</c:f>
              <c:strCache>
                <c:ptCount val="5"/>
                <c:pt idx="0">
                  <c:v>Beverage</c:v>
                </c:pt>
                <c:pt idx="1">
                  <c:v>Dairy</c:v>
                </c:pt>
                <c:pt idx="2">
                  <c:v>Meat</c:v>
                </c:pt>
                <c:pt idx="3">
                  <c:v>Produce</c:v>
                </c:pt>
                <c:pt idx="4">
                  <c:v>Seafood</c:v>
                </c:pt>
              </c:strCache>
            </c:strRef>
          </c:cat>
          <c:val>
            <c:numRef>
              <c:f>'Category Summary'!$B$4:$B$9</c:f>
              <c:numCache>
                <c:formatCode>_("$"* #,##0.00_);_("$"* \(#,##0.00\);_("$"* "-"??_);_(@_)</c:formatCode>
                <c:ptCount val="5"/>
                <c:pt idx="0">
                  <c:v>67069.5</c:v>
                </c:pt>
                <c:pt idx="1">
                  <c:v>4356</c:v>
                </c:pt>
                <c:pt idx="2">
                  <c:v>13377</c:v>
                </c:pt>
                <c:pt idx="3">
                  <c:v>1564.8500000000001</c:v>
                </c:pt>
                <c:pt idx="4">
                  <c:v>8453.25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B-4DE5-9036-70E7F22705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58231584"/>
        <c:axId val="1955891968"/>
        <c:axId val="0"/>
      </c:bar3DChart>
      <c:catAx>
        <c:axId val="135823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891968"/>
        <c:crosses val="autoZero"/>
        <c:auto val="1"/>
        <c:lblAlgn val="ctr"/>
        <c:lblOffset val="100"/>
        <c:noMultiLvlLbl val="0"/>
      </c:catAx>
      <c:valAx>
        <c:axId val="195589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23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[Silver_Sands_Inventory_COGS_Tracker_2025.xlsx]Vendor Summary!PivotTable3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>
                <a:effectLst/>
              </a:rPr>
              <a:t>COGS by Vendor</a:t>
            </a:r>
            <a:endParaRPr lang="en-US" sz="2400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'Vendor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'Vendor Summary'!$A$4:$A$8</c:f>
              <c:strCache>
                <c:ptCount val="4"/>
                <c:pt idx="0">
                  <c:v>Southern Glazers</c:v>
                </c:pt>
                <c:pt idx="1">
                  <c:v>US Foods</c:v>
                </c:pt>
                <c:pt idx="2">
                  <c:v>Sysco</c:v>
                </c:pt>
                <c:pt idx="3">
                  <c:v>FreshPoint</c:v>
                </c:pt>
              </c:strCache>
            </c:strRef>
          </c:cat>
          <c:val>
            <c:numRef>
              <c:f>'Vendor Summary'!$B$4:$B$8</c:f>
              <c:numCache>
                <c:formatCode>_("$"* #,##0.00_);_("$"* \(#,##0.00\);_("$"* "-"??_);_(@_)</c:formatCode>
                <c:ptCount val="4"/>
                <c:pt idx="0">
                  <c:v>67069.5</c:v>
                </c:pt>
                <c:pt idx="1">
                  <c:v>18328.25</c:v>
                </c:pt>
                <c:pt idx="2">
                  <c:v>7858</c:v>
                </c:pt>
                <c:pt idx="3">
                  <c:v>1564.8500000000001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E-442D-9521-7A5983523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5299168"/>
        <c:axId val="1366048224"/>
      </c:barChart>
      <c:catAx>
        <c:axId val="136529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48224"/>
        <c:crosses val="autoZero"/>
        <c:auto val="1"/>
        <c:lblAlgn val="ctr"/>
        <c:lblOffset val="100"/>
        <c:noMultiLvlLbl val="0"/>
      </c:catAx>
      <c:valAx>
        <c:axId val="136604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9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[Silver_Sands_Inventory_COGS_Tracker_2025.xlsx]Top Cost Items!PivotTable4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>
                <a:effectLst/>
              </a:rPr>
              <a:t>COGS by Item</a:t>
            </a:r>
            <a:endParaRPr lang="en-US" sz="2400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'Top Cost Items'!$B$3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Cost Items'!$A$4:$A$14</c:f>
              <c:strCache>
                <c:ptCount val="10"/>
                <c:pt idx="0">
                  <c:v>Beer Keg</c:v>
                </c:pt>
                <c:pt idx="1">
                  <c:v>Premium Liquor</c:v>
                </c:pt>
                <c:pt idx="2">
                  <c:v>Ribeye Steak</c:v>
                </c:pt>
                <c:pt idx="3">
                  <c:v>Atlantic Salmon</c:v>
                </c:pt>
                <c:pt idx="4">
                  <c:v>House Wine Bottle</c:v>
                </c:pt>
                <c:pt idx="5">
                  <c:v>Chicken Breast</c:v>
                </c:pt>
                <c:pt idx="6">
                  <c:v>Cheddar Cheese</c:v>
                </c:pt>
                <c:pt idx="7">
                  <c:v>Milk</c:v>
                </c:pt>
                <c:pt idx="8">
                  <c:v>Tomatoes</c:v>
                </c:pt>
                <c:pt idx="9">
                  <c:v>Lettuce</c:v>
                </c:pt>
              </c:strCache>
            </c:strRef>
          </c:cat>
          <c:val>
            <c:numRef>
              <c:f>'Top Cost Items'!$B$4:$B$14</c:f>
              <c:numCache>
                <c:formatCode>_("$"* #,##0.00_);_("$"* \(#,##0.00\);_("$"* "-"??_);_(@_)</c:formatCode>
                <c:ptCount val="10"/>
                <c:pt idx="0">
                  <c:v>50370</c:v>
                </c:pt>
                <c:pt idx="1">
                  <c:v>12628</c:v>
                </c:pt>
                <c:pt idx="2">
                  <c:v>9875</c:v>
                </c:pt>
                <c:pt idx="3">
                  <c:v>8453.25</c:v>
                </c:pt>
                <c:pt idx="4">
                  <c:v>4071.5</c:v>
                </c:pt>
                <c:pt idx="5">
                  <c:v>3502</c:v>
                </c:pt>
                <c:pt idx="6">
                  <c:v>3017.6</c:v>
                </c:pt>
                <c:pt idx="7">
                  <c:v>1338.3999999999999</c:v>
                </c:pt>
                <c:pt idx="8">
                  <c:v>989.55000000000007</c:v>
                </c:pt>
                <c:pt idx="9">
                  <c:v>575.30000000000007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C-4893-BEDA-8433F12DC2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25831146106746"/>
          <c:y val="0.10745115193934092"/>
          <c:w val="0.24507502187226596"/>
          <c:h val="0.83275955088947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6</xdr:col>
      <xdr:colOff>47624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DDE0C5-3ECC-4EAE-AE8B-33FE135E2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85724</xdr:rowOff>
    </xdr:from>
    <xdr:to>
      <xdr:col>6</xdr:col>
      <xdr:colOff>28574</xdr:colOff>
      <xdr:row>40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AC33B3-2B33-47B0-A6E2-E95E86DCF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6</xdr:col>
      <xdr:colOff>19050</xdr:colOff>
      <xdr:row>59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405756-708D-42C5-B6DF-D184B97F3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11</xdr:row>
      <xdr:rowOff>80962</xdr:rowOff>
    </xdr:from>
    <xdr:to>
      <xdr:col>9</xdr:col>
      <xdr:colOff>28575</xdr:colOff>
      <xdr:row>25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DF5DF-D931-948C-2425-0E0FCFB2F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11</xdr:row>
      <xdr:rowOff>80962</xdr:rowOff>
    </xdr:from>
    <xdr:to>
      <xdr:col>8</xdr:col>
      <xdr:colOff>466725</xdr:colOff>
      <xdr:row>25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48224D-0787-2B73-6BD6-89FD8B180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16</xdr:row>
      <xdr:rowOff>80962</xdr:rowOff>
    </xdr:from>
    <xdr:to>
      <xdr:col>8</xdr:col>
      <xdr:colOff>76200</xdr:colOff>
      <xdr:row>30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67CF6-6C52-F6CD-BE72-04DF916EE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" refreshedDate="46251.562718865738" createdVersion="8" refreshedVersion="8" minRefreshableVersion="3" recordCount="10" xr:uid="{B09A454E-E972-475A-839A-58928AA19232}">
  <cacheSource type="worksheet">
    <worksheetSource name="Table6"/>
  </cacheSource>
  <cacheFields count="9">
    <cacheField name="Item" numFmtId="0">
      <sharedItems count="10">
        <s v="Ribeye Steak"/>
        <s v="Chicken Breast"/>
        <s v="Atlantic Salmon"/>
        <s v="Beer Keg"/>
        <s v="House Wine Bottle"/>
        <s v="Premium Liquor"/>
        <s v="Lettuce"/>
        <s v="Tomatoes"/>
        <s v="Milk"/>
        <s v="Cheddar Cheese"/>
      </sharedItems>
    </cacheField>
    <cacheField name="Category" numFmtId="0">
      <sharedItems count="5">
        <s v="Meat"/>
        <s v="Seafood"/>
        <s v="Beverage"/>
        <s v="Produce"/>
        <s v="Dairy"/>
      </sharedItems>
    </cacheField>
    <cacheField name="Beginning Qty" numFmtId="0">
      <sharedItems containsSemiMixedTypes="0" containsString="0" containsNumber="1" containsInteger="1" minValue="69" maxValue="203"/>
    </cacheField>
    <cacheField name="Purchases" numFmtId="0">
      <sharedItems containsSemiMixedTypes="0" containsString="0" containsNumber="1" containsInteger="1" minValue="958" maxValue="2197"/>
    </cacheField>
    <cacheField name="Usage" numFmtId="0">
      <sharedItems containsSemiMixedTypes="0" containsString="0" containsNumber="1" containsInteger="1" minValue="438" maxValue="867"/>
    </cacheField>
    <cacheField name="Expected Ending Qty" numFmtId="0">
      <sharedItems containsSemiMixedTypes="0" containsString="0" containsNumber="1" containsInteger="1" minValue="465" maxValue="1534"/>
    </cacheField>
    <cacheField name="Unit Cost" numFmtId="44">
      <sharedItems containsSemiMixedTypes="0" containsString="0" containsNumber="1" minValue="1.1000000000000001" maxValue="115"/>
    </cacheField>
    <cacheField name="COGS" numFmtId="44">
      <sharedItems containsSemiMixedTypes="0" containsString="0" containsNumber="1" minValue="575.30000000000007" maxValue="50370"/>
    </cacheField>
    <cacheField name="Vendor" numFmtId="0">
      <sharedItems count="4">
        <s v="US Foods"/>
        <s v="Sysco"/>
        <s v="Southern Glazers"/>
        <s v="FreshPoi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73"/>
    <n v="1182"/>
    <n v="790"/>
    <n v="465"/>
    <n v="12.5"/>
    <n v="9875"/>
    <x v="0"/>
  </r>
  <r>
    <x v="1"/>
    <x v="0"/>
    <n v="128"/>
    <n v="1213"/>
    <n v="824"/>
    <n v="517"/>
    <n v="4.25"/>
    <n v="3502"/>
    <x v="1"/>
  </r>
  <r>
    <x v="2"/>
    <x v="1"/>
    <n v="82"/>
    <n v="2197"/>
    <n v="867"/>
    <n v="1412"/>
    <n v="9.75"/>
    <n v="8453.25"/>
    <x v="0"/>
  </r>
  <r>
    <x v="3"/>
    <x v="2"/>
    <n v="164"/>
    <n v="1808"/>
    <n v="438"/>
    <n v="1534"/>
    <n v="115"/>
    <n v="50370"/>
    <x v="2"/>
  </r>
  <r>
    <x v="4"/>
    <x v="2"/>
    <n v="128"/>
    <n v="1529"/>
    <n v="479"/>
    <n v="1178"/>
    <n v="8.5"/>
    <n v="4071.5"/>
    <x v="2"/>
  </r>
  <r>
    <x v="5"/>
    <x v="2"/>
    <n v="87"/>
    <n v="1520"/>
    <n v="574"/>
    <n v="1033"/>
    <n v="22"/>
    <n v="12628"/>
    <x v="2"/>
  </r>
  <r>
    <x v="6"/>
    <x v="3"/>
    <n v="69"/>
    <n v="1766"/>
    <n v="523"/>
    <n v="1312"/>
    <n v="1.1000000000000001"/>
    <n v="575.30000000000007"/>
    <x v="3"/>
  </r>
  <r>
    <x v="7"/>
    <x v="3"/>
    <n v="157"/>
    <n v="1425"/>
    <n v="733"/>
    <n v="849"/>
    <n v="1.35"/>
    <n v="989.55000000000007"/>
    <x v="3"/>
  </r>
  <r>
    <x v="8"/>
    <x v="4"/>
    <n v="197"/>
    <n v="1546"/>
    <n v="478"/>
    <n v="1265"/>
    <n v="2.8"/>
    <n v="1338.3999999999999"/>
    <x v="1"/>
  </r>
  <r>
    <x v="9"/>
    <x v="4"/>
    <n v="203"/>
    <n v="958"/>
    <n v="656"/>
    <n v="505"/>
    <n v="4.5999999999999996"/>
    <n v="3017.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30284-BB72-469C-A3BB-F5C886314A9D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9">
    <pivotField showAll="0"/>
    <pivotField axis="axisRow"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showAll="0"/>
    <pivotField showAll="0"/>
    <pivotField numFmtId="44" showAll="0"/>
    <pivotField dataField="1" numFmtId="44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GS" fld="7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2A303-E1A0-4209-9674-035ACC6C0D9E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9">
    <pivotField showAll="0"/>
    <pivotField showAll="0"/>
    <pivotField showAll="0"/>
    <pivotField showAll="0"/>
    <pivotField showAll="0"/>
    <pivotField showAll="0"/>
    <pivotField numFmtId="44" showAll="0"/>
    <pivotField dataField="1" numFmtId="44"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COGS" fld="7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2DF62-4FDD-48C7-BFB1-B249CEC42509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9">
    <pivotField axis="axisRow" showAll="0" sortType="descending">
      <items count="11">
        <item x="2"/>
        <item x="3"/>
        <item x="9"/>
        <item x="1"/>
        <item x="4"/>
        <item x="6"/>
        <item x="8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44" showAll="0"/>
    <pivotField dataField="1" numFmtId="44" showAll="0"/>
    <pivotField showAll="0"/>
  </pivotFields>
  <rowFields count="1">
    <field x="0"/>
  </rowFields>
  <rowItems count="11">
    <i>
      <x v="1"/>
    </i>
    <i>
      <x v="7"/>
    </i>
    <i>
      <x v="8"/>
    </i>
    <i>
      <x/>
    </i>
    <i>
      <x v="4"/>
    </i>
    <i>
      <x v="3"/>
    </i>
    <i>
      <x v="2"/>
    </i>
    <i>
      <x v="6"/>
    </i>
    <i>
      <x v="9"/>
    </i>
    <i>
      <x v="5"/>
    </i>
    <i t="grand">
      <x/>
    </i>
  </rowItems>
  <colItems count="1">
    <i/>
  </colItems>
  <dataFields count="1">
    <dataField name="Sum of COGS" fld="7" baseField="0" baseItem="0" numFmtId="4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29924D3-BDEE-4806-BF9E-AA4984E6E219}" autoFormatId="16" applyNumberFormats="0" applyBorderFormats="0" applyFontFormats="0" applyPatternFormats="0" applyAlignmentFormats="0" applyWidthHeightFormats="0">
  <queryTableRefresh nextId="5">
    <queryTableFields count="4">
      <queryTableField id="1" name="Item" tableColumnId="1"/>
      <queryTableField id="2" name="Category" tableColumnId="2"/>
      <queryTableField id="3" name="Beginning Qty" tableColumnId="3"/>
      <queryTableField id="4" name="Unit Co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79BC965-21BE-4CD0-8FCB-BBA7E8058874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Item" tableColumnId="2"/>
      <queryTableField id="3" name="Category" tableColumnId="3"/>
      <queryTableField id="4" name="Transaction Type" tableColumnId="4"/>
      <queryTableField id="5" name="Quantity" tableColumnId="5"/>
      <queryTableField id="6" name="Unit Cos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64063-E5C0-47E2-82D5-E1612E100481}" name="tblBeginningInventory" displayName="tblBeginningInventory" ref="A1:D11" tableType="queryTable" totalsRowShown="0">
  <autoFilter ref="A1:D11" xr:uid="{13864063-E5C0-47E2-82D5-E1612E100481}"/>
  <tableColumns count="4">
    <tableColumn id="1" xr3:uid="{190BFA91-D58A-412C-AF13-1267F73EB135}" uniqueName="1" name="Item" queryTableFieldId="1" dataDxfId="15"/>
    <tableColumn id="2" xr3:uid="{9A91B1D5-0853-457E-9D03-E3F492EF7FF0}" uniqueName="2" name="Category" queryTableFieldId="2" dataDxfId="14"/>
    <tableColumn id="3" xr3:uid="{CBB204BE-B6D7-4BE9-9D2F-23873972AEED}" uniqueName="3" name="Beginning Qty" queryTableFieldId="3"/>
    <tableColumn id="4" xr3:uid="{53894D44-D75E-4C74-8EFC-C0E13BDF27AD}" uniqueName="4" name="Unit Cos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DC2224-E112-4AB8-B78B-F28D67765061}" name="tblTransactions" displayName="tblTransactions" ref="A1:F301" tableType="queryTable" totalsRowShown="0">
  <autoFilter ref="A1:F301" xr:uid="{F9DC2224-E112-4AB8-B78B-F28D67765061}"/>
  <tableColumns count="6">
    <tableColumn id="1" xr3:uid="{7B7D12C1-C3FF-49E2-8DFD-F0F66A7D4ED8}" uniqueName="1" name="Date" queryTableFieldId="1" dataDxfId="19"/>
    <tableColumn id="2" xr3:uid="{4D1DA5FD-0A56-4C01-9D1F-5833E1682BBA}" uniqueName="2" name="Item" queryTableFieldId="2" dataDxfId="18"/>
    <tableColumn id="3" xr3:uid="{53F5533F-3A29-4BD8-A732-03F76B2F2BB0}" uniqueName="3" name="Category" queryTableFieldId="3" dataDxfId="17"/>
    <tableColumn id="4" xr3:uid="{797BED49-67EF-479C-BE75-362295BB8FEA}" uniqueName="4" name="Transaction Type" queryTableFieldId="4" dataDxfId="16"/>
    <tableColumn id="5" xr3:uid="{B9648AA5-C858-491E-8C4E-40AC729034B2}" uniqueName="5" name="Quantity" queryTableFieldId="5"/>
    <tableColumn id="6" xr3:uid="{0FD51CBF-D13B-427C-B551-74A2F64D5630}" uniqueName="6" name="Unit Cost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F2BF1A-29E7-4D88-A1A1-CD5A34D57C31}" name="tblVendors" displayName="tblVendors" ref="A1:B11" totalsRowShown="0" headerRowDxfId="9" dataDxfId="10" tableBorderDxfId="13">
  <autoFilter ref="A1:B11" xr:uid="{63F2BF1A-29E7-4D88-A1A1-CD5A34D57C31}"/>
  <tableColumns count="2">
    <tableColumn id="1" xr3:uid="{582BE2ED-7C39-4324-B0DA-EA02D91A89C7}" name="Item" dataDxfId="12"/>
    <tableColumn id="2" xr3:uid="{87DB5374-66DA-4986-A40B-DD3A57B1F6E0}" name="Preferred Vendor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3D1528-63C4-439F-9DC3-39B46C697816}" name="Table6" displayName="Table6" ref="A1:I11" totalsRowShown="0">
  <autoFilter ref="A1:I11" xr:uid="{433D1528-63C4-439F-9DC3-39B46C697816}"/>
  <tableColumns count="9">
    <tableColumn id="1" xr3:uid="{E2790081-57F6-4F7C-8CC7-C1338BEE80AC}" name="Item" dataDxfId="8"/>
    <tableColumn id="2" xr3:uid="{759F8D7D-0C1A-440B-9786-7452DBC38A11}" name="Category" dataDxfId="7">
      <calculatedColumnFormula>_xlfn.XLOOKUP(Table6[[#This Row],[Item]],tblBeginningInventory[Item],tblBeginningInventory[Category])</calculatedColumnFormula>
    </tableColumn>
    <tableColumn id="3" xr3:uid="{431D36C7-3A3E-4400-9911-2EF78694C7F9}" name="Beginning Qty" dataDxfId="6">
      <calculatedColumnFormula>_xlfn.XLOOKUP(Table6[[#This Row],[Item]],tblBeginningInventory[Item],tblBeginningInventory[Beginning Qty])</calculatedColumnFormula>
    </tableColumn>
    <tableColumn id="4" xr3:uid="{1D73D548-01B1-475B-935C-5F0C2F515754}" name="Purchases" dataDxfId="5">
      <calculatedColumnFormula>SUMIFS(tblTransactions[Quantity],tblTransactions[Item],Table6[[#This Row],[Item]],tblTransactions[Transaction Type],"Purchase")</calculatedColumnFormula>
    </tableColumn>
    <tableColumn id="5" xr3:uid="{A5AA0913-6C4C-45E9-A65E-004584B8F724}" name="Usage" dataDxfId="4">
      <calculatedColumnFormula>SUMIFS(tblTransactions[Quantity],tblTransactions[Item],Table6[[#This Row],[Item]],tblTransactions[Transaction Type],"Usage")</calculatedColumnFormula>
    </tableColumn>
    <tableColumn id="6" xr3:uid="{6C10F4B8-B24F-46F4-9152-5147472745FE}" name="Expected Ending Qty" dataDxfId="3">
      <calculatedColumnFormula>Table6[[#This Row],[Beginning Qty]]+Table6[[#This Row],[Purchases]]-Table6[[#This Row],[Usage]]</calculatedColumnFormula>
    </tableColumn>
    <tableColumn id="7" xr3:uid="{1229AF75-F4A6-42C7-9760-2AB6398B5341}" name="Unit Cost" dataDxfId="2">
      <calculatedColumnFormula>_xlfn.XLOOKUP(Table6[[#This Row],[Item]],tblBeginningInventory[Item],tblBeginningInventory[Unit Cost])</calculatedColumnFormula>
    </tableColumn>
    <tableColumn id="8" xr3:uid="{8AF76236-BE72-487A-ABDA-588DE9812B5B}" name="COGS" dataDxfId="0">
      <calculatedColumnFormula>Table6[[#This Row],[Usage]]*Table6[[#This Row],[Unit Cost]]</calculatedColumnFormula>
    </tableColumn>
    <tableColumn id="9" xr3:uid="{E21C8AE1-BA58-4309-8CA5-ECE218B78276}" name="Vendor" dataDxfId="1">
      <calculatedColumnFormula>_xlfn.XLOOKUP(Table6[[#This Row],[Item]],tblVendors[Item],tblVendors[Preferred Vendor])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0A1D-CA69-4765-B3A1-EDEBC90403DA}">
  <dimension ref="A1:D11"/>
  <sheetViews>
    <sheetView workbookViewId="0">
      <selection activeCell="C6" sqref="C6"/>
    </sheetView>
  </sheetViews>
  <sheetFormatPr defaultRowHeight="15" x14ac:dyDescent="0.25"/>
  <cols>
    <col min="1" max="1" width="17" bestFit="1" customWidth="1"/>
    <col min="2" max="2" width="11.42578125" bestFit="1" customWidth="1"/>
    <col min="3" max="3" width="15.85546875" bestFit="1" customWidth="1"/>
    <col min="4" max="4" width="11.7109375" bestFit="1" customWidth="1"/>
  </cols>
  <sheetData>
    <row r="1" spans="1:4" x14ac:dyDescent="0.25">
      <c r="A1" t="s">
        <v>0</v>
      </c>
      <c r="B1" t="s">
        <v>17</v>
      </c>
      <c r="C1" t="s">
        <v>28</v>
      </c>
      <c r="D1" t="s">
        <v>20</v>
      </c>
    </row>
    <row r="2" spans="1:4" x14ac:dyDescent="0.25">
      <c r="A2" s="1" t="s">
        <v>2</v>
      </c>
      <c r="B2" s="1" t="s">
        <v>27</v>
      </c>
      <c r="C2">
        <v>73</v>
      </c>
      <c r="D2">
        <v>12.5</v>
      </c>
    </row>
    <row r="3" spans="1:4" x14ac:dyDescent="0.25">
      <c r="A3" s="1" t="s">
        <v>4</v>
      </c>
      <c r="B3" s="1" t="s">
        <v>27</v>
      </c>
      <c r="C3">
        <v>128</v>
      </c>
      <c r="D3">
        <v>4.25</v>
      </c>
    </row>
    <row r="4" spans="1:4" x14ac:dyDescent="0.25">
      <c r="A4" s="1" t="s">
        <v>6</v>
      </c>
      <c r="B4" s="1" t="s">
        <v>26</v>
      </c>
      <c r="C4">
        <v>82</v>
      </c>
      <c r="D4">
        <v>9.75</v>
      </c>
    </row>
    <row r="5" spans="1:4" x14ac:dyDescent="0.25">
      <c r="A5" s="1" t="s">
        <v>7</v>
      </c>
      <c r="B5" s="1" t="s">
        <v>25</v>
      </c>
      <c r="C5">
        <v>164</v>
      </c>
      <c r="D5">
        <v>115</v>
      </c>
    </row>
    <row r="6" spans="1:4" x14ac:dyDescent="0.25">
      <c r="A6" s="1" t="s">
        <v>9</v>
      </c>
      <c r="B6" s="1" t="s">
        <v>25</v>
      </c>
      <c r="C6">
        <v>128</v>
      </c>
      <c r="D6">
        <v>8.5</v>
      </c>
    </row>
    <row r="7" spans="1:4" x14ac:dyDescent="0.25">
      <c r="A7" s="1" t="s">
        <v>10</v>
      </c>
      <c r="B7" s="1" t="s">
        <v>25</v>
      </c>
      <c r="C7">
        <v>87</v>
      </c>
      <c r="D7">
        <v>22</v>
      </c>
    </row>
    <row r="8" spans="1:4" x14ac:dyDescent="0.25">
      <c r="A8" s="1" t="s">
        <v>11</v>
      </c>
      <c r="B8" s="1" t="s">
        <v>23</v>
      </c>
      <c r="C8">
        <v>69</v>
      </c>
      <c r="D8">
        <v>1.1000000000000001</v>
      </c>
    </row>
    <row r="9" spans="1:4" x14ac:dyDescent="0.25">
      <c r="A9" s="1" t="s">
        <v>13</v>
      </c>
      <c r="B9" s="1" t="s">
        <v>23</v>
      </c>
      <c r="C9">
        <v>157</v>
      </c>
      <c r="D9">
        <v>1.35</v>
      </c>
    </row>
    <row r="10" spans="1:4" x14ac:dyDescent="0.25">
      <c r="A10" s="1" t="s">
        <v>14</v>
      </c>
      <c r="B10" s="1" t="s">
        <v>21</v>
      </c>
      <c r="C10">
        <v>197</v>
      </c>
      <c r="D10">
        <v>2.8</v>
      </c>
    </row>
    <row r="11" spans="1:4" x14ac:dyDescent="0.25">
      <c r="A11" s="1" t="s">
        <v>15</v>
      </c>
      <c r="B11" s="1" t="s">
        <v>21</v>
      </c>
      <c r="C11">
        <v>203</v>
      </c>
      <c r="D11">
        <v>4.5999999999999996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50BB-731C-4368-AF42-8B4D980F3047}">
  <dimension ref="A1:F301"/>
  <sheetViews>
    <sheetView workbookViewId="0">
      <selection activeCell="D14" sqref="D14"/>
    </sheetView>
  </sheetViews>
  <sheetFormatPr defaultRowHeight="15" x14ac:dyDescent="0.25"/>
  <cols>
    <col min="1" max="1" width="10.42578125" bestFit="1" customWidth="1"/>
    <col min="2" max="2" width="17" bestFit="1" customWidth="1"/>
    <col min="3" max="3" width="11.42578125" bestFit="1" customWidth="1"/>
    <col min="4" max="4" width="18.5703125" bestFit="1" customWidth="1"/>
    <col min="5" max="5" width="11" bestFit="1" customWidth="1"/>
    <col min="6" max="6" width="11.7109375" bestFit="1" customWidth="1"/>
  </cols>
  <sheetData>
    <row r="1" spans="1:6" x14ac:dyDescent="0.25">
      <c r="A1" t="s">
        <v>16</v>
      </c>
      <c r="B1" t="s">
        <v>0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s="2">
        <v>45658</v>
      </c>
      <c r="B2" s="1" t="s">
        <v>15</v>
      </c>
      <c r="C2" s="1" t="s">
        <v>21</v>
      </c>
      <c r="D2" s="1" t="s">
        <v>22</v>
      </c>
      <c r="E2">
        <v>58</v>
      </c>
      <c r="F2">
        <v>4.5999999999999996</v>
      </c>
    </row>
    <row r="3" spans="1:6" x14ac:dyDescent="0.25">
      <c r="A3" s="2">
        <v>45658</v>
      </c>
      <c r="B3" s="1" t="s">
        <v>11</v>
      </c>
      <c r="C3" s="1" t="s">
        <v>23</v>
      </c>
      <c r="D3" s="1" t="s">
        <v>24</v>
      </c>
      <c r="E3">
        <v>71</v>
      </c>
      <c r="F3">
        <v>1.1000000000000001</v>
      </c>
    </row>
    <row r="4" spans="1:6" x14ac:dyDescent="0.25">
      <c r="A4" s="2">
        <v>45659</v>
      </c>
      <c r="B4" s="1" t="s">
        <v>9</v>
      </c>
      <c r="C4" s="1" t="s">
        <v>25</v>
      </c>
      <c r="D4" s="1" t="s">
        <v>24</v>
      </c>
      <c r="E4">
        <v>106</v>
      </c>
      <c r="F4">
        <v>8.5</v>
      </c>
    </row>
    <row r="5" spans="1:6" x14ac:dyDescent="0.25">
      <c r="A5" s="2">
        <v>45660</v>
      </c>
      <c r="B5" s="1" t="s">
        <v>6</v>
      </c>
      <c r="C5" s="1" t="s">
        <v>26</v>
      </c>
      <c r="D5" s="1" t="s">
        <v>24</v>
      </c>
      <c r="E5">
        <v>94</v>
      </c>
      <c r="F5">
        <v>9.75</v>
      </c>
    </row>
    <row r="6" spans="1:6" x14ac:dyDescent="0.25">
      <c r="A6" s="2">
        <v>45660</v>
      </c>
      <c r="B6" s="1" t="s">
        <v>4</v>
      </c>
      <c r="C6" s="1" t="s">
        <v>27</v>
      </c>
      <c r="D6" s="1" t="s">
        <v>24</v>
      </c>
      <c r="E6">
        <v>168</v>
      </c>
      <c r="F6">
        <v>4.25</v>
      </c>
    </row>
    <row r="7" spans="1:6" x14ac:dyDescent="0.25">
      <c r="A7" s="2">
        <v>45660</v>
      </c>
      <c r="B7" s="1" t="s">
        <v>11</v>
      </c>
      <c r="C7" s="1" t="s">
        <v>23</v>
      </c>
      <c r="D7" s="1" t="s">
        <v>24</v>
      </c>
      <c r="E7">
        <v>31</v>
      </c>
      <c r="F7">
        <v>1.1000000000000001</v>
      </c>
    </row>
    <row r="8" spans="1:6" x14ac:dyDescent="0.25">
      <c r="A8" s="2">
        <v>45662</v>
      </c>
      <c r="B8" s="1" t="s">
        <v>9</v>
      </c>
      <c r="C8" s="1" t="s">
        <v>25</v>
      </c>
      <c r="D8" s="1" t="s">
        <v>22</v>
      </c>
      <c r="E8">
        <v>56</v>
      </c>
      <c r="F8">
        <v>8.5</v>
      </c>
    </row>
    <row r="9" spans="1:6" x14ac:dyDescent="0.25">
      <c r="A9" s="2">
        <v>45662</v>
      </c>
      <c r="B9" s="1" t="s">
        <v>4</v>
      </c>
      <c r="C9" s="1" t="s">
        <v>27</v>
      </c>
      <c r="D9" s="1" t="s">
        <v>22</v>
      </c>
      <c r="E9">
        <v>70</v>
      </c>
      <c r="F9">
        <v>4.25</v>
      </c>
    </row>
    <row r="10" spans="1:6" x14ac:dyDescent="0.25">
      <c r="A10" s="2">
        <v>45663</v>
      </c>
      <c r="B10" s="1" t="s">
        <v>6</v>
      </c>
      <c r="C10" s="1" t="s">
        <v>26</v>
      </c>
      <c r="D10" s="1" t="s">
        <v>22</v>
      </c>
      <c r="E10">
        <v>29</v>
      </c>
      <c r="F10">
        <v>9.75</v>
      </c>
    </row>
    <row r="11" spans="1:6" x14ac:dyDescent="0.25">
      <c r="A11" s="2">
        <v>45666</v>
      </c>
      <c r="B11" s="1" t="s">
        <v>13</v>
      </c>
      <c r="C11" s="1" t="s">
        <v>23</v>
      </c>
      <c r="D11" s="1" t="s">
        <v>22</v>
      </c>
      <c r="E11">
        <v>34</v>
      </c>
      <c r="F11">
        <v>1.35</v>
      </c>
    </row>
    <row r="12" spans="1:6" x14ac:dyDescent="0.25">
      <c r="A12" s="2">
        <v>45668</v>
      </c>
      <c r="B12" s="1" t="s">
        <v>9</v>
      </c>
      <c r="C12" s="1" t="s">
        <v>25</v>
      </c>
      <c r="D12" s="1" t="s">
        <v>22</v>
      </c>
      <c r="E12">
        <v>39</v>
      </c>
      <c r="F12">
        <v>8.5</v>
      </c>
    </row>
    <row r="13" spans="1:6" x14ac:dyDescent="0.25">
      <c r="A13" s="2">
        <v>45668</v>
      </c>
      <c r="B13" s="1" t="s">
        <v>10</v>
      </c>
      <c r="C13" s="1" t="s">
        <v>25</v>
      </c>
      <c r="D13" s="1" t="s">
        <v>24</v>
      </c>
      <c r="E13">
        <v>175</v>
      </c>
      <c r="F13">
        <v>22</v>
      </c>
    </row>
    <row r="14" spans="1:6" x14ac:dyDescent="0.25">
      <c r="A14" s="2">
        <v>45669</v>
      </c>
      <c r="B14" s="1" t="s">
        <v>15</v>
      </c>
      <c r="C14" s="1" t="s">
        <v>21</v>
      </c>
      <c r="D14" s="1" t="s">
        <v>22</v>
      </c>
      <c r="E14">
        <v>44</v>
      </c>
      <c r="F14">
        <v>4.5999999999999996</v>
      </c>
    </row>
    <row r="15" spans="1:6" x14ac:dyDescent="0.25">
      <c r="A15" s="2">
        <v>45670</v>
      </c>
      <c r="B15" s="1" t="s">
        <v>6</v>
      </c>
      <c r="C15" s="1" t="s">
        <v>26</v>
      </c>
      <c r="D15" s="1" t="s">
        <v>22</v>
      </c>
      <c r="E15">
        <v>13</v>
      </c>
      <c r="F15">
        <v>9.75</v>
      </c>
    </row>
    <row r="16" spans="1:6" x14ac:dyDescent="0.25">
      <c r="A16" s="2">
        <v>45670</v>
      </c>
      <c r="B16" s="1" t="s">
        <v>4</v>
      </c>
      <c r="C16" s="1" t="s">
        <v>27</v>
      </c>
      <c r="D16" s="1" t="s">
        <v>22</v>
      </c>
      <c r="E16">
        <v>39</v>
      </c>
      <c r="F16">
        <v>4.25</v>
      </c>
    </row>
    <row r="17" spans="1:6" x14ac:dyDescent="0.25">
      <c r="A17" s="2">
        <v>45671</v>
      </c>
      <c r="B17" s="1" t="s">
        <v>9</v>
      </c>
      <c r="C17" s="1" t="s">
        <v>25</v>
      </c>
      <c r="D17" s="1" t="s">
        <v>24</v>
      </c>
      <c r="E17">
        <v>170</v>
      </c>
      <c r="F17">
        <v>8.5</v>
      </c>
    </row>
    <row r="18" spans="1:6" x14ac:dyDescent="0.25">
      <c r="A18" s="2">
        <v>45671</v>
      </c>
      <c r="B18" s="1" t="s">
        <v>13</v>
      </c>
      <c r="C18" s="1" t="s">
        <v>23</v>
      </c>
      <c r="D18" s="1" t="s">
        <v>22</v>
      </c>
      <c r="E18">
        <v>69</v>
      </c>
      <c r="F18">
        <v>1.35</v>
      </c>
    </row>
    <row r="19" spans="1:6" x14ac:dyDescent="0.25">
      <c r="A19" s="2">
        <v>45672</v>
      </c>
      <c r="B19" s="1" t="s">
        <v>9</v>
      </c>
      <c r="C19" s="1" t="s">
        <v>25</v>
      </c>
      <c r="D19" s="1" t="s">
        <v>22</v>
      </c>
      <c r="E19">
        <v>48</v>
      </c>
      <c r="F19">
        <v>8.5</v>
      </c>
    </row>
    <row r="20" spans="1:6" x14ac:dyDescent="0.25">
      <c r="A20" s="2">
        <v>45674</v>
      </c>
      <c r="B20" s="1" t="s">
        <v>6</v>
      </c>
      <c r="C20" s="1" t="s">
        <v>26</v>
      </c>
      <c r="D20" s="1" t="s">
        <v>24</v>
      </c>
      <c r="E20">
        <v>134</v>
      </c>
      <c r="F20">
        <v>9.75</v>
      </c>
    </row>
    <row r="21" spans="1:6" x14ac:dyDescent="0.25">
      <c r="A21" s="2">
        <v>45674</v>
      </c>
      <c r="B21" s="1" t="s">
        <v>4</v>
      </c>
      <c r="C21" s="1" t="s">
        <v>27</v>
      </c>
      <c r="D21" s="1" t="s">
        <v>24</v>
      </c>
      <c r="E21">
        <v>66</v>
      </c>
      <c r="F21">
        <v>4.25</v>
      </c>
    </row>
    <row r="22" spans="1:6" x14ac:dyDescent="0.25">
      <c r="A22" s="2">
        <v>45677</v>
      </c>
      <c r="B22" s="1" t="s">
        <v>7</v>
      </c>
      <c r="C22" s="1" t="s">
        <v>25</v>
      </c>
      <c r="D22" s="1" t="s">
        <v>24</v>
      </c>
      <c r="E22">
        <v>28</v>
      </c>
      <c r="F22">
        <v>115</v>
      </c>
    </row>
    <row r="23" spans="1:6" x14ac:dyDescent="0.25">
      <c r="A23" s="2">
        <v>45678</v>
      </c>
      <c r="B23" s="1" t="s">
        <v>6</v>
      </c>
      <c r="C23" s="1" t="s">
        <v>26</v>
      </c>
      <c r="D23" s="1" t="s">
        <v>24</v>
      </c>
      <c r="E23">
        <v>176</v>
      </c>
      <c r="F23">
        <v>9.75</v>
      </c>
    </row>
    <row r="24" spans="1:6" x14ac:dyDescent="0.25">
      <c r="A24" s="2">
        <v>45678</v>
      </c>
      <c r="B24" s="1" t="s">
        <v>11</v>
      </c>
      <c r="C24" s="1" t="s">
        <v>23</v>
      </c>
      <c r="D24" s="1" t="s">
        <v>24</v>
      </c>
      <c r="E24">
        <v>34</v>
      </c>
      <c r="F24">
        <v>1.1000000000000001</v>
      </c>
    </row>
    <row r="25" spans="1:6" x14ac:dyDescent="0.25">
      <c r="A25" s="2">
        <v>45678</v>
      </c>
      <c r="B25" s="1" t="s">
        <v>4</v>
      </c>
      <c r="C25" s="1" t="s">
        <v>27</v>
      </c>
      <c r="D25" s="1" t="s">
        <v>24</v>
      </c>
      <c r="E25">
        <v>20</v>
      </c>
      <c r="F25">
        <v>4.25</v>
      </c>
    </row>
    <row r="26" spans="1:6" x14ac:dyDescent="0.25">
      <c r="A26" s="2">
        <v>45681</v>
      </c>
      <c r="B26" s="1" t="s">
        <v>11</v>
      </c>
      <c r="C26" s="1" t="s">
        <v>23</v>
      </c>
      <c r="D26" s="1" t="s">
        <v>24</v>
      </c>
      <c r="E26">
        <v>49</v>
      </c>
      <c r="F26">
        <v>1.1000000000000001</v>
      </c>
    </row>
    <row r="27" spans="1:6" x14ac:dyDescent="0.25">
      <c r="A27" s="2">
        <v>45682</v>
      </c>
      <c r="B27" s="1" t="s">
        <v>6</v>
      </c>
      <c r="C27" s="1" t="s">
        <v>26</v>
      </c>
      <c r="D27" s="1" t="s">
        <v>24</v>
      </c>
      <c r="E27">
        <v>15</v>
      </c>
      <c r="F27">
        <v>9.75</v>
      </c>
    </row>
    <row r="28" spans="1:6" x14ac:dyDescent="0.25">
      <c r="A28" s="2">
        <v>45684</v>
      </c>
      <c r="B28" s="1" t="s">
        <v>10</v>
      </c>
      <c r="C28" s="1" t="s">
        <v>25</v>
      </c>
      <c r="D28" s="1" t="s">
        <v>22</v>
      </c>
      <c r="E28">
        <v>51</v>
      </c>
      <c r="F28">
        <v>22</v>
      </c>
    </row>
    <row r="29" spans="1:6" x14ac:dyDescent="0.25">
      <c r="A29" s="2">
        <v>45684</v>
      </c>
      <c r="B29" s="1" t="s">
        <v>15</v>
      </c>
      <c r="C29" s="1" t="s">
        <v>21</v>
      </c>
      <c r="D29" s="1" t="s">
        <v>22</v>
      </c>
      <c r="E29">
        <v>43</v>
      </c>
      <c r="F29">
        <v>4.5999999999999996</v>
      </c>
    </row>
    <row r="30" spans="1:6" x14ac:dyDescent="0.25">
      <c r="A30" s="2">
        <v>45686</v>
      </c>
      <c r="B30" s="1" t="s">
        <v>7</v>
      </c>
      <c r="C30" s="1" t="s">
        <v>25</v>
      </c>
      <c r="D30" s="1" t="s">
        <v>24</v>
      </c>
      <c r="E30">
        <v>128</v>
      </c>
      <c r="F30">
        <v>115</v>
      </c>
    </row>
    <row r="31" spans="1:6" x14ac:dyDescent="0.25">
      <c r="A31" s="2">
        <v>45687</v>
      </c>
      <c r="B31" s="1" t="s">
        <v>6</v>
      </c>
      <c r="C31" s="1" t="s">
        <v>26</v>
      </c>
      <c r="D31" s="1" t="s">
        <v>22</v>
      </c>
      <c r="E31">
        <v>70</v>
      </c>
      <c r="F31">
        <v>9.75</v>
      </c>
    </row>
    <row r="32" spans="1:6" x14ac:dyDescent="0.25">
      <c r="A32" s="2">
        <v>45689</v>
      </c>
      <c r="B32" s="1" t="s">
        <v>6</v>
      </c>
      <c r="C32" s="1" t="s">
        <v>26</v>
      </c>
      <c r="D32" s="1" t="s">
        <v>22</v>
      </c>
      <c r="E32">
        <v>7</v>
      </c>
      <c r="F32">
        <v>9.75</v>
      </c>
    </row>
    <row r="33" spans="1:6" x14ac:dyDescent="0.25">
      <c r="A33" s="2">
        <v>45690</v>
      </c>
      <c r="B33" s="1" t="s">
        <v>10</v>
      </c>
      <c r="C33" s="1" t="s">
        <v>25</v>
      </c>
      <c r="D33" s="1" t="s">
        <v>22</v>
      </c>
      <c r="E33">
        <v>22</v>
      </c>
      <c r="F33">
        <v>22</v>
      </c>
    </row>
    <row r="34" spans="1:6" x14ac:dyDescent="0.25">
      <c r="A34" s="2">
        <v>45691</v>
      </c>
      <c r="B34" s="1" t="s">
        <v>4</v>
      </c>
      <c r="C34" s="1" t="s">
        <v>27</v>
      </c>
      <c r="D34" s="1" t="s">
        <v>22</v>
      </c>
      <c r="E34">
        <v>73</v>
      </c>
      <c r="F34">
        <v>4.25</v>
      </c>
    </row>
    <row r="35" spans="1:6" x14ac:dyDescent="0.25">
      <c r="A35" s="2">
        <v>45692</v>
      </c>
      <c r="B35" s="1" t="s">
        <v>11</v>
      </c>
      <c r="C35" s="1" t="s">
        <v>23</v>
      </c>
      <c r="D35" s="1" t="s">
        <v>22</v>
      </c>
      <c r="E35">
        <v>62</v>
      </c>
      <c r="F35">
        <v>1.1000000000000001</v>
      </c>
    </row>
    <row r="36" spans="1:6" x14ac:dyDescent="0.25">
      <c r="A36" s="2">
        <v>45692</v>
      </c>
      <c r="B36" s="1" t="s">
        <v>11</v>
      </c>
      <c r="C36" s="1" t="s">
        <v>23</v>
      </c>
      <c r="D36" s="1" t="s">
        <v>22</v>
      </c>
      <c r="E36">
        <v>55</v>
      </c>
      <c r="F36">
        <v>1.1000000000000001</v>
      </c>
    </row>
    <row r="37" spans="1:6" x14ac:dyDescent="0.25">
      <c r="A37" s="2">
        <v>45695</v>
      </c>
      <c r="B37" s="1" t="s">
        <v>10</v>
      </c>
      <c r="C37" s="1" t="s">
        <v>25</v>
      </c>
      <c r="D37" s="1" t="s">
        <v>24</v>
      </c>
      <c r="E37">
        <v>75</v>
      </c>
      <c r="F37">
        <v>22</v>
      </c>
    </row>
    <row r="38" spans="1:6" x14ac:dyDescent="0.25">
      <c r="A38" s="2">
        <v>45698</v>
      </c>
      <c r="B38" s="1" t="s">
        <v>2</v>
      </c>
      <c r="C38" s="1" t="s">
        <v>27</v>
      </c>
      <c r="D38" s="1" t="s">
        <v>22</v>
      </c>
      <c r="E38">
        <v>73</v>
      </c>
      <c r="F38">
        <v>12.5</v>
      </c>
    </row>
    <row r="39" spans="1:6" x14ac:dyDescent="0.25">
      <c r="A39" s="2">
        <v>45699</v>
      </c>
      <c r="B39" s="1" t="s">
        <v>7</v>
      </c>
      <c r="C39" s="1" t="s">
        <v>25</v>
      </c>
      <c r="D39" s="1" t="s">
        <v>24</v>
      </c>
      <c r="E39">
        <v>14</v>
      </c>
      <c r="F39">
        <v>115</v>
      </c>
    </row>
    <row r="40" spans="1:6" x14ac:dyDescent="0.25">
      <c r="A40" s="2">
        <v>45700</v>
      </c>
      <c r="B40" s="1" t="s">
        <v>11</v>
      </c>
      <c r="C40" s="1" t="s">
        <v>23</v>
      </c>
      <c r="D40" s="1" t="s">
        <v>24</v>
      </c>
      <c r="E40">
        <v>147</v>
      </c>
      <c r="F40">
        <v>1.1000000000000001</v>
      </c>
    </row>
    <row r="41" spans="1:6" x14ac:dyDescent="0.25">
      <c r="A41" s="2">
        <v>45703</v>
      </c>
      <c r="B41" s="1" t="s">
        <v>4</v>
      </c>
      <c r="C41" s="1" t="s">
        <v>27</v>
      </c>
      <c r="D41" s="1" t="s">
        <v>22</v>
      </c>
      <c r="E41">
        <v>27</v>
      </c>
      <c r="F41">
        <v>4.25</v>
      </c>
    </row>
    <row r="42" spans="1:6" x14ac:dyDescent="0.25">
      <c r="A42" s="2">
        <v>45705</v>
      </c>
      <c r="B42" s="1" t="s">
        <v>6</v>
      </c>
      <c r="C42" s="1" t="s">
        <v>26</v>
      </c>
      <c r="D42" s="1" t="s">
        <v>24</v>
      </c>
      <c r="E42">
        <v>15</v>
      </c>
      <c r="F42">
        <v>9.75</v>
      </c>
    </row>
    <row r="43" spans="1:6" x14ac:dyDescent="0.25">
      <c r="A43" s="2">
        <v>45705</v>
      </c>
      <c r="B43" s="1" t="s">
        <v>4</v>
      </c>
      <c r="C43" s="1" t="s">
        <v>27</v>
      </c>
      <c r="D43" s="1" t="s">
        <v>22</v>
      </c>
      <c r="E43">
        <v>74</v>
      </c>
      <c r="F43">
        <v>4.25</v>
      </c>
    </row>
    <row r="44" spans="1:6" x14ac:dyDescent="0.25">
      <c r="A44" s="2">
        <v>45705</v>
      </c>
      <c r="B44" s="1" t="s">
        <v>15</v>
      </c>
      <c r="C44" s="1" t="s">
        <v>21</v>
      </c>
      <c r="D44" s="1" t="s">
        <v>22</v>
      </c>
      <c r="E44">
        <v>71</v>
      </c>
      <c r="F44">
        <v>4.5999999999999996</v>
      </c>
    </row>
    <row r="45" spans="1:6" x14ac:dyDescent="0.25">
      <c r="A45" s="2">
        <v>45706</v>
      </c>
      <c r="B45" s="1" t="s">
        <v>9</v>
      </c>
      <c r="C45" s="1" t="s">
        <v>25</v>
      </c>
      <c r="D45" s="1" t="s">
        <v>24</v>
      </c>
      <c r="E45">
        <v>189</v>
      </c>
      <c r="F45">
        <v>8.5</v>
      </c>
    </row>
    <row r="46" spans="1:6" x14ac:dyDescent="0.25">
      <c r="A46" s="2">
        <v>45709</v>
      </c>
      <c r="B46" s="1" t="s">
        <v>13</v>
      </c>
      <c r="C46" s="1" t="s">
        <v>23</v>
      </c>
      <c r="D46" s="1" t="s">
        <v>22</v>
      </c>
      <c r="E46">
        <v>50</v>
      </c>
      <c r="F46">
        <v>1.35</v>
      </c>
    </row>
    <row r="47" spans="1:6" x14ac:dyDescent="0.25">
      <c r="A47" s="2">
        <v>45710</v>
      </c>
      <c r="B47" s="1" t="s">
        <v>2</v>
      </c>
      <c r="C47" s="1" t="s">
        <v>27</v>
      </c>
      <c r="D47" s="1" t="s">
        <v>24</v>
      </c>
      <c r="E47">
        <v>104</v>
      </c>
      <c r="F47">
        <v>12.5</v>
      </c>
    </row>
    <row r="48" spans="1:6" x14ac:dyDescent="0.25">
      <c r="A48" s="2">
        <v>45711</v>
      </c>
      <c r="B48" s="1" t="s">
        <v>15</v>
      </c>
      <c r="C48" s="1" t="s">
        <v>21</v>
      </c>
      <c r="D48" s="1" t="s">
        <v>24</v>
      </c>
      <c r="E48">
        <v>112</v>
      </c>
      <c r="F48">
        <v>4.5999999999999996</v>
      </c>
    </row>
    <row r="49" spans="1:6" x14ac:dyDescent="0.25">
      <c r="A49" s="2">
        <v>45713</v>
      </c>
      <c r="B49" s="1" t="s">
        <v>13</v>
      </c>
      <c r="C49" s="1" t="s">
        <v>23</v>
      </c>
      <c r="D49" s="1" t="s">
        <v>22</v>
      </c>
      <c r="E49">
        <v>36</v>
      </c>
      <c r="F49">
        <v>1.35</v>
      </c>
    </row>
    <row r="50" spans="1:6" x14ac:dyDescent="0.25">
      <c r="A50" s="2">
        <v>45714</v>
      </c>
      <c r="B50" s="1" t="s">
        <v>2</v>
      </c>
      <c r="C50" s="1" t="s">
        <v>27</v>
      </c>
      <c r="D50" s="1" t="s">
        <v>22</v>
      </c>
      <c r="E50">
        <v>60</v>
      </c>
      <c r="F50">
        <v>12.5</v>
      </c>
    </row>
    <row r="51" spans="1:6" x14ac:dyDescent="0.25">
      <c r="A51" s="2">
        <v>45716</v>
      </c>
      <c r="B51" s="1" t="s">
        <v>13</v>
      </c>
      <c r="C51" s="1" t="s">
        <v>23</v>
      </c>
      <c r="D51" s="1" t="s">
        <v>24</v>
      </c>
      <c r="E51">
        <v>44</v>
      </c>
      <c r="F51">
        <v>1.35</v>
      </c>
    </row>
    <row r="52" spans="1:6" x14ac:dyDescent="0.25">
      <c r="A52" s="2">
        <v>45719</v>
      </c>
      <c r="B52" s="1" t="s">
        <v>6</v>
      </c>
      <c r="C52" s="1" t="s">
        <v>26</v>
      </c>
      <c r="D52" s="1" t="s">
        <v>22</v>
      </c>
      <c r="E52">
        <v>60</v>
      </c>
      <c r="F52">
        <v>9.75</v>
      </c>
    </row>
    <row r="53" spans="1:6" x14ac:dyDescent="0.25">
      <c r="A53" s="2">
        <v>45722</v>
      </c>
      <c r="B53" s="1" t="s">
        <v>7</v>
      </c>
      <c r="C53" s="1" t="s">
        <v>25</v>
      </c>
      <c r="D53" s="1" t="s">
        <v>24</v>
      </c>
      <c r="E53">
        <v>29</v>
      </c>
      <c r="F53">
        <v>115</v>
      </c>
    </row>
    <row r="54" spans="1:6" x14ac:dyDescent="0.25">
      <c r="A54" s="2">
        <v>45723</v>
      </c>
      <c r="B54" s="1" t="s">
        <v>14</v>
      </c>
      <c r="C54" s="1" t="s">
        <v>21</v>
      </c>
      <c r="D54" s="1" t="s">
        <v>24</v>
      </c>
      <c r="E54">
        <v>163</v>
      </c>
      <c r="F54">
        <v>2.8</v>
      </c>
    </row>
    <row r="55" spans="1:6" x14ac:dyDescent="0.25">
      <c r="A55" s="2">
        <v>45726</v>
      </c>
      <c r="B55" s="1" t="s">
        <v>7</v>
      </c>
      <c r="C55" s="1" t="s">
        <v>25</v>
      </c>
      <c r="D55" s="1" t="s">
        <v>24</v>
      </c>
      <c r="E55">
        <v>71</v>
      </c>
      <c r="F55">
        <v>115</v>
      </c>
    </row>
    <row r="56" spans="1:6" x14ac:dyDescent="0.25">
      <c r="A56" s="2">
        <v>45727</v>
      </c>
      <c r="B56" s="1" t="s">
        <v>10</v>
      </c>
      <c r="C56" s="1" t="s">
        <v>25</v>
      </c>
      <c r="D56" s="1" t="s">
        <v>22</v>
      </c>
      <c r="E56">
        <v>36</v>
      </c>
      <c r="F56">
        <v>22</v>
      </c>
    </row>
    <row r="57" spans="1:6" x14ac:dyDescent="0.25">
      <c r="A57" s="2">
        <v>45727</v>
      </c>
      <c r="B57" s="1" t="s">
        <v>13</v>
      </c>
      <c r="C57" s="1" t="s">
        <v>23</v>
      </c>
      <c r="D57" s="1" t="s">
        <v>22</v>
      </c>
      <c r="E57">
        <v>55</v>
      </c>
      <c r="F57">
        <v>1.35</v>
      </c>
    </row>
    <row r="58" spans="1:6" x14ac:dyDescent="0.25">
      <c r="A58" s="2">
        <v>45728</v>
      </c>
      <c r="B58" s="1" t="s">
        <v>14</v>
      </c>
      <c r="C58" s="1" t="s">
        <v>21</v>
      </c>
      <c r="D58" s="1" t="s">
        <v>22</v>
      </c>
      <c r="E58">
        <v>46</v>
      </c>
      <c r="F58">
        <v>2.8</v>
      </c>
    </row>
    <row r="59" spans="1:6" x14ac:dyDescent="0.25">
      <c r="A59" s="2">
        <v>45730</v>
      </c>
      <c r="B59" s="1" t="s">
        <v>10</v>
      </c>
      <c r="C59" s="1" t="s">
        <v>25</v>
      </c>
      <c r="D59" s="1" t="s">
        <v>22</v>
      </c>
      <c r="E59">
        <v>33</v>
      </c>
      <c r="F59">
        <v>22</v>
      </c>
    </row>
    <row r="60" spans="1:6" x14ac:dyDescent="0.25">
      <c r="A60" s="2">
        <v>45731</v>
      </c>
      <c r="B60" s="1" t="s">
        <v>7</v>
      </c>
      <c r="C60" s="1" t="s">
        <v>25</v>
      </c>
      <c r="D60" s="1" t="s">
        <v>24</v>
      </c>
      <c r="E60">
        <v>86</v>
      </c>
      <c r="F60">
        <v>115</v>
      </c>
    </row>
    <row r="61" spans="1:6" x14ac:dyDescent="0.25">
      <c r="A61" s="2">
        <v>45736</v>
      </c>
      <c r="B61" s="1" t="s">
        <v>13</v>
      </c>
      <c r="C61" s="1" t="s">
        <v>23</v>
      </c>
      <c r="D61" s="1" t="s">
        <v>24</v>
      </c>
      <c r="E61">
        <v>116</v>
      </c>
      <c r="F61">
        <v>1.35</v>
      </c>
    </row>
    <row r="62" spans="1:6" x14ac:dyDescent="0.25">
      <c r="A62" s="2">
        <v>45737</v>
      </c>
      <c r="B62" s="1" t="s">
        <v>7</v>
      </c>
      <c r="C62" s="1" t="s">
        <v>25</v>
      </c>
      <c r="D62" s="1" t="s">
        <v>22</v>
      </c>
      <c r="E62">
        <v>26</v>
      </c>
      <c r="F62">
        <v>115</v>
      </c>
    </row>
    <row r="63" spans="1:6" x14ac:dyDescent="0.25">
      <c r="A63" s="2">
        <v>45739</v>
      </c>
      <c r="B63" s="1" t="s">
        <v>10</v>
      </c>
      <c r="C63" s="1" t="s">
        <v>25</v>
      </c>
      <c r="D63" s="1" t="s">
        <v>24</v>
      </c>
      <c r="E63">
        <v>93</v>
      </c>
      <c r="F63">
        <v>22</v>
      </c>
    </row>
    <row r="64" spans="1:6" x14ac:dyDescent="0.25">
      <c r="A64" s="2">
        <v>45741</v>
      </c>
      <c r="B64" s="1" t="s">
        <v>2</v>
      </c>
      <c r="C64" s="1" t="s">
        <v>27</v>
      </c>
      <c r="D64" s="1" t="s">
        <v>22</v>
      </c>
      <c r="E64">
        <v>16</v>
      </c>
      <c r="F64">
        <v>12.5</v>
      </c>
    </row>
    <row r="65" spans="1:6" x14ac:dyDescent="0.25">
      <c r="A65" s="2">
        <v>45741</v>
      </c>
      <c r="B65" s="1" t="s">
        <v>7</v>
      </c>
      <c r="C65" s="1" t="s">
        <v>25</v>
      </c>
      <c r="D65" s="1" t="s">
        <v>22</v>
      </c>
      <c r="E65">
        <v>66</v>
      </c>
      <c r="F65">
        <v>115</v>
      </c>
    </row>
    <row r="66" spans="1:6" x14ac:dyDescent="0.25">
      <c r="A66" s="2">
        <v>45743</v>
      </c>
      <c r="B66" s="1" t="s">
        <v>11</v>
      </c>
      <c r="C66" s="1" t="s">
        <v>23</v>
      </c>
      <c r="D66" s="1" t="s">
        <v>24</v>
      </c>
      <c r="E66">
        <v>152</v>
      </c>
      <c r="F66">
        <v>1.1000000000000001</v>
      </c>
    </row>
    <row r="67" spans="1:6" x14ac:dyDescent="0.25">
      <c r="A67" s="2">
        <v>45744</v>
      </c>
      <c r="B67" s="1" t="s">
        <v>11</v>
      </c>
      <c r="C67" s="1" t="s">
        <v>23</v>
      </c>
      <c r="D67" s="1" t="s">
        <v>22</v>
      </c>
      <c r="E67">
        <v>13</v>
      </c>
      <c r="F67">
        <v>1.1000000000000001</v>
      </c>
    </row>
    <row r="68" spans="1:6" x14ac:dyDescent="0.25">
      <c r="A68" s="2">
        <v>45744</v>
      </c>
      <c r="B68" s="1" t="s">
        <v>2</v>
      </c>
      <c r="C68" s="1" t="s">
        <v>27</v>
      </c>
      <c r="D68" s="1" t="s">
        <v>22</v>
      </c>
      <c r="E68">
        <v>11</v>
      </c>
      <c r="F68">
        <v>12.5</v>
      </c>
    </row>
    <row r="69" spans="1:6" x14ac:dyDescent="0.25">
      <c r="A69" s="2">
        <v>45744</v>
      </c>
      <c r="B69" s="1" t="s">
        <v>10</v>
      </c>
      <c r="C69" s="1" t="s">
        <v>25</v>
      </c>
      <c r="D69" s="1" t="s">
        <v>24</v>
      </c>
      <c r="E69">
        <v>45</v>
      </c>
      <c r="F69">
        <v>22</v>
      </c>
    </row>
    <row r="70" spans="1:6" x14ac:dyDescent="0.25">
      <c r="A70" s="2">
        <v>45744</v>
      </c>
      <c r="B70" s="1" t="s">
        <v>7</v>
      </c>
      <c r="C70" s="1" t="s">
        <v>25</v>
      </c>
      <c r="D70" s="1" t="s">
        <v>22</v>
      </c>
      <c r="E70">
        <v>20</v>
      </c>
      <c r="F70">
        <v>115</v>
      </c>
    </row>
    <row r="71" spans="1:6" x14ac:dyDescent="0.25">
      <c r="A71" s="2">
        <v>45745</v>
      </c>
      <c r="B71" s="1" t="s">
        <v>2</v>
      </c>
      <c r="C71" s="1" t="s">
        <v>27</v>
      </c>
      <c r="D71" s="1" t="s">
        <v>24</v>
      </c>
      <c r="E71">
        <v>26</v>
      </c>
      <c r="F71">
        <v>12.5</v>
      </c>
    </row>
    <row r="72" spans="1:6" x14ac:dyDescent="0.25">
      <c r="A72" s="2">
        <v>45745</v>
      </c>
      <c r="B72" s="1" t="s">
        <v>7</v>
      </c>
      <c r="C72" s="1" t="s">
        <v>25</v>
      </c>
      <c r="D72" s="1" t="s">
        <v>22</v>
      </c>
      <c r="E72">
        <v>57</v>
      </c>
      <c r="F72">
        <v>115</v>
      </c>
    </row>
    <row r="73" spans="1:6" x14ac:dyDescent="0.25">
      <c r="A73" s="2">
        <v>45747</v>
      </c>
      <c r="B73" s="1" t="s">
        <v>14</v>
      </c>
      <c r="C73" s="1" t="s">
        <v>21</v>
      </c>
      <c r="D73" s="1" t="s">
        <v>22</v>
      </c>
      <c r="E73">
        <v>58</v>
      </c>
      <c r="F73">
        <v>2.8</v>
      </c>
    </row>
    <row r="74" spans="1:6" x14ac:dyDescent="0.25">
      <c r="A74" s="2">
        <v>45750</v>
      </c>
      <c r="B74" s="1" t="s">
        <v>11</v>
      </c>
      <c r="C74" s="1" t="s">
        <v>23</v>
      </c>
      <c r="D74" s="1" t="s">
        <v>24</v>
      </c>
      <c r="E74">
        <v>116</v>
      </c>
      <c r="F74">
        <v>1.1000000000000001</v>
      </c>
    </row>
    <row r="75" spans="1:6" x14ac:dyDescent="0.25">
      <c r="A75" s="2">
        <v>45751</v>
      </c>
      <c r="B75" s="1" t="s">
        <v>10</v>
      </c>
      <c r="C75" s="1" t="s">
        <v>25</v>
      </c>
      <c r="D75" s="1" t="s">
        <v>24</v>
      </c>
      <c r="E75">
        <v>94</v>
      </c>
      <c r="F75">
        <v>22</v>
      </c>
    </row>
    <row r="76" spans="1:6" x14ac:dyDescent="0.25">
      <c r="A76" s="2">
        <v>45752</v>
      </c>
      <c r="B76" s="1" t="s">
        <v>15</v>
      </c>
      <c r="C76" s="1" t="s">
        <v>21</v>
      </c>
      <c r="D76" s="1" t="s">
        <v>22</v>
      </c>
      <c r="E76">
        <v>61</v>
      </c>
      <c r="F76">
        <v>4.5999999999999996</v>
      </c>
    </row>
    <row r="77" spans="1:6" x14ac:dyDescent="0.25">
      <c r="A77" s="2">
        <v>45752</v>
      </c>
      <c r="B77" s="1" t="s">
        <v>4</v>
      </c>
      <c r="C77" s="1" t="s">
        <v>27</v>
      </c>
      <c r="D77" s="1" t="s">
        <v>24</v>
      </c>
      <c r="E77">
        <v>192</v>
      </c>
      <c r="F77">
        <v>4.25</v>
      </c>
    </row>
    <row r="78" spans="1:6" x14ac:dyDescent="0.25">
      <c r="A78" s="2">
        <v>45752</v>
      </c>
      <c r="B78" s="1" t="s">
        <v>6</v>
      </c>
      <c r="C78" s="1" t="s">
        <v>26</v>
      </c>
      <c r="D78" s="1" t="s">
        <v>22</v>
      </c>
      <c r="E78">
        <v>30</v>
      </c>
      <c r="F78">
        <v>9.75</v>
      </c>
    </row>
    <row r="79" spans="1:6" x14ac:dyDescent="0.25">
      <c r="A79" s="2">
        <v>45754</v>
      </c>
      <c r="B79" s="1" t="s">
        <v>15</v>
      </c>
      <c r="C79" s="1" t="s">
        <v>21</v>
      </c>
      <c r="D79" s="1" t="s">
        <v>24</v>
      </c>
      <c r="E79">
        <v>170</v>
      </c>
      <c r="F79">
        <v>4.5999999999999996</v>
      </c>
    </row>
    <row r="80" spans="1:6" x14ac:dyDescent="0.25">
      <c r="A80" s="2">
        <v>45755</v>
      </c>
      <c r="B80" s="1" t="s">
        <v>4</v>
      </c>
      <c r="C80" s="1" t="s">
        <v>27</v>
      </c>
      <c r="D80" s="1" t="s">
        <v>24</v>
      </c>
      <c r="E80">
        <v>118</v>
      </c>
      <c r="F80">
        <v>4.25</v>
      </c>
    </row>
    <row r="81" spans="1:6" x14ac:dyDescent="0.25">
      <c r="A81" s="2">
        <v>45756</v>
      </c>
      <c r="B81" s="1" t="s">
        <v>7</v>
      </c>
      <c r="C81" s="1" t="s">
        <v>25</v>
      </c>
      <c r="D81" s="1" t="s">
        <v>24</v>
      </c>
      <c r="E81">
        <v>186</v>
      </c>
      <c r="F81">
        <v>115</v>
      </c>
    </row>
    <row r="82" spans="1:6" x14ac:dyDescent="0.25">
      <c r="A82" s="2">
        <v>45757</v>
      </c>
      <c r="B82" s="1" t="s">
        <v>9</v>
      </c>
      <c r="C82" s="1" t="s">
        <v>25</v>
      </c>
      <c r="D82" s="1" t="s">
        <v>24</v>
      </c>
      <c r="E82">
        <v>31</v>
      </c>
      <c r="F82">
        <v>8.5</v>
      </c>
    </row>
    <row r="83" spans="1:6" x14ac:dyDescent="0.25">
      <c r="A83" s="2">
        <v>45758</v>
      </c>
      <c r="B83" s="1" t="s">
        <v>9</v>
      </c>
      <c r="C83" s="1" t="s">
        <v>25</v>
      </c>
      <c r="D83" s="1" t="s">
        <v>24</v>
      </c>
      <c r="E83">
        <v>160</v>
      </c>
      <c r="F83">
        <v>8.5</v>
      </c>
    </row>
    <row r="84" spans="1:6" x14ac:dyDescent="0.25">
      <c r="A84" s="2">
        <v>45760</v>
      </c>
      <c r="B84" s="1" t="s">
        <v>11</v>
      </c>
      <c r="C84" s="1" t="s">
        <v>23</v>
      </c>
      <c r="D84" s="1" t="s">
        <v>24</v>
      </c>
      <c r="E84">
        <v>137</v>
      </c>
      <c r="F84">
        <v>1.1000000000000001</v>
      </c>
    </row>
    <row r="85" spans="1:6" x14ac:dyDescent="0.25">
      <c r="A85" s="2">
        <v>45763</v>
      </c>
      <c r="B85" s="1" t="s">
        <v>7</v>
      </c>
      <c r="C85" s="1" t="s">
        <v>25</v>
      </c>
      <c r="D85" s="1" t="s">
        <v>24</v>
      </c>
      <c r="E85">
        <v>120</v>
      </c>
      <c r="F85">
        <v>115</v>
      </c>
    </row>
    <row r="86" spans="1:6" x14ac:dyDescent="0.25">
      <c r="A86" s="2">
        <v>45763</v>
      </c>
      <c r="B86" s="1" t="s">
        <v>2</v>
      </c>
      <c r="C86" s="1" t="s">
        <v>27</v>
      </c>
      <c r="D86" s="1" t="s">
        <v>24</v>
      </c>
      <c r="E86">
        <v>152</v>
      </c>
      <c r="F86">
        <v>12.5</v>
      </c>
    </row>
    <row r="87" spans="1:6" x14ac:dyDescent="0.25">
      <c r="A87" s="2">
        <v>45764</v>
      </c>
      <c r="B87" s="1" t="s">
        <v>10</v>
      </c>
      <c r="C87" s="1" t="s">
        <v>25</v>
      </c>
      <c r="D87" s="1" t="s">
        <v>24</v>
      </c>
      <c r="E87">
        <v>189</v>
      </c>
      <c r="F87">
        <v>22</v>
      </c>
    </row>
    <row r="88" spans="1:6" x14ac:dyDescent="0.25">
      <c r="A88" s="2">
        <v>45766</v>
      </c>
      <c r="B88" s="1" t="s">
        <v>14</v>
      </c>
      <c r="C88" s="1" t="s">
        <v>21</v>
      </c>
      <c r="D88" s="1" t="s">
        <v>24</v>
      </c>
      <c r="E88">
        <v>102</v>
      </c>
      <c r="F88">
        <v>2.8</v>
      </c>
    </row>
    <row r="89" spans="1:6" x14ac:dyDescent="0.25">
      <c r="A89" s="2">
        <v>45767</v>
      </c>
      <c r="B89" s="1" t="s">
        <v>11</v>
      </c>
      <c r="C89" s="1" t="s">
        <v>23</v>
      </c>
      <c r="D89" s="1" t="s">
        <v>24</v>
      </c>
      <c r="E89">
        <v>37</v>
      </c>
      <c r="F89">
        <v>1.1000000000000001</v>
      </c>
    </row>
    <row r="90" spans="1:6" x14ac:dyDescent="0.25">
      <c r="A90" s="2">
        <v>45768</v>
      </c>
      <c r="B90" s="1" t="s">
        <v>13</v>
      </c>
      <c r="C90" s="1" t="s">
        <v>23</v>
      </c>
      <c r="D90" s="1" t="s">
        <v>22</v>
      </c>
      <c r="E90">
        <v>29</v>
      </c>
      <c r="F90">
        <v>1.35</v>
      </c>
    </row>
    <row r="91" spans="1:6" x14ac:dyDescent="0.25">
      <c r="A91" s="2">
        <v>45768</v>
      </c>
      <c r="B91" s="1" t="s">
        <v>4</v>
      </c>
      <c r="C91" s="1" t="s">
        <v>27</v>
      </c>
      <c r="D91" s="1" t="s">
        <v>22</v>
      </c>
      <c r="E91">
        <v>10</v>
      </c>
      <c r="F91">
        <v>4.25</v>
      </c>
    </row>
    <row r="92" spans="1:6" x14ac:dyDescent="0.25">
      <c r="A92" s="2">
        <v>45768</v>
      </c>
      <c r="B92" s="1" t="s">
        <v>6</v>
      </c>
      <c r="C92" s="1" t="s">
        <v>26</v>
      </c>
      <c r="D92" s="1" t="s">
        <v>24</v>
      </c>
      <c r="E92">
        <v>190</v>
      </c>
      <c r="F92">
        <v>9.75</v>
      </c>
    </row>
    <row r="93" spans="1:6" x14ac:dyDescent="0.25">
      <c r="A93" s="2">
        <v>45771</v>
      </c>
      <c r="B93" s="1" t="s">
        <v>14</v>
      </c>
      <c r="C93" s="1" t="s">
        <v>21</v>
      </c>
      <c r="D93" s="1" t="s">
        <v>22</v>
      </c>
      <c r="E93">
        <v>55</v>
      </c>
      <c r="F93">
        <v>2.8</v>
      </c>
    </row>
    <row r="94" spans="1:6" x14ac:dyDescent="0.25">
      <c r="A94" s="2">
        <v>45776</v>
      </c>
      <c r="B94" s="1" t="s">
        <v>13</v>
      </c>
      <c r="C94" s="1" t="s">
        <v>23</v>
      </c>
      <c r="D94" s="1" t="s">
        <v>24</v>
      </c>
      <c r="E94">
        <v>182</v>
      </c>
      <c r="F94">
        <v>1.35</v>
      </c>
    </row>
    <row r="95" spans="1:6" x14ac:dyDescent="0.25">
      <c r="A95" s="2">
        <v>45776</v>
      </c>
      <c r="B95" s="1" t="s">
        <v>13</v>
      </c>
      <c r="C95" s="1" t="s">
        <v>23</v>
      </c>
      <c r="D95" s="1" t="s">
        <v>22</v>
      </c>
      <c r="E95">
        <v>16</v>
      </c>
      <c r="F95">
        <v>1.35</v>
      </c>
    </row>
    <row r="96" spans="1:6" x14ac:dyDescent="0.25">
      <c r="A96" s="2">
        <v>45778</v>
      </c>
      <c r="B96" s="1" t="s">
        <v>6</v>
      </c>
      <c r="C96" s="1" t="s">
        <v>26</v>
      </c>
      <c r="D96" s="1" t="s">
        <v>24</v>
      </c>
      <c r="E96">
        <v>58</v>
      </c>
      <c r="F96">
        <v>9.75</v>
      </c>
    </row>
    <row r="97" spans="1:6" x14ac:dyDescent="0.25">
      <c r="A97" s="2">
        <v>45781</v>
      </c>
      <c r="B97" s="1" t="s">
        <v>6</v>
      </c>
      <c r="C97" s="1" t="s">
        <v>26</v>
      </c>
      <c r="D97" s="1" t="s">
        <v>22</v>
      </c>
      <c r="E97">
        <v>31</v>
      </c>
      <c r="F97">
        <v>9.75</v>
      </c>
    </row>
    <row r="98" spans="1:6" x14ac:dyDescent="0.25">
      <c r="A98" s="2">
        <v>45783</v>
      </c>
      <c r="B98" s="1" t="s">
        <v>13</v>
      </c>
      <c r="C98" s="1" t="s">
        <v>23</v>
      </c>
      <c r="D98" s="1" t="s">
        <v>22</v>
      </c>
      <c r="E98">
        <v>30</v>
      </c>
      <c r="F98">
        <v>1.35</v>
      </c>
    </row>
    <row r="99" spans="1:6" x14ac:dyDescent="0.25">
      <c r="A99" s="2">
        <v>45784</v>
      </c>
      <c r="B99" s="1" t="s">
        <v>11</v>
      </c>
      <c r="C99" s="1" t="s">
        <v>23</v>
      </c>
      <c r="D99" s="1" t="s">
        <v>22</v>
      </c>
      <c r="E99">
        <v>28</v>
      </c>
      <c r="F99">
        <v>1.1000000000000001</v>
      </c>
    </row>
    <row r="100" spans="1:6" x14ac:dyDescent="0.25">
      <c r="A100" s="2">
        <v>45785</v>
      </c>
      <c r="B100" s="1" t="s">
        <v>14</v>
      </c>
      <c r="C100" s="1" t="s">
        <v>21</v>
      </c>
      <c r="D100" s="1" t="s">
        <v>24</v>
      </c>
      <c r="E100">
        <v>134</v>
      </c>
      <c r="F100">
        <v>2.8</v>
      </c>
    </row>
    <row r="101" spans="1:6" x14ac:dyDescent="0.25">
      <c r="A101" s="2">
        <v>45790</v>
      </c>
      <c r="B101" s="1" t="s">
        <v>15</v>
      </c>
      <c r="C101" s="1" t="s">
        <v>21</v>
      </c>
      <c r="D101" s="1" t="s">
        <v>22</v>
      </c>
      <c r="E101">
        <v>55</v>
      </c>
      <c r="F101">
        <v>4.5999999999999996</v>
      </c>
    </row>
    <row r="102" spans="1:6" x14ac:dyDescent="0.25">
      <c r="A102" s="2">
        <v>45790</v>
      </c>
      <c r="B102" s="1" t="s">
        <v>6</v>
      </c>
      <c r="C102" s="1" t="s">
        <v>26</v>
      </c>
      <c r="D102" s="1" t="s">
        <v>22</v>
      </c>
      <c r="E102">
        <v>28</v>
      </c>
      <c r="F102">
        <v>9.75</v>
      </c>
    </row>
    <row r="103" spans="1:6" x14ac:dyDescent="0.25">
      <c r="A103" s="2">
        <v>45793</v>
      </c>
      <c r="B103" s="1" t="s">
        <v>11</v>
      </c>
      <c r="C103" s="1" t="s">
        <v>23</v>
      </c>
      <c r="D103" s="1" t="s">
        <v>24</v>
      </c>
      <c r="E103">
        <v>138</v>
      </c>
      <c r="F103">
        <v>1.1000000000000001</v>
      </c>
    </row>
    <row r="104" spans="1:6" x14ac:dyDescent="0.25">
      <c r="A104" s="2">
        <v>45795</v>
      </c>
      <c r="B104" s="1" t="s">
        <v>14</v>
      </c>
      <c r="C104" s="1" t="s">
        <v>21</v>
      </c>
      <c r="D104" s="1" t="s">
        <v>24</v>
      </c>
      <c r="E104">
        <v>198</v>
      </c>
      <c r="F104">
        <v>2.8</v>
      </c>
    </row>
    <row r="105" spans="1:6" x14ac:dyDescent="0.25">
      <c r="A105" s="2">
        <v>45795</v>
      </c>
      <c r="B105" s="1" t="s">
        <v>9</v>
      </c>
      <c r="C105" s="1" t="s">
        <v>25</v>
      </c>
      <c r="D105" s="1" t="s">
        <v>22</v>
      </c>
      <c r="E105">
        <v>39</v>
      </c>
      <c r="F105">
        <v>8.5</v>
      </c>
    </row>
    <row r="106" spans="1:6" x14ac:dyDescent="0.25">
      <c r="A106" s="2">
        <v>45796</v>
      </c>
      <c r="B106" s="1" t="s">
        <v>11</v>
      </c>
      <c r="C106" s="1" t="s">
        <v>23</v>
      </c>
      <c r="D106" s="1" t="s">
        <v>22</v>
      </c>
      <c r="E106">
        <v>15</v>
      </c>
      <c r="F106">
        <v>1.1000000000000001</v>
      </c>
    </row>
    <row r="107" spans="1:6" x14ac:dyDescent="0.25">
      <c r="A107" s="2">
        <v>45799</v>
      </c>
      <c r="B107" s="1" t="s">
        <v>10</v>
      </c>
      <c r="C107" s="1" t="s">
        <v>25</v>
      </c>
      <c r="D107" s="1" t="s">
        <v>22</v>
      </c>
      <c r="E107">
        <v>33</v>
      </c>
      <c r="F107">
        <v>22</v>
      </c>
    </row>
    <row r="108" spans="1:6" x14ac:dyDescent="0.25">
      <c r="A108" s="2">
        <v>45799</v>
      </c>
      <c r="B108" s="1" t="s">
        <v>11</v>
      </c>
      <c r="C108" s="1" t="s">
        <v>23</v>
      </c>
      <c r="D108" s="1" t="s">
        <v>22</v>
      </c>
      <c r="E108">
        <v>12</v>
      </c>
      <c r="F108">
        <v>1.1000000000000001</v>
      </c>
    </row>
    <row r="109" spans="1:6" x14ac:dyDescent="0.25">
      <c r="A109" s="2">
        <v>45803</v>
      </c>
      <c r="B109" s="1" t="s">
        <v>6</v>
      </c>
      <c r="C109" s="1" t="s">
        <v>26</v>
      </c>
      <c r="D109" s="1" t="s">
        <v>22</v>
      </c>
      <c r="E109">
        <v>50</v>
      </c>
      <c r="F109">
        <v>9.75</v>
      </c>
    </row>
    <row r="110" spans="1:6" x14ac:dyDescent="0.25">
      <c r="A110" s="2">
        <v>45804</v>
      </c>
      <c r="B110" s="1" t="s">
        <v>9</v>
      </c>
      <c r="C110" s="1" t="s">
        <v>25</v>
      </c>
      <c r="D110" s="1" t="s">
        <v>22</v>
      </c>
      <c r="E110">
        <v>35</v>
      </c>
      <c r="F110">
        <v>8.5</v>
      </c>
    </row>
    <row r="111" spans="1:6" x14ac:dyDescent="0.25">
      <c r="A111" s="2">
        <v>45805</v>
      </c>
      <c r="B111" s="1" t="s">
        <v>13</v>
      </c>
      <c r="C111" s="1" t="s">
        <v>23</v>
      </c>
      <c r="D111" s="1" t="s">
        <v>24</v>
      </c>
      <c r="E111">
        <v>149</v>
      </c>
      <c r="F111">
        <v>1.35</v>
      </c>
    </row>
    <row r="112" spans="1:6" x14ac:dyDescent="0.25">
      <c r="A112" s="2">
        <v>45805</v>
      </c>
      <c r="B112" s="1" t="s">
        <v>7</v>
      </c>
      <c r="C112" s="1" t="s">
        <v>25</v>
      </c>
      <c r="D112" s="1" t="s">
        <v>24</v>
      </c>
      <c r="E112">
        <v>152</v>
      </c>
      <c r="F112">
        <v>115</v>
      </c>
    </row>
    <row r="113" spans="1:6" x14ac:dyDescent="0.25">
      <c r="A113" s="2">
        <v>45806</v>
      </c>
      <c r="B113" s="1" t="s">
        <v>6</v>
      </c>
      <c r="C113" s="1" t="s">
        <v>26</v>
      </c>
      <c r="D113" s="1" t="s">
        <v>24</v>
      </c>
      <c r="E113">
        <v>188</v>
      </c>
      <c r="F113">
        <v>9.75</v>
      </c>
    </row>
    <row r="114" spans="1:6" x14ac:dyDescent="0.25">
      <c r="A114" s="2">
        <v>45807</v>
      </c>
      <c r="B114" s="1" t="s">
        <v>11</v>
      </c>
      <c r="C114" s="1" t="s">
        <v>23</v>
      </c>
      <c r="D114" s="1" t="s">
        <v>22</v>
      </c>
      <c r="E114">
        <v>38</v>
      </c>
      <c r="F114">
        <v>1.1000000000000001</v>
      </c>
    </row>
    <row r="115" spans="1:6" x14ac:dyDescent="0.25">
      <c r="A115" s="2">
        <v>45809</v>
      </c>
      <c r="B115" s="1" t="s">
        <v>4</v>
      </c>
      <c r="C115" s="1" t="s">
        <v>27</v>
      </c>
      <c r="D115" s="1" t="s">
        <v>22</v>
      </c>
      <c r="E115">
        <v>69</v>
      </c>
      <c r="F115">
        <v>4.25</v>
      </c>
    </row>
    <row r="116" spans="1:6" x14ac:dyDescent="0.25">
      <c r="A116" s="2">
        <v>45811</v>
      </c>
      <c r="B116" s="1" t="s">
        <v>14</v>
      </c>
      <c r="C116" s="1" t="s">
        <v>21</v>
      </c>
      <c r="D116" s="1" t="s">
        <v>22</v>
      </c>
      <c r="E116">
        <v>53</v>
      </c>
      <c r="F116">
        <v>2.8</v>
      </c>
    </row>
    <row r="117" spans="1:6" x14ac:dyDescent="0.25">
      <c r="A117" s="2">
        <v>45811</v>
      </c>
      <c r="B117" s="1" t="s">
        <v>9</v>
      </c>
      <c r="C117" s="1" t="s">
        <v>25</v>
      </c>
      <c r="D117" s="1" t="s">
        <v>22</v>
      </c>
      <c r="E117">
        <v>41</v>
      </c>
      <c r="F117">
        <v>8.5</v>
      </c>
    </row>
    <row r="118" spans="1:6" x14ac:dyDescent="0.25">
      <c r="A118" s="2">
        <v>45812</v>
      </c>
      <c r="B118" s="1" t="s">
        <v>13</v>
      </c>
      <c r="C118" s="1" t="s">
        <v>23</v>
      </c>
      <c r="D118" s="1" t="s">
        <v>24</v>
      </c>
      <c r="E118">
        <v>57</v>
      </c>
      <c r="F118">
        <v>1.35</v>
      </c>
    </row>
    <row r="119" spans="1:6" x14ac:dyDescent="0.25">
      <c r="A119" s="2">
        <v>45812</v>
      </c>
      <c r="B119" s="1" t="s">
        <v>4</v>
      </c>
      <c r="C119" s="1" t="s">
        <v>27</v>
      </c>
      <c r="D119" s="1" t="s">
        <v>22</v>
      </c>
      <c r="E119">
        <v>66</v>
      </c>
      <c r="F119">
        <v>4.25</v>
      </c>
    </row>
    <row r="120" spans="1:6" x14ac:dyDescent="0.25">
      <c r="A120" s="2">
        <v>45813</v>
      </c>
      <c r="B120" s="1" t="s">
        <v>4</v>
      </c>
      <c r="C120" s="1" t="s">
        <v>27</v>
      </c>
      <c r="D120" s="1" t="s">
        <v>22</v>
      </c>
      <c r="E120">
        <v>46</v>
      </c>
      <c r="F120">
        <v>4.25</v>
      </c>
    </row>
    <row r="121" spans="1:6" x14ac:dyDescent="0.25">
      <c r="A121" s="2">
        <v>45813</v>
      </c>
      <c r="B121" s="1" t="s">
        <v>11</v>
      </c>
      <c r="C121" s="1" t="s">
        <v>23</v>
      </c>
      <c r="D121" s="1" t="s">
        <v>24</v>
      </c>
      <c r="E121">
        <v>51</v>
      </c>
      <c r="F121">
        <v>1.1000000000000001</v>
      </c>
    </row>
    <row r="122" spans="1:6" x14ac:dyDescent="0.25">
      <c r="A122" s="2">
        <v>45814</v>
      </c>
      <c r="B122" s="1" t="s">
        <v>6</v>
      </c>
      <c r="C122" s="1" t="s">
        <v>26</v>
      </c>
      <c r="D122" s="1" t="s">
        <v>22</v>
      </c>
      <c r="E122">
        <v>54</v>
      </c>
      <c r="F122">
        <v>9.75</v>
      </c>
    </row>
    <row r="123" spans="1:6" x14ac:dyDescent="0.25">
      <c r="A123" s="2">
        <v>45817</v>
      </c>
      <c r="B123" s="1" t="s">
        <v>15</v>
      </c>
      <c r="C123" s="1" t="s">
        <v>21</v>
      </c>
      <c r="D123" s="1" t="s">
        <v>22</v>
      </c>
      <c r="E123">
        <v>7</v>
      </c>
      <c r="F123">
        <v>4.5999999999999996</v>
      </c>
    </row>
    <row r="124" spans="1:6" x14ac:dyDescent="0.25">
      <c r="A124" s="2">
        <v>45818</v>
      </c>
      <c r="B124" s="1" t="s">
        <v>2</v>
      </c>
      <c r="C124" s="1" t="s">
        <v>27</v>
      </c>
      <c r="D124" s="1" t="s">
        <v>22</v>
      </c>
      <c r="E124">
        <v>69</v>
      </c>
      <c r="F124">
        <v>12.5</v>
      </c>
    </row>
    <row r="125" spans="1:6" x14ac:dyDescent="0.25">
      <c r="A125" s="2">
        <v>45819</v>
      </c>
      <c r="B125" s="1" t="s">
        <v>13</v>
      </c>
      <c r="C125" s="1" t="s">
        <v>23</v>
      </c>
      <c r="D125" s="1" t="s">
        <v>24</v>
      </c>
      <c r="E125">
        <v>21</v>
      </c>
      <c r="F125">
        <v>1.35</v>
      </c>
    </row>
    <row r="126" spans="1:6" x14ac:dyDescent="0.25">
      <c r="A126" s="2">
        <v>45819</v>
      </c>
      <c r="B126" s="1" t="s">
        <v>15</v>
      </c>
      <c r="C126" s="1" t="s">
        <v>21</v>
      </c>
      <c r="D126" s="1" t="s">
        <v>22</v>
      </c>
      <c r="E126">
        <v>39</v>
      </c>
      <c r="F126">
        <v>4.5999999999999996</v>
      </c>
    </row>
    <row r="127" spans="1:6" x14ac:dyDescent="0.25">
      <c r="A127" s="2">
        <v>45819</v>
      </c>
      <c r="B127" s="1" t="s">
        <v>9</v>
      </c>
      <c r="C127" s="1" t="s">
        <v>25</v>
      </c>
      <c r="D127" s="1" t="s">
        <v>24</v>
      </c>
      <c r="E127">
        <v>91</v>
      </c>
      <c r="F127">
        <v>8.5</v>
      </c>
    </row>
    <row r="128" spans="1:6" x14ac:dyDescent="0.25">
      <c r="A128" s="2">
        <v>45821</v>
      </c>
      <c r="B128" s="1" t="s">
        <v>2</v>
      </c>
      <c r="C128" s="1" t="s">
        <v>27</v>
      </c>
      <c r="D128" s="1" t="s">
        <v>22</v>
      </c>
      <c r="E128">
        <v>58</v>
      </c>
      <c r="F128">
        <v>12.5</v>
      </c>
    </row>
    <row r="129" spans="1:6" x14ac:dyDescent="0.25">
      <c r="A129" s="2">
        <v>45822</v>
      </c>
      <c r="B129" s="1" t="s">
        <v>2</v>
      </c>
      <c r="C129" s="1" t="s">
        <v>27</v>
      </c>
      <c r="D129" s="1" t="s">
        <v>24</v>
      </c>
      <c r="E129">
        <v>83</v>
      </c>
      <c r="F129">
        <v>12.5</v>
      </c>
    </row>
    <row r="130" spans="1:6" x14ac:dyDescent="0.25">
      <c r="A130" s="2">
        <v>45823</v>
      </c>
      <c r="B130" s="1" t="s">
        <v>9</v>
      </c>
      <c r="C130" s="1" t="s">
        <v>25</v>
      </c>
      <c r="D130" s="1" t="s">
        <v>22</v>
      </c>
      <c r="E130">
        <v>9</v>
      </c>
      <c r="F130">
        <v>8.5</v>
      </c>
    </row>
    <row r="131" spans="1:6" x14ac:dyDescent="0.25">
      <c r="A131" s="2">
        <v>45824</v>
      </c>
      <c r="B131" s="1" t="s">
        <v>14</v>
      </c>
      <c r="C131" s="1" t="s">
        <v>21</v>
      </c>
      <c r="D131" s="1" t="s">
        <v>24</v>
      </c>
      <c r="E131">
        <v>97</v>
      </c>
      <c r="F131">
        <v>2.8</v>
      </c>
    </row>
    <row r="132" spans="1:6" x14ac:dyDescent="0.25">
      <c r="A132" s="2">
        <v>45824</v>
      </c>
      <c r="B132" s="1" t="s">
        <v>11</v>
      </c>
      <c r="C132" s="1" t="s">
        <v>23</v>
      </c>
      <c r="D132" s="1" t="s">
        <v>24</v>
      </c>
      <c r="E132">
        <v>142</v>
      </c>
      <c r="F132">
        <v>1.1000000000000001</v>
      </c>
    </row>
    <row r="133" spans="1:6" x14ac:dyDescent="0.25">
      <c r="A133" s="2">
        <v>45827</v>
      </c>
      <c r="B133" s="1" t="s">
        <v>13</v>
      </c>
      <c r="C133" s="1" t="s">
        <v>23</v>
      </c>
      <c r="D133" s="1" t="s">
        <v>22</v>
      </c>
      <c r="E133">
        <v>64</v>
      </c>
      <c r="F133">
        <v>1.35</v>
      </c>
    </row>
    <row r="134" spans="1:6" x14ac:dyDescent="0.25">
      <c r="A134" s="2">
        <v>45828</v>
      </c>
      <c r="B134" s="1" t="s">
        <v>10</v>
      </c>
      <c r="C134" s="1" t="s">
        <v>25</v>
      </c>
      <c r="D134" s="1" t="s">
        <v>24</v>
      </c>
      <c r="E134">
        <v>50</v>
      </c>
      <c r="F134">
        <v>22</v>
      </c>
    </row>
    <row r="135" spans="1:6" x14ac:dyDescent="0.25">
      <c r="A135" s="2">
        <v>45828</v>
      </c>
      <c r="B135" s="1" t="s">
        <v>10</v>
      </c>
      <c r="C135" s="1" t="s">
        <v>25</v>
      </c>
      <c r="D135" s="1" t="s">
        <v>22</v>
      </c>
      <c r="E135">
        <v>13</v>
      </c>
      <c r="F135">
        <v>22</v>
      </c>
    </row>
    <row r="136" spans="1:6" x14ac:dyDescent="0.25">
      <c r="A136" s="2">
        <v>45828</v>
      </c>
      <c r="B136" s="1" t="s">
        <v>15</v>
      </c>
      <c r="C136" s="1" t="s">
        <v>21</v>
      </c>
      <c r="D136" s="1" t="s">
        <v>24</v>
      </c>
      <c r="E136">
        <v>40</v>
      </c>
      <c r="F136">
        <v>4.5999999999999996</v>
      </c>
    </row>
    <row r="137" spans="1:6" x14ac:dyDescent="0.25">
      <c r="A137" s="2">
        <v>45829</v>
      </c>
      <c r="B137" s="1" t="s">
        <v>6</v>
      </c>
      <c r="C137" s="1" t="s">
        <v>26</v>
      </c>
      <c r="D137" s="1" t="s">
        <v>22</v>
      </c>
      <c r="E137">
        <v>64</v>
      </c>
      <c r="F137">
        <v>9.75</v>
      </c>
    </row>
    <row r="138" spans="1:6" x14ac:dyDescent="0.25">
      <c r="A138" s="2">
        <v>45830</v>
      </c>
      <c r="B138" s="1" t="s">
        <v>14</v>
      </c>
      <c r="C138" s="1" t="s">
        <v>21</v>
      </c>
      <c r="D138" s="1" t="s">
        <v>22</v>
      </c>
      <c r="E138">
        <v>14</v>
      </c>
      <c r="F138">
        <v>2.8</v>
      </c>
    </row>
    <row r="139" spans="1:6" x14ac:dyDescent="0.25">
      <c r="A139" s="2">
        <v>45830</v>
      </c>
      <c r="B139" s="1" t="s">
        <v>13</v>
      </c>
      <c r="C139" s="1" t="s">
        <v>23</v>
      </c>
      <c r="D139" s="1" t="s">
        <v>24</v>
      </c>
      <c r="E139">
        <v>70</v>
      </c>
      <c r="F139">
        <v>1.35</v>
      </c>
    </row>
    <row r="140" spans="1:6" x14ac:dyDescent="0.25">
      <c r="A140" s="2">
        <v>45832</v>
      </c>
      <c r="B140" s="1" t="s">
        <v>6</v>
      </c>
      <c r="C140" s="1" t="s">
        <v>26</v>
      </c>
      <c r="D140" s="1" t="s">
        <v>24</v>
      </c>
      <c r="E140">
        <v>182</v>
      </c>
      <c r="F140">
        <v>9.75</v>
      </c>
    </row>
    <row r="141" spans="1:6" x14ac:dyDescent="0.25">
      <c r="A141" s="2">
        <v>45834</v>
      </c>
      <c r="B141" s="1" t="s">
        <v>7</v>
      </c>
      <c r="C141" s="1" t="s">
        <v>25</v>
      </c>
      <c r="D141" s="1" t="s">
        <v>24</v>
      </c>
      <c r="E141">
        <v>24</v>
      </c>
      <c r="F141">
        <v>115</v>
      </c>
    </row>
    <row r="142" spans="1:6" x14ac:dyDescent="0.25">
      <c r="A142" s="2">
        <v>45834</v>
      </c>
      <c r="B142" s="1" t="s">
        <v>13</v>
      </c>
      <c r="C142" s="1" t="s">
        <v>23</v>
      </c>
      <c r="D142" s="1" t="s">
        <v>22</v>
      </c>
      <c r="E142">
        <v>5</v>
      </c>
      <c r="F142">
        <v>1.35</v>
      </c>
    </row>
    <row r="143" spans="1:6" x14ac:dyDescent="0.25">
      <c r="A143" s="2">
        <v>45835</v>
      </c>
      <c r="B143" s="1" t="s">
        <v>7</v>
      </c>
      <c r="C143" s="1" t="s">
        <v>25</v>
      </c>
      <c r="D143" s="1" t="s">
        <v>24</v>
      </c>
      <c r="E143">
        <v>54</v>
      </c>
      <c r="F143">
        <v>115</v>
      </c>
    </row>
    <row r="144" spans="1:6" x14ac:dyDescent="0.25">
      <c r="A144" s="2">
        <v>45836</v>
      </c>
      <c r="B144" s="1" t="s">
        <v>13</v>
      </c>
      <c r="C144" s="1" t="s">
        <v>23</v>
      </c>
      <c r="D144" s="1" t="s">
        <v>22</v>
      </c>
      <c r="E144">
        <v>43</v>
      </c>
      <c r="F144">
        <v>1.35</v>
      </c>
    </row>
    <row r="145" spans="1:6" x14ac:dyDescent="0.25">
      <c r="A145" s="2">
        <v>45836</v>
      </c>
      <c r="B145" s="1" t="s">
        <v>6</v>
      </c>
      <c r="C145" s="1" t="s">
        <v>26</v>
      </c>
      <c r="D145" s="1" t="s">
        <v>22</v>
      </c>
      <c r="E145">
        <v>50</v>
      </c>
      <c r="F145">
        <v>9.75</v>
      </c>
    </row>
    <row r="146" spans="1:6" x14ac:dyDescent="0.25">
      <c r="A146" s="2">
        <v>45837</v>
      </c>
      <c r="B146" s="1" t="s">
        <v>10</v>
      </c>
      <c r="C146" s="1" t="s">
        <v>25</v>
      </c>
      <c r="D146" s="1" t="s">
        <v>24</v>
      </c>
      <c r="E146">
        <v>69</v>
      </c>
      <c r="F146">
        <v>22</v>
      </c>
    </row>
    <row r="147" spans="1:6" x14ac:dyDescent="0.25">
      <c r="A147" s="2">
        <v>45838</v>
      </c>
      <c r="B147" s="1" t="s">
        <v>10</v>
      </c>
      <c r="C147" s="1" t="s">
        <v>25</v>
      </c>
      <c r="D147" s="1" t="s">
        <v>22</v>
      </c>
      <c r="E147">
        <v>35</v>
      </c>
      <c r="F147">
        <v>22</v>
      </c>
    </row>
    <row r="148" spans="1:6" x14ac:dyDescent="0.25">
      <c r="A148" s="2">
        <v>45841</v>
      </c>
      <c r="B148" s="1" t="s">
        <v>11</v>
      </c>
      <c r="C148" s="1" t="s">
        <v>23</v>
      </c>
      <c r="D148" s="1" t="s">
        <v>22</v>
      </c>
      <c r="E148">
        <v>41</v>
      </c>
      <c r="F148">
        <v>1.1000000000000001</v>
      </c>
    </row>
    <row r="149" spans="1:6" x14ac:dyDescent="0.25">
      <c r="A149" s="2">
        <v>45841</v>
      </c>
      <c r="B149" s="1" t="s">
        <v>9</v>
      </c>
      <c r="C149" s="1" t="s">
        <v>25</v>
      </c>
      <c r="D149" s="1" t="s">
        <v>22</v>
      </c>
      <c r="E149">
        <v>78</v>
      </c>
      <c r="F149">
        <v>8.5</v>
      </c>
    </row>
    <row r="150" spans="1:6" x14ac:dyDescent="0.25">
      <c r="A150" s="2">
        <v>45842</v>
      </c>
      <c r="B150" s="1" t="s">
        <v>6</v>
      </c>
      <c r="C150" s="1" t="s">
        <v>26</v>
      </c>
      <c r="D150" s="1" t="s">
        <v>22</v>
      </c>
      <c r="E150">
        <v>57</v>
      </c>
      <c r="F150">
        <v>9.75</v>
      </c>
    </row>
    <row r="151" spans="1:6" x14ac:dyDescent="0.25">
      <c r="A151" s="2">
        <v>45844</v>
      </c>
      <c r="B151" s="1" t="s">
        <v>2</v>
      </c>
      <c r="C151" s="1" t="s">
        <v>27</v>
      </c>
      <c r="D151" s="1" t="s">
        <v>22</v>
      </c>
      <c r="E151">
        <v>34</v>
      </c>
      <c r="F151">
        <v>12.5</v>
      </c>
    </row>
    <row r="152" spans="1:6" x14ac:dyDescent="0.25">
      <c r="A152" s="2">
        <v>45845</v>
      </c>
      <c r="B152" s="1" t="s">
        <v>6</v>
      </c>
      <c r="C152" s="1" t="s">
        <v>26</v>
      </c>
      <c r="D152" s="1" t="s">
        <v>22</v>
      </c>
      <c r="E152">
        <v>40</v>
      </c>
      <c r="F152">
        <v>9.75</v>
      </c>
    </row>
    <row r="153" spans="1:6" x14ac:dyDescent="0.25">
      <c r="A153" s="2">
        <v>45846</v>
      </c>
      <c r="B153" s="1" t="s">
        <v>6</v>
      </c>
      <c r="C153" s="1" t="s">
        <v>26</v>
      </c>
      <c r="D153" s="1" t="s">
        <v>22</v>
      </c>
      <c r="E153">
        <v>71</v>
      </c>
      <c r="F153">
        <v>9.75</v>
      </c>
    </row>
    <row r="154" spans="1:6" x14ac:dyDescent="0.25">
      <c r="A154" s="2">
        <v>45848</v>
      </c>
      <c r="B154" s="1" t="s">
        <v>9</v>
      </c>
      <c r="C154" s="1" t="s">
        <v>25</v>
      </c>
      <c r="D154" s="1" t="s">
        <v>22</v>
      </c>
      <c r="E154">
        <v>52</v>
      </c>
      <c r="F154">
        <v>8.5</v>
      </c>
    </row>
    <row r="155" spans="1:6" x14ac:dyDescent="0.25">
      <c r="A155" s="2">
        <v>45848</v>
      </c>
      <c r="B155" s="1" t="s">
        <v>7</v>
      </c>
      <c r="C155" s="1" t="s">
        <v>25</v>
      </c>
      <c r="D155" s="1" t="s">
        <v>22</v>
      </c>
      <c r="E155">
        <v>18</v>
      </c>
      <c r="F155">
        <v>115</v>
      </c>
    </row>
    <row r="156" spans="1:6" x14ac:dyDescent="0.25">
      <c r="A156" s="2">
        <v>45850</v>
      </c>
      <c r="B156" s="1" t="s">
        <v>14</v>
      </c>
      <c r="C156" s="1" t="s">
        <v>21</v>
      </c>
      <c r="D156" s="1" t="s">
        <v>22</v>
      </c>
      <c r="E156">
        <v>27</v>
      </c>
      <c r="F156">
        <v>2.8</v>
      </c>
    </row>
    <row r="157" spans="1:6" x14ac:dyDescent="0.25">
      <c r="A157" s="2">
        <v>45850</v>
      </c>
      <c r="B157" s="1" t="s">
        <v>4</v>
      </c>
      <c r="C157" s="1" t="s">
        <v>27</v>
      </c>
      <c r="D157" s="1" t="s">
        <v>24</v>
      </c>
      <c r="E157">
        <v>75</v>
      </c>
      <c r="F157">
        <v>4.25</v>
      </c>
    </row>
    <row r="158" spans="1:6" x14ac:dyDescent="0.25">
      <c r="A158" s="2">
        <v>45851</v>
      </c>
      <c r="B158" s="1" t="s">
        <v>4</v>
      </c>
      <c r="C158" s="1" t="s">
        <v>27</v>
      </c>
      <c r="D158" s="1" t="s">
        <v>22</v>
      </c>
      <c r="E158">
        <v>8</v>
      </c>
      <c r="F158">
        <v>4.25</v>
      </c>
    </row>
    <row r="159" spans="1:6" x14ac:dyDescent="0.25">
      <c r="A159" s="2">
        <v>45853</v>
      </c>
      <c r="B159" s="1" t="s">
        <v>15</v>
      </c>
      <c r="C159" s="1" t="s">
        <v>21</v>
      </c>
      <c r="D159" s="1" t="s">
        <v>22</v>
      </c>
      <c r="E159">
        <v>38</v>
      </c>
      <c r="F159">
        <v>4.5999999999999996</v>
      </c>
    </row>
    <row r="160" spans="1:6" x14ac:dyDescent="0.25">
      <c r="A160" s="2">
        <v>45854</v>
      </c>
      <c r="B160" s="1" t="s">
        <v>6</v>
      </c>
      <c r="C160" s="1" t="s">
        <v>26</v>
      </c>
      <c r="D160" s="1" t="s">
        <v>24</v>
      </c>
      <c r="E160">
        <v>134</v>
      </c>
      <c r="F160">
        <v>9.75</v>
      </c>
    </row>
    <row r="161" spans="1:6" x14ac:dyDescent="0.25">
      <c r="A161" s="2">
        <v>45855</v>
      </c>
      <c r="B161" s="1" t="s">
        <v>7</v>
      </c>
      <c r="C161" s="1" t="s">
        <v>25</v>
      </c>
      <c r="D161" s="1" t="s">
        <v>24</v>
      </c>
      <c r="E161">
        <v>74</v>
      </c>
      <c r="F161">
        <v>115</v>
      </c>
    </row>
    <row r="162" spans="1:6" x14ac:dyDescent="0.25">
      <c r="A162" s="2">
        <v>45860</v>
      </c>
      <c r="B162" s="1" t="s">
        <v>7</v>
      </c>
      <c r="C162" s="1" t="s">
        <v>25</v>
      </c>
      <c r="D162" s="1" t="s">
        <v>24</v>
      </c>
      <c r="E162">
        <v>166</v>
      </c>
      <c r="F162">
        <v>115</v>
      </c>
    </row>
    <row r="163" spans="1:6" x14ac:dyDescent="0.25">
      <c r="A163" s="2">
        <v>45860</v>
      </c>
      <c r="B163" s="1" t="s">
        <v>4</v>
      </c>
      <c r="C163" s="1" t="s">
        <v>27</v>
      </c>
      <c r="D163" s="1" t="s">
        <v>22</v>
      </c>
      <c r="E163">
        <v>70</v>
      </c>
      <c r="F163">
        <v>4.25</v>
      </c>
    </row>
    <row r="164" spans="1:6" x14ac:dyDescent="0.25">
      <c r="A164" s="2">
        <v>45861</v>
      </c>
      <c r="B164" s="1" t="s">
        <v>14</v>
      </c>
      <c r="C164" s="1" t="s">
        <v>21</v>
      </c>
      <c r="D164" s="1" t="s">
        <v>22</v>
      </c>
      <c r="E164">
        <v>73</v>
      </c>
      <c r="F164">
        <v>2.8</v>
      </c>
    </row>
    <row r="165" spans="1:6" x14ac:dyDescent="0.25">
      <c r="A165" s="2">
        <v>45864</v>
      </c>
      <c r="B165" s="1" t="s">
        <v>2</v>
      </c>
      <c r="C165" s="1" t="s">
        <v>27</v>
      </c>
      <c r="D165" s="1" t="s">
        <v>24</v>
      </c>
      <c r="E165">
        <v>115</v>
      </c>
      <c r="F165">
        <v>12.5</v>
      </c>
    </row>
    <row r="166" spans="1:6" x14ac:dyDescent="0.25">
      <c r="A166" s="2">
        <v>45865</v>
      </c>
      <c r="B166" s="1" t="s">
        <v>14</v>
      </c>
      <c r="C166" s="1" t="s">
        <v>21</v>
      </c>
      <c r="D166" s="1" t="s">
        <v>24</v>
      </c>
      <c r="E166">
        <v>173</v>
      </c>
      <c r="F166">
        <v>2.8</v>
      </c>
    </row>
    <row r="167" spans="1:6" x14ac:dyDescent="0.25">
      <c r="A167" s="2">
        <v>45865</v>
      </c>
      <c r="B167" s="1" t="s">
        <v>2</v>
      </c>
      <c r="C167" s="1" t="s">
        <v>27</v>
      </c>
      <c r="D167" s="1" t="s">
        <v>24</v>
      </c>
      <c r="E167">
        <v>48</v>
      </c>
      <c r="F167">
        <v>12.5</v>
      </c>
    </row>
    <row r="168" spans="1:6" x14ac:dyDescent="0.25">
      <c r="A168" s="2">
        <v>45868</v>
      </c>
      <c r="B168" s="1" t="s">
        <v>6</v>
      </c>
      <c r="C168" s="1" t="s">
        <v>26</v>
      </c>
      <c r="D168" s="1" t="s">
        <v>24</v>
      </c>
      <c r="E168">
        <v>10</v>
      </c>
      <c r="F168">
        <v>9.75</v>
      </c>
    </row>
    <row r="169" spans="1:6" x14ac:dyDescent="0.25">
      <c r="A169" s="2">
        <v>45871</v>
      </c>
      <c r="B169" s="1" t="s">
        <v>2</v>
      </c>
      <c r="C169" s="1" t="s">
        <v>27</v>
      </c>
      <c r="D169" s="1" t="s">
        <v>22</v>
      </c>
      <c r="E169">
        <v>49</v>
      </c>
      <c r="F169">
        <v>12.5</v>
      </c>
    </row>
    <row r="170" spans="1:6" x14ac:dyDescent="0.25">
      <c r="A170" s="2">
        <v>45871</v>
      </c>
      <c r="B170" s="1" t="s">
        <v>4</v>
      </c>
      <c r="C170" s="1" t="s">
        <v>27</v>
      </c>
      <c r="D170" s="1" t="s">
        <v>22</v>
      </c>
      <c r="E170">
        <v>75</v>
      </c>
      <c r="F170">
        <v>4.25</v>
      </c>
    </row>
    <row r="171" spans="1:6" x14ac:dyDescent="0.25">
      <c r="A171" s="2">
        <v>45872</v>
      </c>
      <c r="B171" s="1" t="s">
        <v>6</v>
      </c>
      <c r="C171" s="1" t="s">
        <v>26</v>
      </c>
      <c r="D171" s="1" t="s">
        <v>22</v>
      </c>
      <c r="E171">
        <v>22</v>
      </c>
      <c r="F171">
        <v>9.75</v>
      </c>
    </row>
    <row r="172" spans="1:6" x14ac:dyDescent="0.25">
      <c r="A172" s="2">
        <v>45873</v>
      </c>
      <c r="B172" s="1" t="s">
        <v>6</v>
      </c>
      <c r="C172" s="1" t="s">
        <v>26</v>
      </c>
      <c r="D172" s="1" t="s">
        <v>24</v>
      </c>
      <c r="E172">
        <v>178</v>
      </c>
      <c r="F172">
        <v>9.75</v>
      </c>
    </row>
    <row r="173" spans="1:6" x14ac:dyDescent="0.25">
      <c r="A173" s="2">
        <v>45875</v>
      </c>
      <c r="B173" s="1" t="s">
        <v>2</v>
      </c>
      <c r="C173" s="1" t="s">
        <v>27</v>
      </c>
      <c r="D173" s="1" t="s">
        <v>24</v>
      </c>
      <c r="E173">
        <v>137</v>
      </c>
      <c r="F173">
        <v>12.5</v>
      </c>
    </row>
    <row r="174" spans="1:6" x14ac:dyDescent="0.25">
      <c r="A174" s="2">
        <v>45877</v>
      </c>
      <c r="B174" s="1" t="s">
        <v>2</v>
      </c>
      <c r="C174" s="1" t="s">
        <v>27</v>
      </c>
      <c r="D174" s="1" t="s">
        <v>24</v>
      </c>
      <c r="E174">
        <v>143</v>
      </c>
      <c r="F174">
        <v>12.5</v>
      </c>
    </row>
    <row r="175" spans="1:6" x14ac:dyDescent="0.25">
      <c r="A175" s="2">
        <v>45877</v>
      </c>
      <c r="B175" s="1" t="s">
        <v>13</v>
      </c>
      <c r="C175" s="1" t="s">
        <v>23</v>
      </c>
      <c r="D175" s="1" t="s">
        <v>24</v>
      </c>
      <c r="E175">
        <v>132</v>
      </c>
      <c r="F175">
        <v>1.35</v>
      </c>
    </row>
    <row r="176" spans="1:6" x14ac:dyDescent="0.25">
      <c r="A176" s="2">
        <v>45877</v>
      </c>
      <c r="B176" s="1" t="s">
        <v>10</v>
      </c>
      <c r="C176" s="1" t="s">
        <v>25</v>
      </c>
      <c r="D176" s="1" t="s">
        <v>22</v>
      </c>
      <c r="E176">
        <v>25</v>
      </c>
      <c r="F176">
        <v>22</v>
      </c>
    </row>
    <row r="177" spans="1:6" x14ac:dyDescent="0.25">
      <c r="A177" s="2">
        <v>45877</v>
      </c>
      <c r="B177" s="1" t="s">
        <v>7</v>
      </c>
      <c r="C177" s="1" t="s">
        <v>25</v>
      </c>
      <c r="D177" s="1" t="s">
        <v>24</v>
      </c>
      <c r="E177">
        <v>142</v>
      </c>
      <c r="F177">
        <v>115</v>
      </c>
    </row>
    <row r="178" spans="1:6" x14ac:dyDescent="0.25">
      <c r="A178" s="2">
        <v>45879</v>
      </c>
      <c r="B178" s="1" t="s">
        <v>11</v>
      </c>
      <c r="C178" s="1" t="s">
        <v>23</v>
      </c>
      <c r="D178" s="1" t="s">
        <v>24</v>
      </c>
      <c r="E178">
        <v>155</v>
      </c>
      <c r="F178">
        <v>1.1000000000000001</v>
      </c>
    </row>
    <row r="179" spans="1:6" x14ac:dyDescent="0.25">
      <c r="A179" s="2">
        <v>45880</v>
      </c>
      <c r="B179" s="1" t="s">
        <v>11</v>
      </c>
      <c r="C179" s="1" t="s">
        <v>23</v>
      </c>
      <c r="D179" s="1" t="s">
        <v>24</v>
      </c>
      <c r="E179">
        <v>37</v>
      </c>
      <c r="F179">
        <v>1.1000000000000001</v>
      </c>
    </row>
    <row r="180" spans="1:6" x14ac:dyDescent="0.25">
      <c r="A180" s="2">
        <v>45885</v>
      </c>
      <c r="B180" s="1" t="s">
        <v>11</v>
      </c>
      <c r="C180" s="1" t="s">
        <v>23</v>
      </c>
      <c r="D180" s="1" t="s">
        <v>22</v>
      </c>
      <c r="E180">
        <v>10</v>
      </c>
      <c r="F180">
        <v>1.1000000000000001</v>
      </c>
    </row>
    <row r="181" spans="1:6" x14ac:dyDescent="0.25">
      <c r="A181" s="2">
        <v>45885</v>
      </c>
      <c r="B181" s="1" t="s">
        <v>15</v>
      </c>
      <c r="C181" s="1" t="s">
        <v>21</v>
      </c>
      <c r="D181" s="1" t="s">
        <v>22</v>
      </c>
      <c r="E181">
        <v>35</v>
      </c>
      <c r="F181">
        <v>4.5999999999999996</v>
      </c>
    </row>
    <row r="182" spans="1:6" x14ac:dyDescent="0.25">
      <c r="A182" s="2">
        <v>45887</v>
      </c>
      <c r="B182" s="1" t="s">
        <v>15</v>
      </c>
      <c r="C182" s="1" t="s">
        <v>21</v>
      </c>
      <c r="D182" s="1" t="s">
        <v>24</v>
      </c>
      <c r="E182">
        <v>112</v>
      </c>
      <c r="F182">
        <v>4.5999999999999996</v>
      </c>
    </row>
    <row r="183" spans="1:6" x14ac:dyDescent="0.25">
      <c r="A183" s="2">
        <v>45887</v>
      </c>
      <c r="B183" s="1" t="s">
        <v>11</v>
      </c>
      <c r="C183" s="1" t="s">
        <v>23</v>
      </c>
      <c r="D183" s="1" t="s">
        <v>24</v>
      </c>
      <c r="E183">
        <v>55</v>
      </c>
      <c r="F183">
        <v>1.1000000000000001</v>
      </c>
    </row>
    <row r="184" spans="1:6" x14ac:dyDescent="0.25">
      <c r="A184" s="2">
        <v>45888</v>
      </c>
      <c r="B184" s="1" t="s">
        <v>6</v>
      </c>
      <c r="C184" s="1" t="s">
        <v>26</v>
      </c>
      <c r="D184" s="1" t="s">
        <v>22</v>
      </c>
      <c r="E184">
        <v>56</v>
      </c>
      <c r="F184">
        <v>9.75</v>
      </c>
    </row>
    <row r="185" spans="1:6" x14ac:dyDescent="0.25">
      <c r="A185" s="2">
        <v>45889</v>
      </c>
      <c r="B185" s="1" t="s">
        <v>6</v>
      </c>
      <c r="C185" s="1" t="s">
        <v>26</v>
      </c>
      <c r="D185" s="1" t="s">
        <v>24</v>
      </c>
      <c r="E185">
        <v>198</v>
      </c>
      <c r="F185">
        <v>9.75</v>
      </c>
    </row>
    <row r="186" spans="1:6" x14ac:dyDescent="0.25">
      <c r="A186" s="2">
        <v>45890</v>
      </c>
      <c r="B186" s="1" t="s">
        <v>9</v>
      </c>
      <c r="C186" s="1" t="s">
        <v>25</v>
      </c>
      <c r="D186" s="1" t="s">
        <v>24</v>
      </c>
      <c r="E186">
        <v>166</v>
      </c>
      <c r="F186">
        <v>8.5</v>
      </c>
    </row>
    <row r="187" spans="1:6" x14ac:dyDescent="0.25">
      <c r="A187" s="2">
        <v>45891</v>
      </c>
      <c r="B187" s="1" t="s">
        <v>11</v>
      </c>
      <c r="C187" s="1" t="s">
        <v>23</v>
      </c>
      <c r="D187" s="1" t="s">
        <v>22</v>
      </c>
      <c r="E187">
        <v>7</v>
      </c>
      <c r="F187">
        <v>1.1000000000000001</v>
      </c>
    </row>
    <row r="188" spans="1:6" x14ac:dyDescent="0.25">
      <c r="A188" s="2">
        <v>45892</v>
      </c>
      <c r="B188" s="1" t="s">
        <v>11</v>
      </c>
      <c r="C188" s="1" t="s">
        <v>23</v>
      </c>
      <c r="D188" s="1" t="s">
        <v>24</v>
      </c>
      <c r="E188">
        <v>179</v>
      </c>
      <c r="F188">
        <v>1.1000000000000001</v>
      </c>
    </row>
    <row r="189" spans="1:6" x14ac:dyDescent="0.25">
      <c r="A189" s="2">
        <v>45892</v>
      </c>
      <c r="B189" s="1" t="s">
        <v>14</v>
      </c>
      <c r="C189" s="1" t="s">
        <v>21</v>
      </c>
      <c r="D189" s="1" t="s">
        <v>22</v>
      </c>
      <c r="E189">
        <v>10</v>
      </c>
      <c r="F189">
        <v>2.8</v>
      </c>
    </row>
    <row r="190" spans="1:6" x14ac:dyDescent="0.25">
      <c r="A190" s="2">
        <v>45893</v>
      </c>
      <c r="B190" s="1" t="s">
        <v>10</v>
      </c>
      <c r="C190" s="1" t="s">
        <v>25</v>
      </c>
      <c r="D190" s="1" t="s">
        <v>24</v>
      </c>
      <c r="E190">
        <v>123</v>
      </c>
      <c r="F190">
        <v>22</v>
      </c>
    </row>
    <row r="191" spans="1:6" x14ac:dyDescent="0.25">
      <c r="A191" s="2">
        <v>45894</v>
      </c>
      <c r="B191" s="1" t="s">
        <v>11</v>
      </c>
      <c r="C191" s="1" t="s">
        <v>23</v>
      </c>
      <c r="D191" s="1" t="s">
        <v>24</v>
      </c>
      <c r="E191">
        <v>34</v>
      </c>
      <c r="F191">
        <v>1.1000000000000001</v>
      </c>
    </row>
    <row r="192" spans="1:6" x14ac:dyDescent="0.25">
      <c r="A192" s="2">
        <v>45895</v>
      </c>
      <c r="B192" s="1" t="s">
        <v>2</v>
      </c>
      <c r="C192" s="1" t="s">
        <v>27</v>
      </c>
      <c r="D192" s="1" t="s">
        <v>24</v>
      </c>
      <c r="E192">
        <v>19</v>
      </c>
      <c r="F192">
        <v>12.5</v>
      </c>
    </row>
    <row r="193" spans="1:6" x14ac:dyDescent="0.25">
      <c r="A193" s="2">
        <v>45896</v>
      </c>
      <c r="B193" s="1" t="s">
        <v>10</v>
      </c>
      <c r="C193" s="1" t="s">
        <v>25</v>
      </c>
      <c r="D193" s="1" t="s">
        <v>24</v>
      </c>
      <c r="E193">
        <v>121</v>
      </c>
      <c r="F193">
        <v>22</v>
      </c>
    </row>
    <row r="194" spans="1:6" x14ac:dyDescent="0.25">
      <c r="A194" s="2">
        <v>45897</v>
      </c>
      <c r="B194" s="1" t="s">
        <v>7</v>
      </c>
      <c r="C194" s="1" t="s">
        <v>25</v>
      </c>
      <c r="D194" s="1" t="s">
        <v>22</v>
      </c>
      <c r="E194">
        <v>72</v>
      </c>
      <c r="F194">
        <v>115</v>
      </c>
    </row>
    <row r="195" spans="1:6" x14ac:dyDescent="0.25">
      <c r="A195" s="2">
        <v>45898</v>
      </c>
      <c r="B195" s="1" t="s">
        <v>2</v>
      </c>
      <c r="C195" s="1" t="s">
        <v>27</v>
      </c>
      <c r="D195" s="1" t="s">
        <v>22</v>
      </c>
      <c r="E195">
        <v>48</v>
      </c>
      <c r="F195">
        <v>12.5</v>
      </c>
    </row>
    <row r="196" spans="1:6" x14ac:dyDescent="0.25">
      <c r="A196" s="2">
        <v>45899</v>
      </c>
      <c r="B196" s="1" t="s">
        <v>15</v>
      </c>
      <c r="C196" s="1" t="s">
        <v>21</v>
      </c>
      <c r="D196" s="1" t="s">
        <v>22</v>
      </c>
      <c r="E196">
        <v>47</v>
      </c>
      <c r="F196">
        <v>4.5999999999999996</v>
      </c>
    </row>
    <row r="197" spans="1:6" x14ac:dyDescent="0.25">
      <c r="A197" s="2">
        <v>45901</v>
      </c>
      <c r="B197" s="1" t="s">
        <v>4</v>
      </c>
      <c r="C197" s="1" t="s">
        <v>27</v>
      </c>
      <c r="D197" s="1" t="s">
        <v>24</v>
      </c>
      <c r="E197">
        <v>41</v>
      </c>
      <c r="F197">
        <v>4.25</v>
      </c>
    </row>
    <row r="198" spans="1:6" x14ac:dyDescent="0.25">
      <c r="A198" s="2">
        <v>45901</v>
      </c>
      <c r="B198" s="1" t="s">
        <v>14</v>
      </c>
      <c r="C198" s="1" t="s">
        <v>21</v>
      </c>
      <c r="D198" s="1" t="s">
        <v>24</v>
      </c>
      <c r="E198">
        <v>89</v>
      </c>
      <c r="F198">
        <v>2.8</v>
      </c>
    </row>
    <row r="199" spans="1:6" x14ac:dyDescent="0.25">
      <c r="A199" s="2">
        <v>45905</v>
      </c>
      <c r="B199" s="1" t="s">
        <v>6</v>
      </c>
      <c r="C199" s="1" t="s">
        <v>26</v>
      </c>
      <c r="D199" s="1" t="s">
        <v>24</v>
      </c>
      <c r="E199">
        <v>147</v>
      </c>
      <c r="F199">
        <v>9.75</v>
      </c>
    </row>
    <row r="200" spans="1:6" x14ac:dyDescent="0.25">
      <c r="A200" s="2">
        <v>45906</v>
      </c>
      <c r="B200" s="1" t="s">
        <v>14</v>
      </c>
      <c r="C200" s="1" t="s">
        <v>21</v>
      </c>
      <c r="D200" s="1" t="s">
        <v>22</v>
      </c>
      <c r="E200">
        <v>56</v>
      </c>
      <c r="F200">
        <v>2.8</v>
      </c>
    </row>
    <row r="201" spans="1:6" x14ac:dyDescent="0.25">
      <c r="A201" s="2">
        <v>45909</v>
      </c>
      <c r="B201" s="1" t="s">
        <v>6</v>
      </c>
      <c r="C201" s="1" t="s">
        <v>26</v>
      </c>
      <c r="D201" s="1" t="s">
        <v>24</v>
      </c>
      <c r="E201">
        <v>71</v>
      </c>
      <c r="F201">
        <v>9.75</v>
      </c>
    </row>
    <row r="202" spans="1:6" x14ac:dyDescent="0.25">
      <c r="A202" s="2">
        <v>45911</v>
      </c>
      <c r="B202" s="1" t="s">
        <v>2</v>
      </c>
      <c r="C202" s="1" t="s">
        <v>27</v>
      </c>
      <c r="D202" s="1" t="s">
        <v>22</v>
      </c>
      <c r="E202">
        <v>21</v>
      </c>
      <c r="F202">
        <v>12.5</v>
      </c>
    </row>
    <row r="203" spans="1:6" x14ac:dyDescent="0.25">
      <c r="A203" s="2">
        <v>45912</v>
      </c>
      <c r="B203" s="1" t="s">
        <v>2</v>
      </c>
      <c r="C203" s="1" t="s">
        <v>27</v>
      </c>
      <c r="D203" s="1" t="s">
        <v>22</v>
      </c>
      <c r="E203">
        <v>22</v>
      </c>
      <c r="F203">
        <v>12.5</v>
      </c>
    </row>
    <row r="204" spans="1:6" x14ac:dyDescent="0.25">
      <c r="A204" s="2">
        <v>45914</v>
      </c>
      <c r="B204" s="1" t="s">
        <v>4</v>
      </c>
      <c r="C204" s="1" t="s">
        <v>27</v>
      </c>
      <c r="D204" s="1" t="s">
        <v>22</v>
      </c>
      <c r="E204">
        <v>33</v>
      </c>
      <c r="F204">
        <v>4.25</v>
      </c>
    </row>
    <row r="205" spans="1:6" x14ac:dyDescent="0.25">
      <c r="A205" s="2">
        <v>45914</v>
      </c>
      <c r="B205" s="1" t="s">
        <v>2</v>
      </c>
      <c r="C205" s="1" t="s">
        <v>27</v>
      </c>
      <c r="D205" s="1" t="s">
        <v>22</v>
      </c>
      <c r="E205">
        <v>24</v>
      </c>
      <c r="F205">
        <v>12.5</v>
      </c>
    </row>
    <row r="206" spans="1:6" x14ac:dyDescent="0.25">
      <c r="A206" s="2">
        <v>45917</v>
      </c>
      <c r="B206" s="1" t="s">
        <v>7</v>
      </c>
      <c r="C206" s="1" t="s">
        <v>25</v>
      </c>
      <c r="D206" s="1" t="s">
        <v>24</v>
      </c>
      <c r="E206">
        <v>92</v>
      </c>
      <c r="F206">
        <v>115</v>
      </c>
    </row>
    <row r="207" spans="1:6" x14ac:dyDescent="0.25">
      <c r="A207" s="2">
        <v>45918</v>
      </c>
      <c r="B207" s="1" t="s">
        <v>4</v>
      </c>
      <c r="C207" s="1" t="s">
        <v>27</v>
      </c>
      <c r="D207" s="1" t="s">
        <v>22</v>
      </c>
      <c r="E207">
        <v>15</v>
      </c>
      <c r="F207">
        <v>4.25</v>
      </c>
    </row>
    <row r="208" spans="1:6" x14ac:dyDescent="0.25">
      <c r="A208" s="2">
        <v>45919</v>
      </c>
      <c r="B208" s="1" t="s">
        <v>11</v>
      </c>
      <c r="C208" s="1" t="s">
        <v>23</v>
      </c>
      <c r="D208" s="1" t="s">
        <v>22</v>
      </c>
      <c r="E208">
        <v>41</v>
      </c>
      <c r="F208">
        <v>1.1000000000000001</v>
      </c>
    </row>
    <row r="209" spans="1:6" x14ac:dyDescent="0.25">
      <c r="A209" s="2">
        <v>45922</v>
      </c>
      <c r="B209" s="1" t="s">
        <v>10</v>
      </c>
      <c r="C209" s="1" t="s">
        <v>25</v>
      </c>
      <c r="D209" s="1" t="s">
        <v>24</v>
      </c>
      <c r="E209">
        <v>136</v>
      </c>
      <c r="F209">
        <v>22</v>
      </c>
    </row>
    <row r="210" spans="1:6" x14ac:dyDescent="0.25">
      <c r="A210" s="2">
        <v>45924</v>
      </c>
      <c r="B210" s="1" t="s">
        <v>10</v>
      </c>
      <c r="C210" s="1" t="s">
        <v>25</v>
      </c>
      <c r="D210" s="1" t="s">
        <v>22</v>
      </c>
      <c r="E210">
        <v>51</v>
      </c>
      <c r="F210">
        <v>22</v>
      </c>
    </row>
    <row r="211" spans="1:6" x14ac:dyDescent="0.25">
      <c r="A211" s="2">
        <v>45925</v>
      </c>
      <c r="B211" s="1" t="s">
        <v>13</v>
      </c>
      <c r="C211" s="1" t="s">
        <v>23</v>
      </c>
      <c r="D211" s="1" t="s">
        <v>24</v>
      </c>
      <c r="E211">
        <v>165</v>
      </c>
      <c r="F211">
        <v>1.35</v>
      </c>
    </row>
    <row r="212" spans="1:6" x14ac:dyDescent="0.25">
      <c r="A212" s="2">
        <v>45926</v>
      </c>
      <c r="B212" s="1" t="s">
        <v>4</v>
      </c>
      <c r="C212" s="1" t="s">
        <v>27</v>
      </c>
      <c r="D212" s="1" t="s">
        <v>24</v>
      </c>
      <c r="E212">
        <v>115</v>
      </c>
      <c r="F212">
        <v>4.25</v>
      </c>
    </row>
    <row r="213" spans="1:6" x14ac:dyDescent="0.25">
      <c r="A213" s="2">
        <v>45927</v>
      </c>
      <c r="B213" s="1" t="s">
        <v>7</v>
      </c>
      <c r="C213" s="1" t="s">
        <v>25</v>
      </c>
      <c r="D213" s="1" t="s">
        <v>22</v>
      </c>
      <c r="E213">
        <v>47</v>
      </c>
      <c r="F213">
        <v>115</v>
      </c>
    </row>
    <row r="214" spans="1:6" x14ac:dyDescent="0.25">
      <c r="A214" s="2">
        <v>45927</v>
      </c>
      <c r="B214" s="1" t="s">
        <v>4</v>
      </c>
      <c r="C214" s="1" t="s">
        <v>27</v>
      </c>
      <c r="D214" s="1" t="s">
        <v>24</v>
      </c>
      <c r="E214">
        <v>12</v>
      </c>
      <c r="F214">
        <v>4.25</v>
      </c>
    </row>
    <row r="215" spans="1:6" x14ac:dyDescent="0.25">
      <c r="A215" s="2">
        <v>45929</v>
      </c>
      <c r="B215" s="1" t="s">
        <v>7</v>
      </c>
      <c r="C215" s="1" t="s">
        <v>25</v>
      </c>
      <c r="D215" s="1" t="s">
        <v>22</v>
      </c>
      <c r="E215">
        <v>68</v>
      </c>
      <c r="F215">
        <v>115</v>
      </c>
    </row>
    <row r="216" spans="1:6" x14ac:dyDescent="0.25">
      <c r="A216" s="2">
        <v>45929</v>
      </c>
      <c r="B216" s="1" t="s">
        <v>6</v>
      </c>
      <c r="C216" s="1" t="s">
        <v>26</v>
      </c>
      <c r="D216" s="1" t="s">
        <v>24</v>
      </c>
      <c r="E216">
        <v>174</v>
      </c>
      <c r="F216">
        <v>9.75</v>
      </c>
    </row>
    <row r="217" spans="1:6" x14ac:dyDescent="0.25">
      <c r="A217" s="2">
        <v>45931</v>
      </c>
      <c r="B217" s="1" t="s">
        <v>2</v>
      </c>
      <c r="C217" s="1" t="s">
        <v>27</v>
      </c>
      <c r="D217" s="1" t="s">
        <v>22</v>
      </c>
      <c r="E217">
        <v>74</v>
      </c>
      <c r="F217">
        <v>12.5</v>
      </c>
    </row>
    <row r="218" spans="1:6" x14ac:dyDescent="0.25">
      <c r="A218" s="2">
        <v>45931</v>
      </c>
      <c r="B218" s="1" t="s">
        <v>9</v>
      </c>
      <c r="C218" s="1" t="s">
        <v>25</v>
      </c>
      <c r="D218" s="1" t="s">
        <v>24</v>
      </c>
      <c r="E218">
        <v>63</v>
      </c>
      <c r="F218">
        <v>8.5</v>
      </c>
    </row>
    <row r="219" spans="1:6" x14ac:dyDescent="0.25">
      <c r="A219" s="2">
        <v>45931</v>
      </c>
      <c r="B219" s="1" t="s">
        <v>2</v>
      </c>
      <c r="C219" s="1" t="s">
        <v>27</v>
      </c>
      <c r="D219" s="1" t="s">
        <v>22</v>
      </c>
      <c r="E219">
        <v>24</v>
      </c>
      <c r="F219">
        <v>12.5</v>
      </c>
    </row>
    <row r="220" spans="1:6" x14ac:dyDescent="0.25">
      <c r="A220" s="2">
        <v>45931</v>
      </c>
      <c r="B220" s="1" t="s">
        <v>11</v>
      </c>
      <c r="C220" s="1" t="s">
        <v>23</v>
      </c>
      <c r="D220" s="1" t="s">
        <v>24</v>
      </c>
      <c r="E220">
        <v>190</v>
      </c>
      <c r="F220">
        <v>1.1000000000000001</v>
      </c>
    </row>
    <row r="221" spans="1:6" x14ac:dyDescent="0.25">
      <c r="A221" s="2">
        <v>45936</v>
      </c>
      <c r="B221" s="1" t="s">
        <v>9</v>
      </c>
      <c r="C221" s="1" t="s">
        <v>25</v>
      </c>
      <c r="D221" s="1" t="s">
        <v>24</v>
      </c>
      <c r="E221">
        <v>98</v>
      </c>
      <c r="F221">
        <v>8.5</v>
      </c>
    </row>
    <row r="222" spans="1:6" x14ac:dyDescent="0.25">
      <c r="A222" s="2">
        <v>45936</v>
      </c>
      <c r="B222" s="1" t="s">
        <v>9</v>
      </c>
      <c r="C222" s="1" t="s">
        <v>25</v>
      </c>
      <c r="D222" s="1" t="s">
        <v>24</v>
      </c>
      <c r="E222">
        <v>125</v>
      </c>
      <c r="F222">
        <v>8.5</v>
      </c>
    </row>
    <row r="223" spans="1:6" x14ac:dyDescent="0.25">
      <c r="A223" s="2">
        <v>45939</v>
      </c>
      <c r="B223" s="1" t="s">
        <v>4</v>
      </c>
      <c r="C223" s="1" t="s">
        <v>27</v>
      </c>
      <c r="D223" s="1" t="s">
        <v>24</v>
      </c>
      <c r="E223">
        <v>73</v>
      </c>
      <c r="F223">
        <v>4.25</v>
      </c>
    </row>
    <row r="224" spans="1:6" x14ac:dyDescent="0.25">
      <c r="A224" s="2">
        <v>45940</v>
      </c>
      <c r="B224" s="1" t="s">
        <v>7</v>
      </c>
      <c r="C224" s="1" t="s">
        <v>25</v>
      </c>
      <c r="D224" s="1" t="s">
        <v>22</v>
      </c>
      <c r="E224">
        <v>14</v>
      </c>
      <c r="F224">
        <v>115</v>
      </c>
    </row>
    <row r="225" spans="1:6" x14ac:dyDescent="0.25">
      <c r="A225" s="2">
        <v>45941</v>
      </c>
      <c r="B225" s="1" t="s">
        <v>14</v>
      </c>
      <c r="C225" s="1" t="s">
        <v>21</v>
      </c>
      <c r="D225" s="1" t="s">
        <v>24</v>
      </c>
      <c r="E225">
        <v>146</v>
      </c>
      <c r="F225">
        <v>2.8</v>
      </c>
    </row>
    <row r="226" spans="1:6" x14ac:dyDescent="0.25">
      <c r="A226" s="2">
        <v>45941</v>
      </c>
      <c r="B226" s="1" t="s">
        <v>4</v>
      </c>
      <c r="C226" s="1" t="s">
        <v>27</v>
      </c>
      <c r="D226" s="1" t="s">
        <v>24</v>
      </c>
      <c r="E226">
        <v>94</v>
      </c>
      <c r="F226">
        <v>4.25</v>
      </c>
    </row>
    <row r="227" spans="1:6" x14ac:dyDescent="0.25">
      <c r="A227" s="2">
        <v>45942</v>
      </c>
      <c r="B227" s="1" t="s">
        <v>10</v>
      </c>
      <c r="C227" s="1" t="s">
        <v>25</v>
      </c>
      <c r="D227" s="1" t="s">
        <v>22</v>
      </c>
      <c r="E227">
        <v>21</v>
      </c>
      <c r="F227">
        <v>22</v>
      </c>
    </row>
    <row r="228" spans="1:6" x14ac:dyDescent="0.25">
      <c r="A228" s="2">
        <v>45942</v>
      </c>
      <c r="B228" s="1" t="s">
        <v>14</v>
      </c>
      <c r="C228" s="1" t="s">
        <v>21</v>
      </c>
      <c r="D228" s="1" t="s">
        <v>24</v>
      </c>
      <c r="E228">
        <v>165</v>
      </c>
      <c r="F228">
        <v>2.8</v>
      </c>
    </row>
    <row r="229" spans="1:6" x14ac:dyDescent="0.25">
      <c r="A229" s="2">
        <v>45943</v>
      </c>
      <c r="B229" s="1" t="s">
        <v>9</v>
      </c>
      <c r="C229" s="1" t="s">
        <v>25</v>
      </c>
      <c r="D229" s="1" t="s">
        <v>24</v>
      </c>
      <c r="E229">
        <v>143</v>
      </c>
      <c r="F229">
        <v>8.5</v>
      </c>
    </row>
    <row r="230" spans="1:6" x14ac:dyDescent="0.25">
      <c r="A230" s="2">
        <v>45944</v>
      </c>
      <c r="B230" s="1" t="s">
        <v>11</v>
      </c>
      <c r="C230" s="1" t="s">
        <v>23</v>
      </c>
      <c r="D230" s="1" t="s">
        <v>22</v>
      </c>
      <c r="E230">
        <v>13</v>
      </c>
      <c r="F230">
        <v>1.1000000000000001</v>
      </c>
    </row>
    <row r="231" spans="1:6" x14ac:dyDescent="0.25">
      <c r="A231" s="2">
        <v>45944</v>
      </c>
      <c r="B231" s="1" t="s">
        <v>7</v>
      </c>
      <c r="C231" s="1" t="s">
        <v>25</v>
      </c>
      <c r="D231" s="1" t="s">
        <v>22</v>
      </c>
      <c r="E231">
        <v>14</v>
      </c>
      <c r="F231">
        <v>115</v>
      </c>
    </row>
    <row r="232" spans="1:6" x14ac:dyDescent="0.25">
      <c r="A232" s="2">
        <v>45945</v>
      </c>
      <c r="B232" s="1" t="s">
        <v>10</v>
      </c>
      <c r="C232" s="1" t="s">
        <v>25</v>
      </c>
      <c r="D232" s="1" t="s">
        <v>22</v>
      </c>
      <c r="E232">
        <v>49</v>
      </c>
      <c r="F232">
        <v>22</v>
      </c>
    </row>
    <row r="233" spans="1:6" x14ac:dyDescent="0.25">
      <c r="A233" s="2">
        <v>45946</v>
      </c>
      <c r="B233" s="1" t="s">
        <v>15</v>
      </c>
      <c r="C233" s="1" t="s">
        <v>21</v>
      </c>
      <c r="D233" s="1" t="s">
        <v>22</v>
      </c>
      <c r="E233">
        <v>36</v>
      </c>
      <c r="F233">
        <v>4.5999999999999996</v>
      </c>
    </row>
    <row r="234" spans="1:6" x14ac:dyDescent="0.25">
      <c r="A234" s="2">
        <v>45946</v>
      </c>
      <c r="B234" s="1" t="s">
        <v>15</v>
      </c>
      <c r="C234" s="1" t="s">
        <v>21</v>
      </c>
      <c r="D234" s="1" t="s">
        <v>24</v>
      </c>
      <c r="E234">
        <v>69</v>
      </c>
      <c r="F234">
        <v>4.5999999999999996</v>
      </c>
    </row>
    <row r="235" spans="1:6" x14ac:dyDescent="0.25">
      <c r="A235" s="2">
        <v>45949</v>
      </c>
      <c r="B235" s="1" t="s">
        <v>10</v>
      </c>
      <c r="C235" s="1" t="s">
        <v>25</v>
      </c>
      <c r="D235" s="1" t="s">
        <v>24</v>
      </c>
      <c r="E235">
        <v>79</v>
      </c>
      <c r="F235">
        <v>22</v>
      </c>
    </row>
    <row r="236" spans="1:6" x14ac:dyDescent="0.25">
      <c r="A236" s="2">
        <v>45949</v>
      </c>
      <c r="B236" s="1" t="s">
        <v>2</v>
      </c>
      <c r="C236" s="1" t="s">
        <v>27</v>
      </c>
      <c r="D236" s="1" t="s">
        <v>24</v>
      </c>
      <c r="E236">
        <v>89</v>
      </c>
      <c r="F236">
        <v>12.5</v>
      </c>
    </row>
    <row r="237" spans="1:6" x14ac:dyDescent="0.25">
      <c r="A237" s="2">
        <v>45949</v>
      </c>
      <c r="B237" s="1" t="s">
        <v>11</v>
      </c>
      <c r="C237" s="1" t="s">
        <v>23</v>
      </c>
      <c r="D237" s="1" t="s">
        <v>22</v>
      </c>
      <c r="E237">
        <v>14</v>
      </c>
      <c r="F237">
        <v>1.1000000000000001</v>
      </c>
    </row>
    <row r="238" spans="1:6" x14ac:dyDescent="0.25">
      <c r="A238" s="2">
        <v>45955</v>
      </c>
      <c r="B238" s="1" t="s">
        <v>15</v>
      </c>
      <c r="C238" s="1" t="s">
        <v>21</v>
      </c>
      <c r="D238" s="1" t="s">
        <v>24</v>
      </c>
      <c r="E238">
        <v>143</v>
      </c>
      <c r="F238">
        <v>4.5999999999999996</v>
      </c>
    </row>
    <row r="239" spans="1:6" x14ac:dyDescent="0.25">
      <c r="A239" s="2">
        <v>45956</v>
      </c>
      <c r="B239" s="1" t="s">
        <v>9</v>
      </c>
      <c r="C239" s="1" t="s">
        <v>25</v>
      </c>
      <c r="D239" s="1" t="s">
        <v>22</v>
      </c>
      <c r="E239">
        <v>52</v>
      </c>
      <c r="F239">
        <v>8.5</v>
      </c>
    </row>
    <row r="240" spans="1:6" x14ac:dyDescent="0.25">
      <c r="A240" s="2">
        <v>45957</v>
      </c>
      <c r="B240" s="1" t="s">
        <v>4</v>
      </c>
      <c r="C240" s="1" t="s">
        <v>27</v>
      </c>
      <c r="D240" s="1" t="s">
        <v>22</v>
      </c>
      <c r="E240">
        <v>52</v>
      </c>
      <c r="F240">
        <v>4.25</v>
      </c>
    </row>
    <row r="241" spans="1:6" x14ac:dyDescent="0.25">
      <c r="A241" s="2">
        <v>45958</v>
      </c>
      <c r="B241" s="1" t="s">
        <v>7</v>
      </c>
      <c r="C241" s="1" t="s">
        <v>25</v>
      </c>
      <c r="D241" s="1" t="s">
        <v>24</v>
      </c>
      <c r="E241">
        <v>145</v>
      </c>
      <c r="F241">
        <v>115</v>
      </c>
    </row>
    <row r="242" spans="1:6" x14ac:dyDescent="0.25">
      <c r="A242" s="2">
        <v>45959</v>
      </c>
      <c r="B242" s="1" t="s">
        <v>10</v>
      </c>
      <c r="C242" s="1" t="s">
        <v>25</v>
      </c>
      <c r="D242" s="1" t="s">
        <v>22</v>
      </c>
      <c r="E242">
        <v>66</v>
      </c>
      <c r="F242">
        <v>22</v>
      </c>
    </row>
    <row r="243" spans="1:6" x14ac:dyDescent="0.25">
      <c r="A243" s="2">
        <v>45962</v>
      </c>
      <c r="B243" s="1" t="s">
        <v>2</v>
      </c>
      <c r="C243" s="1" t="s">
        <v>27</v>
      </c>
      <c r="D243" s="1" t="s">
        <v>22</v>
      </c>
      <c r="E243">
        <v>29</v>
      </c>
      <c r="F243">
        <v>12.5</v>
      </c>
    </row>
    <row r="244" spans="1:6" x14ac:dyDescent="0.25">
      <c r="A244" s="2">
        <v>45963</v>
      </c>
      <c r="B244" s="1" t="s">
        <v>11</v>
      </c>
      <c r="C244" s="1" t="s">
        <v>23</v>
      </c>
      <c r="D244" s="1" t="s">
        <v>24</v>
      </c>
      <c r="E244">
        <v>11</v>
      </c>
      <c r="F244">
        <v>1.1000000000000001</v>
      </c>
    </row>
    <row r="245" spans="1:6" x14ac:dyDescent="0.25">
      <c r="A245" s="2">
        <v>45963</v>
      </c>
      <c r="B245" s="1" t="s">
        <v>15</v>
      </c>
      <c r="C245" s="1" t="s">
        <v>21</v>
      </c>
      <c r="D245" s="1" t="s">
        <v>24</v>
      </c>
      <c r="E245">
        <v>126</v>
      </c>
      <c r="F245">
        <v>4.5999999999999996</v>
      </c>
    </row>
    <row r="246" spans="1:6" x14ac:dyDescent="0.25">
      <c r="A246" s="2">
        <v>45964</v>
      </c>
      <c r="B246" s="1" t="s">
        <v>2</v>
      </c>
      <c r="C246" s="1" t="s">
        <v>27</v>
      </c>
      <c r="D246" s="1" t="s">
        <v>22</v>
      </c>
      <c r="E246">
        <v>69</v>
      </c>
      <c r="F246">
        <v>12.5</v>
      </c>
    </row>
    <row r="247" spans="1:6" x14ac:dyDescent="0.25">
      <c r="A247" s="2">
        <v>45964</v>
      </c>
      <c r="B247" s="1" t="s">
        <v>7</v>
      </c>
      <c r="C247" s="1" t="s">
        <v>25</v>
      </c>
      <c r="D247" s="1" t="s">
        <v>24</v>
      </c>
      <c r="E247">
        <v>163</v>
      </c>
      <c r="F247">
        <v>115</v>
      </c>
    </row>
    <row r="248" spans="1:6" x14ac:dyDescent="0.25">
      <c r="A248" s="2">
        <v>45965</v>
      </c>
      <c r="B248" s="1" t="s">
        <v>10</v>
      </c>
      <c r="C248" s="1" t="s">
        <v>25</v>
      </c>
      <c r="D248" s="1" t="s">
        <v>24</v>
      </c>
      <c r="E248">
        <v>97</v>
      </c>
      <c r="F248">
        <v>22</v>
      </c>
    </row>
    <row r="249" spans="1:6" x14ac:dyDescent="0.25">
      <c r="A249" s="2">
        <v>45965</v>
      </c>
      <c r="B249" s="1" t="s">
        <v>9</v>
      </c>
      <c r="C249" s="1" t="s">
        <v>25</v>
      </c>
      <c r="D249" s="1" t="s">
        <v>24</v>
      </c>
      <c r="E249">
        <v>92</v>
      </c>
      <c r="F249">
        <v>8.5</v>
      </c>
    </row>
    <row r="250" spans="1:6" x14ac:dyDescent="0.25">
      <c r="A250" s="2">
        <v>45967</v>
      </c>
      <c r="B250" s="1" t="s">
        <v>10</v>
      </c>
      <c r="C250" s="1" t="s">
        <v>25</v>
      </c>
      <c r="D250" s="1" t="s">
        <v>24</v>
      </c>
      <c r="E250">
        <v>107</v>
      </c>
      <c r="F250">
        <v>22</v>
      </c>
    </row>
    <row r="251" spans="1:6" x14ac:dyDescent="0.25">
      <c r="A251" s="2">
        <v>45967</v>
      </c>
      <c r="B251" s="1" t="s">
        <v>4</v>
      </c>
      <c r="C251" s="1" t="s">
        <v>27</v>
      </c>
      <c r="D251" s="1" t="s">
        <v>22</v>
      </c>
      <c r="E251">
        <v>20</v>
      </c>
      <c r="F251">
        <v>4.25</v>
      </c>
    </row>
    <row r="252" spans="1:6" x14ac:dyDescent="0.25">
      <c r="A252" s="2">
        <v>45967</v>
      </c>
      <c r="B252" s="1" t="s">
        <v>13</v>
      </c>
      <c r="C252" s="1" t="s">
        <v>23</v>
      </c>
      <c r="D252" s="1" t="s">
        <v>22</v>
      </c>
      <c r="E252">
        <v>33</v>
      </c>
      <c r="F252">
        <v>1.35</v>
      </c>
    </row>
    <row r="253" spans="1:6" x14ac:dyDescent="0.25">
      <c r="A253" s="2">
        <v>45970</v>
      </c>
      <c r="B253" s="1" t="s">
        <v>10</v>
      </c>
      <c r="C253" s="1" t="s">
        <v>25</v>
      </c>
      <c r="D253" s="1" t="s">
        <v>22</v>
      </c>
      <c r="E253">
        <v>77</v>
      </c>
      <c r="F253">
        <v>22</v>
      </c>
    </row>
    <row r="254" spans="1:6" x14ac:dyDescent="0.25">
      <c r="A254" s="2">
        <v>45970</v>
      </c>
      <c r="B254" s="1" t="s">
        <v>13</v>
      </c>
      <c r="C254" s="1" t="s">
        <v>23</v>
      </c>
      <c r="D254" s="1" t="s">
        <v>24</v>
      </c>
      <c r="E254">
        <v>56</v>
      </c>
      <c r="F254">
        <v>1.35</v>
      </c>
    </row>
    <row r="255" spans="1:6" x14ac:dyDescent="0.25">
      <c r="A255" s="2">
        <v>45973</v>
      </c>
      <c r="B255" s="1" t="s">
        <v>13</v>
      </c>
      <c r="C255" s="1" t="s">
        <v>23</v>
      </c>
      <c r="D255" s="1" t="s">
        <v>24</v>
      </c>
      <c r="E255">
        <v>192</v>
      </c>
      <c r="F255">
        <v>1.35</v>
      </c>
    </row>
    <row r="256" spans="1:6" x14ac:dyDescent="0.25">
      <c r="A256" s="2">
        <v>45974</v>
      </c>
      <c r="B256" s="1" t="s">
        <v>4</v>
      </c>
      <c r="C256" s="1" t="s">
        <v>27</v>
      </c>
      <c r="D256" s="1" t="s">
        <v>22</v>
      </c>
      <c r="E256">
        <v>16</v>
      </c>
      <c r="F256">
        <v>4.25</v>
      </c>
    </row>
    <row r="257" spans="1:6" x14ac:dyDescent="0.25">
      <c r="A257" s="2">
        <v>45974</v>
      </c>
      <c r="B257" s="1" t="s">
        <v>4</v>
      </c>
      <c r="C257" s="1" t="s">
        <v>27</v>
      </c>
      <c r="D257" s="1" t="s">
        <v>24</v>
      </c>
      <c r="E257">
        <v>156</v>
      </c>
      <c r="F257">
        <v>4.25</v>
      </c>
    </row>
    <row r="258" spans="1:6" x14ac:dyDescent="0.25">
      <c r="A258" s="2">
        <v>45976</v>
      </c>
      <c r="B258" s="1" t="s">
        <v>7</v>
      </c>
      <c r="C258" s="1" t="s">
        <v>25</v>
      </c>
      <c r="D258" s="1" t="s">
        <v>24</v>
      </c>
      <c r="E258">
        <v>18</v>
      </c>
      <c r="F258">
        <v>115</v>
      </c>
    </row>
    <row r="259" spans="1:6" x14ac:dyDescent="0.25">
      <c r="A259" s="2">
        <v>45977</v>
      </c>
      <c r="B259" s="1" t="s">
        <v>11</v>
      </c>
      <c r="C259" s="1" t="s">
        <v>23</v>
      </c>
      <c r="D259" s="1" t="s">
        <v>22</v>
      </c>
      <c r="E259">
        <v>18</v>
      </c>
      <c r="F259">
        <v>1.1000000000000001</v>
      </c>
    </row>
    <row r="260" spans="1:6" x14ac:dyDescent="0.25">
      <c r="A260" s="2">
        <v>45978</v>
      </c>
      <c r="B260" s="1" t="s">
        <v>13</v>
      </c>
      <c r="C260" s="1" t="s">
        <v>23</v>
      </c>
      <c r="D260" s="1" t="s">
        <v>22</v>
      </c>
      <c r="E260">
        <v>29</v>
      </c>
      <c r="F260">
        <v>1.35</v>
      </c>
    </row>
    <row r="261" spans="1:6" x14ac:dyDescent="0.25">
      <c r="A261" s="2">
        <v>45983</v>
      </c>
      <c r="B261" s="1" t="s">
        <v>2</v>
      </c>
      <c r="C261" s="1" t="s">
        <v>27</v>
      </c>
      <c r="D261" s="1" t="s">
        <v>22</v>
      </c>
      <c r="E261">
        <v>48</v>
      </c>
      <c r="F261">
        <v>12.5</v>
      </c>
    </row>
    <row r="262" spans="1:6" x14ac:dyDescent="0.25">
      <c r="A262" s="2">
        <v>45983</v>
      </c>
      <c r="B262" s="1" t="s">
        <v>4</v>
      </c>
      <c r="C262" s="1" t="s">
        <v>27</v>
      </c>
      <c r="D262" s="1" t="s">
        <v>24</v>
      </c>
      <c r="E262">
        <v>62</v>
      </c>
      <c r="F262">
        <v>4.25</v>
      </c>
    </row>
    <row r="263" spans="1:6" x14ac:dyDescent="0.25">
      <c r="A263" s="2">
        <v>45984</v>
      </c>
      <c r="B263" s="1" t="s">
        <v>15</v>
      </c>
      <c r="C263" s="1" t="s">
        <v>21</v>
      </c>
      <c r="D263" s="1" t="s">
        <v>22</v>
      </c>
      <c r="E263">
        <v>71</v>
      </c>
      <c r="F263">
        <v>4.5999999999999996</v>
      </c>
    </row>
    <row r="264" spans="1:6" x14ac:dyDescent="0.25">
      <c r="A264" s="2">
        <v>45984</v>
      </c>
      <c r="B264" s="1" t="s">
        <v>2</v>
      </c>
      <c r="C264" s="1" t="s">
        <v>27</v>
      </c>
      <c r="D264" s="1" t="s">
        <v>24</v>
      </c>
      <c r="E264">
        <v>77</v>
      </c>
      <c r="F264">
        <v>12.5</v>
      </c>
    </row>
    <row r="265" spans="1:6" x14ac:dyDescent="0.25">
      <c r="A265" s="2">
        <v>45985</v>
      </c>
      <c r="B265" s="1" t="s">
        <v>14</v>
      </c>
      <c r="C265" s="1" t="s">
        <v>21</v>
      </c>
      <c r="D265" s="1" t="s">
        <v>22</v>
      </c>
      <c r="E265">
        <v>6</v>
      </c>
      <c r="F265">
        <v>2.8</v>
      </c>
    </row>
    <row r="266" spans="1:6" x14ac:dyDescent="0.25">
      <c r="A266" s="2">
        <v>45987</v>
      </c>
      <c r="B266" s="1" t="s">
        <v>10</v>
      </c>
      <c r="C266" s="1" t="s">
        <v>25</v>
      </c>
      <c r="D266" s="1" t="s">
        <v>22</v>
      </c>
      <c r="E266">
        <v>62</v>
      </c>
      <c r="F266">
        <v>22</v>
      </c>
    </row>
    <row r="267" spans="1:6" x14ac:dyDescent="0.25">
      <c r="A267" s="2">
        <v>45988</v>
      </c>
      <c r="B267" s="1" t="s">
        <v>13</v>
      </c>
      <c r="C267" s="1" t="s">
        <v>23</v>
      </c>
      <c r="D267" s="1" t="s">
        <v>22</v>
      </c>
      <c r="E267">
        <v>62</v>
      </c>
      <c r="F267">
        <v>1.35</v>
      </c>
    </row>
    <row r="268" spans="1:6" x14ac:dyDescent="0.25">
      <c r="A268" s="2">
        <v>45989</v>
      </c>
      <c r="B268" s="1" t="s">
        <v>13</v>
      </c>
      <c r="C268" s="1" t="s">
        <v>23</v>
      </c>
      <c r="D268" s="1" t="s">
        <v>22</v>
      </c>
      <c r="E268">
        <v>61</v>
      </c>
      <c r="F268">
        <v>1.35</v>
      </c>
    </row>
    <row r="269" spans="1:6" x14ac:dyDescent="0.25">
      <c r="A269" s="2">
        <v>45989</v>
      </c>
      <c r="B269" s="1" t="s">
        <v>9</v>
      </c>
      <c r="C269" s="1" t="s">
        <v>25</v>
      </c>
      <c r="D269" s="1" t="s">
        <v>22</v>
      </c>
      <c r="E269">
        <v>30</v>
      </c>
      <c r="F269">
        <v>8.5</v>
      </c>
    </row>
    <row r="270" spans="1:6" x14ac:dyDescent="0.25">
      <c r="A270" s="2">
        <v>45991</v>
      </c>
      <c r="B270" s="1" t="s">
        <v>11</v>
      </c>
      <c r="C270" s="1" t="s">
        <v>23</v>
      </c>
      <c r="D270" s="1" t="s">
        <v>22</v>
      </c>
      <c r="E270">
        <v>17</v>
      </c>
      <c r="F270">
        <v>1.1000000000000001</v>
      </c>
    </row>
    <row r="271" spans="1:6" x14ac:dyDescent="0.25">
      <c r="A271" s="2">
        <v>45992</v>
      </c>
      <c r="B271" s="1" t="s">
        <v>14</v>
      </c>
      <c r="C271" s="1" t="s">
        <v>21</v>
      </c>
      <c r="D271" s="1" t="s">
        <v>24</v>
      </c>
      <c r="E271">
        <v>109</v>
      </c>
      <c r="F271">
        <v>2.8</v>
      </c>
    </row>
    <row r="272" spans="1:6" x14ac:dyDescent="0.25">
      <c r="A272" s="2">
        <v>45992</v>
      </c>
      <c r="B272" s="1" t="s">
        <v>13</v>
      </c>
      <c r="C272" s="1" t="s">
        <v>23</v>
      </c>
      <c r="D272" s="1" t="s">
        <v>22</v>
      </c>
      <c r="E272">
        <v>63</v>
      </c>
      <c r="F272">
        <v>1.35</v>
      </c>
    </row>
    <row r="273" spans="1:6" x14ac:dyDescent="0.25">
      <c r="A273" s="2">
        <v>45993</v>
      </c>
      <c r="B273" s="1" t="s">
        <v>10</v>
      </c>
      <c r="C273" s="1" t="s">
        <v>25</v>
      </c>
      <c r="D273" s="1" t="s">
        <v>24</v>
      </c>
      <c r="E273">
        <v>20</v>
      </c>
      <c r="F273">
        <v>22</v>
      </c>
    </row>
    <row r="274" spans="1:6" x14ac:dyDescent="0.25">
      <c r="A274" s="2">
        <v>45993</v>
      </c>
      <c r="B274" s="1" t="s">
        <v>7</v>
      </c>
      <c r="C274" s="1" t="s">
        <v>25</v>
      </c>
      <c r="D274" s="1" t="s">
        <v>22</v>
      </c>
      <c r="E274">
        <v>8</v>
      </c>
      <c r="F274">
        <v>115</v>
      </c>
    </row>
    <row r="275" spans="1:6" x14ac:dyDescent="0.25">
      <c r="A275" s="2">
        <v>45994</v>
      </c>
      <c r="B275" s="1" t="s">
        <v>9</v>
      </c>
      <c r="C275" s="1" t="s">
        <v>25</v>
      </c>
      <c r="D275" s="1" t="s">
        <v>24</v>
      </c>
      <c r="E275">
        <v>95</v>
      </c>
      <c r="F275">
        <v>8.5</v>
      </c>
    </row>
    <row r="276" spans="1:6" x14ac:dyDescent="0.25">
      <c r="A276" s="2">
        <v>45994</v>
      </c>
      <c r="B276" s="1" t="s">
        <v>4</v>
      </c>
      <c r="C276" s="1" t="s">
        <v>27</v>
      </c>
      <c r="D276" s="1" t="s">
        <v>24</v>
      </c>
      <c r="E276">
        <v>21</v>
      </c>
      <c r="F276">
        <v>4.25</v>
      </c>
    </row>
    <row r="277" spans="1:6" x14ac:dyDescent="0.25">
      <c r="A277" s="2">
        <v>45994</v>
      </c>
      <c r="B277" s="1" t="s">
        <v>7</v>
      </c>
      <c r="C277" s="1" t="s">
        <v>25</v>
      </c>
      <c r="D277" s="1" t="s">
        <v>24</v>
      </c>
      <c r="E277">
        <v>116</v>
      </c>
      <c r="F277">
        <v>115</v>
      </c>
    </row>
    <row r="278" spans="1:6" x14ac:dyDescent="0.25">
      <c r="A278" s="2">
        <v>45996</v>
      </c>
      <c r="B278" s="1" t="s">
        <v>6</v>
      </c>
      <c r="C278" s="1" t="s">
        <v>26</v>
      </c>
      <c r="D278" s="1" t="s">
        <v>22</v>
      </c>
      <c r="E278">
        <v>59</v>
      </c>
      <c r="F278">
        <v>9.75</v>
      </c>
    </row>
    <row r="279" spans="1:6" x14ac:dyDescent="0.25">
      <c r="A279" s="2">
        <v>45996</v>
      </c>
      <c r="B279" s="1" t="s">
        <v>15</v>
      </c>
      <c r="C279" s="1" t="s">
        <v>21</v>
      </c>
      <c r="D279" s="1" t="s">
        <v>22</v>
      </c>
      <c r="E279">
        <v>51</v>
      </c>
      <c r="F279">
        <v>4.5999999999999996</v>
      </c>
    </row>
    <row r="280" spans="1:6" x14ac:dyDescent="0.25">
      <c r="A280" s="2">
        <v>45997</v>
      </c>
      <c r="B280" s="1" t="s">
        <v>14</v>
      </c>
      <c r="C280" s="1" t="s">
        <v>21</v>
      </c>
      <c r="D280" s="1" t="s">
        <v>24</v>
      </c>
      <c r="E280">
        <v>170</v>
      </c>
      <c r="F280">
        <v>2.8</v>
      </c>
    </row>
    <row r="281" spans="1:6" x14ac:dyDescent="0.25">
      <c r="A281" s="2">
        <v>45998</v>
      </c>
      <c r="B281" s="1" t="s">
        <v>6</v>
      </c>
      <c r="C281" s="1" t="s">
        <v>26</v>
      </c>
      <c r="D281" s="1" t="s">
        <v>22</v>
      </c>
      <c r="E281">
        <v>41</v>
      </c>
      <c r="F281">
        <v>9.75</v>
      </c>
    </row>
    <row r="282" spans="1:6" x14ac:dyDescent="0.25">
      <c r="A282" s="2">
        <v>46000</v>
      </c>
      <c r="B282" s="1" t="s">
        <v>11</v>
      </c>
      <c r="C282" s="1" t="s">
        <v>23</v>
      </c>
      <c r="D282" s="1" t="s">
        <v>22</v>
      </c>
      <c r="E282">
        <v>70</v>
      </c>
      <c r="F282">
        <v>1.1000000000000001</v>
      </c>
    </row>
    <row r="283" spans="1:6" x14ac:dyDescent="0.25">
      <c r="A283" s="2">
        <v>46000</v>
      </c>
      <c r="B283" s="1" t="s">
        <v>11</v>
      </c>
      <c r="C283" s="1" t="s">
        <v>23</v>
      </c>
      <c r="D283" s="1" t="s">
        <v>22</v>
      </c>
      <c r="E283">
        <v>50</v>
      </c>
      <c r="F283">
        <v>1.1000000000000001</v>
      </c>
    </row>
    <row r="284" spans="1:6" x14ac:dyDescent="0.25">
      <c r="A284" s="2">
        <v>46000</v>
      </c>
      <c r="B284" s="1" t="s">
        <v>7</v>
      </c>
      <c r="C284" s="1" t="s">
        <v>25</v>
      </c>
      <c r="D284" s="1" t="s">
        <v>22</v>
      </c>
      <c r="E284">
        <v>28</v>
      </c>
      <c r="F284">
        <v>115</v>
      </c>
    </row>
    <row r="285" spans="1:6" x14ac:dyDescent="0.25">
      <c r="A285" s="2">
        <v>46000</v>
      </c>
      <c r="B285" s="1" t="s">
        <v>2</v>
      </c>
      <c r="C285" s="1" t="s">
        <v>27</v>
      </c>
      <c r="D285" s="1" t="s">
        <v>22</v>
      </c>
      <c r="E285">
        <v>61</v>
      </c>
      <c r="F285">
        <v>12.5</v>
      </c>
    </row>
    <row r="286" spans="1:6" x14ac:dyDescent="0.25">
      <c r="A286" s="2">
        <v>46000</v>
      </c>
      <c r="B286" s="1" t="s">
        <v>2</v>
      </c>
      <c r="C286" s="1" t="s">
        <v>27</v>
      </c>
      <c r="D286" s="1" t="s">
        <v>24</v>
      </c>
      <c r="E286">
        <v>15</v>
      </c>
      <c r="F286">
        <v>12.5</v>
      </c>
    </row>
    <row r="287" spans="1:6" x14ac:dyDescent="0.25">
      <c r="A287" s="2">
        <v>46002</v>
      </c>
      <c r="B287" s="1" t="s">
        <v>6</v>
      </c>
      <c r="C287" s="1" t="s">
        <v>26</v>
      </c>
      <c r="D287" s="1" t="s">
        <v>24</v>
      </c>
      <c r="E287">
        <v>21</v>
      </c>
      <c r="F287">
        <v>9.75</v>
      </c>
    </row>
    <row r="288" spans="1:6" x14ac:dyDescent="0.25">
      <c r="A288" s="2">
        <v>46002</v>
      </c>
      <c r="B288" s="1" t="s">
        <v>6</v>
      </c>
      <c r="C288" s="1" t="s">
        <v>26</v>
      </c>
      <c r="D288" s="1" t="s">
        <v>24</v>
      </c>
      <c r="E288">
        <v>103</v>
      </c>
      <c r="F288">
        <v>9.75</v>
      </c>
    </row>
    <row r="289" spans="1:6" x14ac:dyDescent="0.25">
      <c r="A289" s="2">
        <v>46002</v>
      </c>
      <c r="B289" s="1" t="s">
        <v>13</v>
      </c>
      <c r="C289" s="1" t="s">
        <v>23</v>
      </c>
      <c r="D289" s="1" t="s">
        <v>24</v>
      </c>
      <c r="E289">
        <v>183</v>
      </c>
      <c r="F289">
        <v>1.35</v>
      </c>
    </row>
    <row r="290" spans="1:6" x14ac:dyDescent="0.25">
      <c r="A290" s="2">
        <v>46003</v>
      </c>
      <c r="B290" s="1" t="s">
        <v>6</v>
      </c>
      <c r="C290" s="1" t="s">
        <v>26</v>
      </c>
      <c r="D290" s="1" t="s">
        <v>24</v>
      </c>
      <c r="E290">
        <v>109</v>
      </c>
      <c r="F290">
        <v>9.75</v>
      </c>
    </row>
    <row r="291" spans="1:6" x14ac:dyDescent="0.25">
      <c r="A291" s="2">
        <v>46003</v>
      </c>
      <c r="B291" s="1" t="s">
        <v>2</v>
      </c>
      <c r="C291" s="1" t="s">
        <v>27</v>
      </c>
      <c r="D291" s="1" t="s">
        <v>24</v>
      </c>
      <c r="E291">
        <v>174</v>
      </c>
      <c r="F291">
        <v>12.5</v>
      </c>
    </row>
    <row r="292" spans="1:6" x14ac:dyDescent="0.25">
      <c r="A292" s="2">
        <v>46004</v>
      </c>
      <c r="B292" s="1" t="s">
        <v>13</v>
      </c>
      <c r="C292" s="1" t="s">
        <v>23</v>
      </c>
      <c r="D292" s="1" t="s">
        <v>22</v>
      </c>
      <c r="E292">
        <v>6</v>
      </c>
      <c r="F292">
        <v>1.35</v>
      </c>
    </row>
    <row r="293" spans="1:6" x14ac:dyDescent="0.25">
      <c r="A293" s="2">
        <v>46005</v>
      </c>
      <c r="B293" s="1" t="s">
        <v>6</v>
      </c>
      <c r="C293" s="1" t="s">
        <v>26</v>
      </c>
      <c r="D293" s="1" t="s">
        <v>22</v>
      </c>
      <c r="E293">
        <v>35</v>
      </c>
      <c r="F293">
        <v>9.75</v>
      </c>
    </row>
    <row r="294" spans="1:6" x14ac:dyDescent="0.25">
      <c r="A294" s="2">
        <v>46011</v>
      </c>
      <c r="B294" s="1" t="s">
        <v>13</v>
      </c>
      <c r="C294" s="1" t="s">
        <v>23</v>
      </c>
      <c r="D294" s="1" t="s">
        <v>22</v>
      </c>
      <c r="E294">
        <v>48</v>
      </c>
      <c r="F294">
        <v>1.35</v>
      </c>
    </row>
    <row r="295" spans="1:6" x14ac:dyDescent="0.25">
      <c r="A295" s="2">
        <v>46013</v>
      </c>
      <c r="B295" s="1" t="s">
        <v>10</v>
      </c>
      <c r="C295" s="1" t="s">
        <v>25</v>
      </c>
      <c r="D295" s="1" t="s">
        <v>24</v>
      </c>
      <c r="E295">
        <v>18</v>
      </c>
      <c r="F295">
        <v>22</v>
      </c>
    </row>
    <row r="296" spans="1:6" x14ac:dyDescent="0.25">
      <c r="A296" s="2">
        <v>46013</v>
      </c>
      <c r="B296" s="1" t="s">
        <v>10</v>
      </c>
      <c r="C296" s="1" t="s">
        <v>25</v>
      </c>
      <c r="D296" s="1" t="s">
        <v>24</v>
      </c>
      <c r="E296">
        <v>29</v>
      </c>
      <c r="F296">
        <v>22</v>
      </c>
    </row>
    <row r="297" spans="1:6" x14ac:dyDescent="0.25">
      <c r="A297" s="2">
        <v>46014</v>
      </c>
      <c r="B297" s="1" t="s">
        <v>15</v>
      </c>
      <c r="C297" s="1" t="s">
        <v>21</v>
      </c>
      <c r="D297" s="1" t="s">
        <v>24</v>
      </c>
      <c r="E297">
        <v>186</v>
      </c>
      <c r="F297">
        <v>4.5999999999999996</v>
      </c>
    </row>
    <row r="298" spans="1:6" x14ac:dyDescent="0.25">
      <c r="A298" s="2">
        <v>46014</v>
      </c>
      <c r="B298" s="1" t="s">
        <v>4</v>
      </c>
      <c r="C298" s="1" t="s">
        <v>27</v>
      </c>
      <c r="D298" s="1" t="s">
        <v>22</v>
      </c>
      <c r="E298">
        <v>61</v>
      </c>
      <c r="F298">
        <v>4.25</v>
      </c>
    </row>
    <row r="299" spans="1:6" x14ac:dyDescent="0.25">
      <c r="A299" s="2">
        <v>46015</v>
      </c>
      <c r="B299" s="1" t="s">
        <v>11</v>
      </c>
      <c r="C299" s="1" t="s">
        <v>23</v>
      </c>
      <c r="D299" s="1" t="s">
        <v>22</v>
      </c>
      <c r="E299">
        <v>19</v>
      </c>
      <c r="F299">
        <v>1.1000000000000001</v>
      </c>
    </row>
    <row r="300" spans="1:6" x14ac:dyDescent="0.25">
      <c r="A300" s="2">
        <v>46016</v>
      </c>
      <c r="B300" s="1" t="s">
        <v>14</v>
      </c>
      <c r="C300" s="1" t="s">
        <v>21</v>
      </c>
      <c r="D300" s="1" t="s">
        <v>22</v>
      </c>
      <c r="E300">
        <v>80</v>
      </c>
      <c r="F300">
        <v>2.8</v>
      </c>
    </row>
    <row r="301" spans="1:6" x14ac:dyDescent="0.25">
      <c r="A301" s="2">
        <v>46018</v>
      </c>
      <c r="B301" s="1" t="s">
        <v>13</v>
      </c>
      <c r="C301" s="1" t="s">
        <v>23</v>
      </c>
      <c r="D301" s="1" t="s">
        <v>24</v>
      </c>
      <c r="E301">
        <v>58</v>
      </c>
      <c r="F301">
        <v>1.35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02B0D-1288-45CA-AAB2-AAC8BFF50EA1}">
  <dimension ref="A1:B11"/>
  <sheetViews>
    <sheetView workbookViewId="0">
      <selection activeCell="B9" sqref="B9"/>
    </sheetView>
  </sheetViews>
  <sheetFormatPr defaultRowHeight="15" x14ac:dyDescent="0.25"/>
  <cols>
    <col min="1" max="1" width="17" bestFit="1" customWidth="1"/>
    <col min="2" max="2" width="18.5703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3</v>
      </c>
    </row>
    <row r="5" spans="1:2" x14ac:dyDescent="0.25">
      <c r="A5" s="3" t="s">
        <v>7</v>
      </c>
      <c r="B5" s="3" t="s">
        <v>8</v>
      </c>
    </row>
    <row r="6" spans="1:2" x14ac:dyDescent="0.25">
      <c r="A6" s="3" t="s">
        <v>9</v>
      </c>
      <c r="B6" s="3" t="s">
        <v>8</v>
      </c>
    </row>
    <row r="7" spans="1:2" x14ac:dyDescent="0.25">
      <c r="A7" s="3" t="s">
        <v>10</v>
      </c>
      <c r="B7" s="3" t="s">
        <v>8</v>
      </c>
    </row>
    <row r="8" spans="1:2" x14ac:dyDescent="0.25">
      <c r="A8" s="3" t="s">
        <v>11</v>
      </c>
      <c r="B8" s="3" t="s">
        <v>12</v>
      </c>
    </row>
    <row r="9" spans="1:2" x14ac:dyDescent="0.25">
      <c r="A9" s="3" t="s">
        <v>13</v>
      </c>
      <c r="B9" s="3" t="s">
        <v>12</v>
      </c>
    </row>
    <row r="10" spans="1:2" x14ac:dyDescent="0.25">
      <c r="A10" s="3" t="s">
        <v>14</v>
      </c>
      <c r="B10" s="3" t="s">
        <v>5</v>
      </c>
    </row>
    <row r="11" spans="1:2" x14ac:dyDescent="0.25">
      <c r="A11" s="3" t="s">
        <v>15</v>
      </c>
      <c r="B11" s="3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0923-6607-49BD-8D9D-7C1E12942027}">
  <dimension ref="A1"/>
  <sheetViews>
    <sheetView workbookViewId="0">
      <selection activeCell="A12" sqref="A12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C879-8954-4016-BB1E-10EBC29339B8}">
  <dimension ref="A1:I11"/>
  <sheetViews>
    <sheetView workbookViewId="0">
      <selection activeCell="C5" sqref="C5"/>
    </sheetView>
  </sheetViews>
  <sheetFormatPr defaultRowHeight="15" x14ac:dyDescent="0.25"/>
  <cols>
    <col min="1" max="1" width="17" bestFit="1" customWidth="1"/>
    <col min="2" max="2" width="12.5703125" bestFit="1" customWidth="1"/>
    <col min="3" max="3" width="18" bestFit="1" customWidth="1"/>
    <col min="4" max="4" width="13.5703125" bestFit="1" customWidth="1"/>
    <col min="5" max="5" width="9.7109375" bestFit="1" customWidth="1"/>
    <col min="6" max="6" width="24.5703125" bestFit="1" customWidth="1"/>
    <col min="7" max="7" width="11.7109375" bestFit="1" customWidth="1"/>
    <col min="8" max="8" width="11.5703125" bestFit="1" customWidth="1"/>
    <col min="9" max="9" width="16" bestFit="1" customWidth="1"/>
  </cols>
  <sheetData>
    <row r="1" spans="1:9" ht="16.5" x14ac:dyDescent="0.25">
      <c r="A1" t="s">
        <v>0</v>
      </c>
      <c r="B1" s="6" t="s">
        <v>17</v>
      </c>
      <c r="C1" s="6" t="s">
        <v>28</v>
      </c>
      <c r="D1" s="6" t="s">
        <v>29</v>
      </c>
      <c r="E1" s="6" t="s">
        <v>22</v>
      </c>
      <c r="F1" s="6" t="s">
        <v>30</v>
      </c>
      <c r="G1" t="s">
        <v>20</v>
      </c>
      <c r="H1" s="6" t="s">
        <v>31</v>
      </c>
      <c r="I1" s="6" t="s">
        <v>32</v>
      </c>
    </row>
    <row r="2" spans="1:9" x14ac:dyDescent="0.25">
      <c r="A2" s="1" t="s">
        <v>2</v>
      </c>
      <c r="B2" s="1" t="str">
        <f>_xlfn.XLOOKUP(Table6[[#This Row],[Item]],tblBeginningInventory[Item],tblBeginningInventory[Category])</f>
        <v>Meat</v>
      </c>
      <c r="C2" s="1">
        <f>_xlfn.XLOOKUP(Table6[[#This Row],[Item]],tblBeginningInventory[Item],tblBeginningInventory[Beginning Qty])</f>
        <v>73</v>
      </c>
      <c r="D2" s="1">
        <f>SUMIFS(tblTransactions[Quantity],tblTransactions[Item],Table6[[#This Row],[Item]],tblTransactions[Transaction Type],"Purchase")</f>
        <v>1182</v>
      </c>
      <c r="E2" s="1">
        <f>SUMIFS(tblTransactions[Quantity],tblTransactions[Item],Table6[[#This Row],[Item]],tblTransactions[Transaction Type],"Usage")</f>
        <v>790</v>
      </c>
      <c r="F2" s="1">
        <f>Table6[[#This Row],[Beginning Qty]]+Table6[[#This Row],[Purchases]]-Table6[[#This Row],[Usage]]</f>
        <v>465</v>
      </c>
      <c r="G2" s="7">
        <f>_xlfn.XLOOKUP(Table6[[#This Row],[Item]],tblBeginningInventory[Item],tblBeginningInventory[Unit Cost])</f>
        <v>12.5</v>
      </c>
      <c r="H2" s="7">
        <f>Table6[[#This Row],[Usage]]*Table6[[#This Row],[Unit Cost]]</f>
        <v>9875</v>
      </c>
      <c r="I2" s="1" t="str">
        <f>_xlfn.XLOOKUP(Table6[[#This Row],[Item]],tblVendors[Item],tblVendors[Preferred Vendor])</f>
        <v>US Foods</v>
      </c>
    </row>
    <row r="3" spans="1:9" x14ac:dyDescent="0.25">
      <c r="A3" s="1" t="s">
        <v>4</v>
      </c>
      <c r="B3" s="1" t="str">
        <f>_xlfn.XLOOKUP(Table6[[#This Row],[Item]],tblBeginningInventory[Item],tblBeginningInventory[Category])</f>
        <v>Meat</v>
      </c>
      <c r="C3" s="1">
        <f>_xlfn.XLOOKUP(Table6[[#This Row],[Item]],tblBeginningInventory[Item],tblBeginningInventory[Beginning Qty])</f>
        <v>128</v>
      </c>
      <c r="D3" s="1">
        <f>SUMIFS(tblTransactions[Quantity],tblTransactions[Item],Table6[[#This Row],[Item]],tblTransactions[Transaction Type],"Purchase")</f>
        <v>1213</v>
      </c>
      <c r="E3" s="1">
        <f>SUMIFS(tblTransactions[Quantity],tblTransactions[Item],Table6[[#This Row],[Item]],tblTransactions[Transaction Type],"Usage")</f>
        <v>824</v>
      </c>
      <c r="F3" s="1">
        <f>Table6[[#This Row],[Beginning Qty]]+Table6[[#This Row],[Purchases]]-Table6[[#This Row],[Usage]]</f>
        <v>517</v>
      </c>
      <c r="G3" s="7">
        <f>_xlfn.XLOOKUP(Table6[[#This Row],[Item]],tblBeginningInventory[Item],tblBeginningInventory[Unit Cost])</f>
        <v>4.25</v>
      </c>
      <c r="H3" s="7">
        <f>Table6[[#This Row],[Usage]]*Table6[[#This Row],[Unit Cost]]</f>
        <v>3502</v>
      </c>
      <c r="I3" s="1" t="str">
        <f>_xlfn.XLOOKUP(Table6[[#This Row],[Item]],tblVendors[Item],tblVendors[Preferred Vendor])</f>
        <v>Sysco</v>
      </c>
    </row>
    <row r="4" spans="1:9" x14ac:dyDescent="0.25">
      <c r="A4" s="1" t="s">
        <v>6</v>
      </c>
      <c r="B4" s="1" t="str">
        <f>_xlfn.XLOOKUP(Table6[[#This Row],[Item]],tblBeginningInventory[Item],tblBeginningInventory[Category])</f>
        <v>Seafood</v>
      </c>
      <c r="C4" s="1">
        <f>_xlfn.XLOOKUP(Table6[[#This Row],[Item]],tblBeginningInventory[Item],tblBeginningInventory[Beginning Qty])</f>
        <v>82</v>
      </c>
      <c r="D4" s="1">
        <f>SUMIFS(tblTransactions[Quantity],tblTransactions[Item],Table6[[#This Row],[Item]],tblTransactions[Transaction Type],"Purchase")</f>
        <v>2197</v>
      </c>
      <c r="E4" s="1">
        <f>SUMIFS(tblTransactions[Quantity],tblTransactions[Item],Table6[[#This Row],[Item]],tblTransactions[Transaction Type],"Usage")</f>
        <v>867</v>
      </c>
      <c r="F4" s="1">
        <f>Table6[[#This Row],[Beginning Qty]]+Table6[[#This Row],[Purchases]]-Table6[[#This Row],[Usage]]</f>
        <v>1412</v>
      </c>
      <c r="G4" s="7">
        <f>_xlfn.XLOOKUP(Table6[[#This Row],[Item]],tblBeginningInventory[Item],tblBeginningInventory[Unit Cost])</f>
        <v>9.75</v>
      </c>
      <c r="H4" s="7">
        <f>Table6[[#This Row],[Usage]]*Table6[[#This Row],[Unit Cost]]</f>
        <v>8453.25</v>
      </c>
      <c r="I4" s="1" t="str">
        <f>_xlfn.XLOOKUP(Table6[[#This Row],[Item]],tblVendors[Item],tblVendors[Preferred Vendor])</f>
        <v>US Foods</v>
      </c>
    </row>
    <row r="5" spans="1:9" x14ac:dyDescent="0.25">
      <c r="A5" s="1" t="s">
        <v>7</v>
      </c>
      <c r="B5" s="1" t="str">
        <f>_xlfn.XLOOKUP(Table6[[#This Row],[Item]],tblBeginningInventory[Item],tblBeginningInventory[Category])</f>
        <v>Beverage</v>
      </c>
      <c r="C5" s="1">
        <f>_xlfn.XLOOKUP(Table6[[#This Row],[Item]],tblBeginningInventory[Item],tblBeginningInventory[Beginning Qty])</f>
        <v>164</v>
      </c>
      <c r="D5" s="1">
        <f>SUMIFS(tblTransactions[Quantity],tblTransactions[Item],Table6[[#This Row],[Item]],tblTransactions[Transaction Type],"Purchase")</f>
        <v>1808</v>
      </c>
      <c r="E5" s="1">
        <f>SUMIFS(tblTransactions[Quantity],tblTransactions[Item],Table6[[#This Row],[Item]],tblTransactions[Transaction Type],"Usage")</f>
        <v>438</v>
      </c>
      <c r="F5" s="1">
        <f>Table6[[#This Row],[Beginning Qty]]+Table6[[#This Row],[Purchases]]-Table6[[#This Row],[Usage]]</f>
        <v>1534</v>
      </c>
      <c r="G5" s="7">
        <f>_xlfn.XLOOKUP(Table6[[#This Row],[Item]],tblBeginningInventory[Item],tblBeginningInventory[Unit Cost])</f>
        <v>115</v>
      </c>
      <c r="H5" s="7">
        <f>Table6[[#This Row],[Usage]]*Table6[[#This Row],[Unit Cost]]</f>
        <v>50370</v>
      </c>
      <c r="I5" s="1" t="str">
        <f>_xlfn.XLOOKUP(Table6[[#This Row],[Item]],tblVendors[Item],tblVendors[Preferred Vendor])</f>
        <v>Southern Glazers</v>
      </c>
    </row>
    <row r="6" spans="1:9" x14ac:dyDescent="0.25">
      <c r="A6" s="1" t="s">
        <v>9</v>
      </c>
      <c r="B6" s="1" t="str">
        <f>_xlfn.XLOOKUP(Table6[[#This Row],[Item]],tblBeginningInventory[Item],tblBeginningInventory[Category])</f>
        <v>Beverage</v>
      </c>
      <c r="C6" s="1">
        <f>_xlfn.XLOOKUP(Table6[[#This Row],[Item]],tblBeginningInventory[Item],tblBeginningInventory[Beginning Qty])</f>
        <v>128</v>
      </c>
      <c r="D6" s="1">
        <f>SUMIFS(tblTransactions[Quantity],tblTransactions[Item],Table6[[#This Row],[Item]],tblTransactions[Transaction Type],"Purchase")</f>
        <v>1529</v>
      </c>
      <c r="E6" s="1">
        <f>SUMIFS(tblTransactions[Quantity],tblTransactions[Item],Table6[[#This Row],[Item]],tblTransactions[Transaction Type],"Usage")</f>
        <v>479</v>
      </c>
      <c r="F6" s="1">
        <f>Table6[[#This Row],[Beginning Qty]]+Table6[[#This Row],[Purchases]]-Table6[[#This Row],[Usage]]</f>
        <v>1178</v>
      </c>
      <c r="G6" s="7">
        <f>_xlfn.XLOOKUP(Table6[[#This Row],[Item]],tblBeginningInventory[Item],tblBeginningInventory[Unit Cost])</f>
        <v>8.5</v>
      </c>
      <c r="H6" s="7">
        <f>Table6[[#This Row],[Usage]]*Table6[[#This Row],[Unit Cost]]</f>
        <v>4071.5</v>
      </c>
      <c r="I6" s="1" t="str">
        <f>_xlfn.XLOOKUP(Table6[[#This Row],[Item]],tblVendors[Item],tblVendors[Preferred Vendor])</f>
        <v>Southern Glazers</v>
      </c>
    </row>
    <row r="7" spans="1:9" x14ac:dyDescent="0.25">
      <c r="A7" s="1" t="s">
        <v>10</v>
      </c>
      <c r="B7" s="1" t="str">
        <f>_xlfn.XLOOKUP(Table6[[#This Row],[Item]],tblBeginningInventory[Item],tblBeginningInventory[Category])</f>
        <v>Beverage</v>
      </c>
      <c r="C7" s="1">
        <f>_xlfn.XLOOKUP(Table6[[#This Row],[Item]],tblBeginningInventory[Item],tblBeginningInventory[Beginning Qty])</f>
        <v>87</v>
      </c>
      <c r="D7" s="1">
        <f>SUMIFS(tblTransactions[Quantity],tblTransactions[Item],Table6[[#This Row],[Item]],tblTransactions[Transaction Type],"Purchase")</f>
        <v>1520</v>
      </c>
      <c r="E7" s="1">
        <f>SUMIFS(tblTransactions[Quantity],tblTransactions[Item],Table6[[#This Row],[Item]],tblTransactions[Transaction Type],"Usage")</f>
        <v>574</v>
      </c>
      <c r="F7" s="1">
        <f>Table6[[#This Row],[Beginning Qty]]+Table6[[#This Row],[Purchases]]-Table6[[#This Row],[Usage]]</f>
        <v>1033</v>
      </c>
      <c r="G7" s="7">
        <f>_xlfn.XLOOKUP(Table6[[#This Row],[Item]],tblBeginningInventory[Item],tblBeginningInventory[Unit Cost])</f>
        <v>22</v>
      </c>
      <c r="H7" s="7">
        <f>Table6[[#This Row],[Usage]]*Table6[[#This Row],[Unit Cost]]</f>
        <v>12628</v>
      </c>
      <c r="I7" s="1" t="str">
        <f>_xlfn.XLOOKUP(Table6[[#This Row],[Item]],tblVendors[Item],tblVendors[Preferred Vendor])</f>
        <v>Southern Glazers</v>
      </c>
    </row>
    <row r="8" spans="1:9" x14ac:dyDescent="0.25">
      <c r="A8" s="1" t="s">
        <v>11</v>
      </c>
      <c r="B8" s="1" t="str">
        <f>_xlfn.XLOOKUP(Table6[[#This Row],[Item]],tblBeginningInventory[Item],tblBeginningInventory[Category])</f>
        <v>Produce</v>
      </c>
      <c r="C8" s="1">
        <f>_xlfn.XLOOKUP(Table6[[#This Row],[Item]],tblBeginningInventory[Item],tblBeginningInventory[Beginning Qty])</f>
        <v>69</v>
      </c>
      <c r="D8" s="1">
        <f>SUMIFS(tblTransactions[Quantity],tblTransactions[Item],Table6[[#This Row],[Item]],tblTransactions[Transaction Type],"Purchase")</f>
        <v>1766</v>
      </c>
      <c r="E8" s="1">
        <f>SUMIFS(tblTransactions[Quantity],tblTransactions[Item],Table6[[#This Row],[Item]],tblTransactions[Transaction Type],"Usage")</f>
        <v>523</v>
      </c>
      <c r="F8" s="1">
        <f>Table6[[#This Row],[Beginning Qty]]+Table6[[#This Row],[Purchases]]-Table6[[#This Row],[Usage]]</f>
        <v>1312</v>
      </c>
      <c r="G8" s="7">
        <f>_xlfn.XLOOKUP(Table6[[#This Row],[Item]],tblBeginningInventory[Item],tblBeginningInventory[Unit Cost])</f>
        <v>1.1000000000000001</v>
      </c>
      <c r="H8" s="7">
        <f>Table6[[#This Row],[Usage]]*Table6[[#This Row],[Unit Cost]]</f>
        <v>575.30000000000007</v>
      </c>
      <c r="I8" s="1" t="str">
        <f>_xlfn.XLOOKUP(Table6[[#This Row],[Item]],tblVendors[Item],tblVendors[Preferred Vendor])</f>
        <v>FreshPoint</v>
      </c>
    </row>
    <row r="9" spans="1:9" x14ac:dyDescent="0.25">
      <c r="A9" s="1" t="s">
        <v>13</v>
      </c>
      <c r="B9" s="1" t="str">
        <f>_xlfn.XLOOKUP(Table6[[#This Row],[Item]],tblBeginningInventory[Item],tblBeginningInventory[Category])</f>
        <v>Produce</v>
      </c>
      <c r="C9" s="1">
        <f>_xlfn.XLOOKUP(Table6[[#This Row],[Item]],tblBeginningInventory[Item],tblBeginningInventory[Beginning Qty])</f>
        <v>157</v>
      </c>
      <c r="D9" s="1">
        <f>SUMIFS(tblTransactions[Quantity],tblTransactions[Item],Table6[[#This Row],[Item]],tblTransactions[Transaction Type],"Purchase")</f>
        <v>1425</v>
      </c>
      <c r="E9" s="1">
        <f>SUMIFS(tblTransactions[Quantity],tblTransactions[Item],Table6[[#This Row],[Item]],tblTransactions[Transaction Type],"Usage")</f>
        <v>733</v>
      </c>
      <c r="F9" s="1">
        <f>Table6[[#This Row],[Beginning Qty]]+Table6[[#This Row],[Purchases]]-Table6[[#This Row],[Usage]]</f>
        <v>849</v>
      </c>
      <c r="G9" s="7">
        <f>_xlfn.XLOOKUP(Table6[[#This Row],[Item]],tblBeginningInventory[Item],tblBeginningInventory[Unit Cost])</f>
        <v>1.35</v>
      </c>
      <c r="H9" s="7">
        <f>Table6[[#This Row],[Usage]]*Table6[[#This Row],[Unit Cost]]</f>
        <v>989.55000000000007</v>
      </c>
      <c r="I9" s="1" t="str">
        <f>_xlfn.XLOOKUP(Table6[[#This Row],[Item]],tblVendors[Item],tblVendors[Preferred Vendor])</f>
        <v>FreshPoint</v>
      </c>
    </row>
    <row r="10" spans="1:9" x14ac:dyDescent="0.25">
      <c r="A10" s="1" t="s">
        <v>14</v>
      </c>
      <c r="B10" s="1" t="str">
        <f>_xlfn.XLOOKUP(Table6[[#This Row],[Item]],tblBeginningInventory[Item],tblBeginningInventory[Category])</f>
        <v>Dairy</v>
      </c>
      <c r="C10" s="1">
        <f>_xlfn.XLOOKUP(Table6[[#This Row],[Item]],tblBeginningInventory[Item],tblBeginningInventory[Beginning Qty])</f>
        <v>197</v>
      </c>
      <c r="D10" s="1">
        <f>SUMIFS(tblTransactions[Quantity],tblTransactions[Item],Table6[[#This Row],[Item]],tblTransactions[Transaction Type],"Purchase")</f>
        <v>1546</v>
      </c>
      <c r="E10" s="1">
        <f>SUMIFS(tblTransactions[Quantity],tblTransactions[Item],Table6[[#This Row],[Item]],tblTransactions[Transaction Type],"Usage")</f>
        <v>478</v>
      </c>
      <c r="F10" s="1">
        <f>Table6[[#This Row],[Beginning Qty]]+Table6[[#This Row],[Purchases]]-Table6[[#This Row],[Usage]]</f>
        <v>1265</v>
      </c>
      <c r="G10" s="7">
        <f>_xlfn.XLOOKUP(Table6[[#This Row],[Item]],tblBeginningInventory[Item],tblBeginningInventory[Unit Cost])</f>
        <v>2.8</v>
      </c>
      <c r="H10" s="7">
        <f>Table6[[#This Row],[Usage]]*Table6[[#This Row],[Unit Cost]]</f>
        <v>1338.3999999999999</v>
      </c>
      <c r="I10" s="1" t="str">
        <f>_xlfn.XLOOKUP(Table6[[#This Row],[Item]],tblVendors[Item],tblVendors[Preferred Vendor])</f>
        <v>Sysco</v>
      </c>
    </row>
    <row r="11" spans="1:9" x14ac:dyDescent="0.25">
      <c r="A11" s="1" t="s">
        <v>15</v>
      </c>
      <c r="B11" s="1" t="str">
        <f>_xlfn.XLOOKUP(Table6[[#This Row],[Item]],tblBeginningInventory[Item],tblBeginningInventory[Category])</f>
        <v>Dairy</v>
      </c>
      <c r="C11" s="1">
        <f>_xlfn.XLOOKUP(Table6[[#This Row],[Item]],tblBeginningInventory[Item],tblBeginningInventory[Beginning Qty])</f>
        <v>203</v>
      </c>
      <c r="D11" s="1">
        <f>SUMIFS(tblTransactions[Quantity],tblTransactions[Item],Table6[[#This Row],[Item]],tblTransactions[Transaction Type],"Purchase")</f>
        <v>958</v>
      </c>
      <c r="E11" s="1">
        <f>SUMIFS(tblTransactions[Quantity],tblTransactions[Item],Table6[[#This Row],[Item]],tblTransactions[Transaction Type],"Usage")</f>
        <v>656</v>
      </c>
      <c r="F11" s="1">
        <f>Table6[[#This Row],[Beginning Qty]]+Table6[[#This Row],[Purchases]]-Table6[[#This Row],[Usage]]</f>
        <v>505</v>
      </c>
      <c r="G11" s="7">
        <f>_xlfn.XLOOKUP(Table6[[#This Row],[Item]],tblBeginningInventory[Item],tblBeginningInventory[Unit Cost])</f>
        <v>4.5999999999999996</v>
      </c>
      <c r="H11" s="7">
        <f>Table6[[#This Row],[Usage]]*Table6[[#This Row],[Unit Cost]]</f>
        <v>3017.6</v>
      </c>
      <c r="I11" s="1" t="str">
        <f>_xlfn.XLOOKUP(Table6[[#This Row],[Item]],tblVendors[Item],tblVendors[Preferred Vendor])</f>
        <v>Sysco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57D1-E747-480F-A6EC-E8068BB6038A}">
  <dimension ref="A1:D6"/>
  <sheetViews>
    <sheetView tabSelected="1" zoomScale="60" zoomScaleNormal="60" workbookViewId="0">
      <selection activeCell="I25" sqref="I25"/>
    </sheetView>
  </sheetViews>
  <sheetFormatPr defaultRowHeight="15" x14ac:dyDescent="0.25"/>
  <cols>
    <col min="1" max="1" width="23.5703125" bestFit="1" customWidth="1"/>
    <col min="2" max="2" width="18" bestFit="1" customWidth="1"/>
    <col min="3" max="3" width="24" bestFit="1" customWidth="1"/>
    <col min="4" max="4" width="27" bestFit="1" customWidth="1"/>
  </cols>
  <sheetData>
    <row r="1" spans="1:4" s="10" customFormat="1" ht="25.5" x14ac:dyDescent="0.35">
      <c r="A1" s="11" t="s">
        <v>36</v>
      </c>
      <c r="B1" s="11" t="s">
        <v>37</v>
      </c>
      <c r="C1" s="11" t="s">
        <v>38</v>
      </c>
      <c r="D1" s="11" t="s">
        <v>39</v>
      </c>
    </row>
    <row r="2" spans="1:4" ht="28.5" x14ac:dyDescent="0.45">
      <c r="A2" s="12">
        <f>SUM(Table6[Purchases])</f>
        <v>15144</v>
      </c>
      <c r="B2" s="13">
        <f>SUM(Table6[Usage])</f>
        <v>6362</v>
      </c>
      <c r="C2" s="14">
        <f>SUM(Table6[COGS])</f>
        <v>94820.6</v>
      </c>
      <c r="D2" s="14">
        <f>MAX(Table6[COGS])</f>
        <v>50370</v>
      </c>
    </row>
    <row r="3" spans="1:4" ht="16.5" x14ac:dyDescent="0.25">
      <c r="A3" s="6"/>
    </row>
    <row r="4" spans="1:4" x14ac:dyDescent="0.25">
      <c r="A4" s="5"/>
    </row>
    <row r="6" spans="1:4" x14ac:dyDescent="0.25">
      <c r="A6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AEA7-44FB-4763-BD04-D5C26D4464F2}">
  <dimension ref="A3:B9"/>
  <sheetViews>
    <sheetView workbookViewId="0">
      <selection activeCell="E6" sqref="E6"/>
    </sheetView>
  </sheetViews>
  <sheetFormatPr defaultRowHeight="15" x14ac:dyDescent="0.25"/>
  <cols>
    <col min="1" max="1" width="13.42578125" bestFit="1" customWidth="1"/>
    <col min="2" max="2" width="13.28515625" bestFit="1" customWidth="1"/>
  </cols>
  <sheetData>
    <row r="3" spans="1:2" x14ac:dyDescent="0.25">
      <c r="A3" s="8" t="s">
        <v>33</v>
      </c>
      <c r="B3" t="s">
        <v>35</v>
      </c>
    </row>
    <row r="4" spans="1:2" x14ac:dyDescent="0.25">
      <c r="A4" s="9" t="s">
        <v>25</v>
      </c>
      <c r="B4" s="7">
        <v>67069.5</v>
      </c>
    </row>
    <row r="5" spans="1:2" x14ac:dyDescent="0.25">
      <c r="A5" s="9" t="s">
        <v>21</v>
      </c>
      <c r="B5" s="7">
        <v>4356</v>
      </c>
    </row>
    <row r="6" spans="1:2" x14ac:dyDescent="0.25">
      <c r="A6" s="9" t="s">
        <v>27</v>
      </c>
      <c r="B6" s="7">
        <v>13377</v>
      </c>
    </row>
    <row r="7" spans="1:2" x14ac:dyDescent="0.25">
      <c r="A7" s="9" t="s">
        <v>23</v>
      </c>
      <c r="B7" s="7">
        <v>1564.8500000000001</v>
      </c>
    </row>
    <row r="8" spans="1:2" x14ac:dyDescent="0.25">
      <c r="A8" s="9" t="s">
        <v>26</v>
      </c>
      <c r="B8" s="7">
        <v>8453.25</v>
      </c>
    </row>
    <row r="9" spans="1:2" x14ac:dyDescent="0.25">
      <c r="A9" s="9" t="s">
        <v>34</v>
      </c>
      <c r="B9" s="7">
        <v>94820.6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7FE5-00B8-4086-BDE3-876D10ADBEE1}">
  <dimension ref="A3:B8"/>
  <sheetViews>
    <sheetView workbookViewId="0">
      <selection activeCell="E3" sqref="E3"/>
    </sheetView>
  </sheetViews>
  <sheetFormatPr defaultRowHeight="15" x14ac:dyDescent="0.25"/>
  <cols>
    <col min="1" max="1" width="16" bestFit="1" customWidth="1"/>
    <col min="2" max="2" width="13.28515625" bestFit="1" customWidth="1"/>
  </cols>
  <sheetData>
    <row r="3" spans="1:2" x14ac:dyDescent="0.25">
      <c r="A3" s="8" t="s">
        <v>33</v>
      </c>
      <c r="B3" t="s">
        <v>35</v>
      </c>
    </row>
    <row r="4" spans="1:2" x14ac:dyDescent="0.25">
      <c r="A4" s="9" t="s">
        <v>8</v>
      </c>
      <c r="B4" s="7">
        <v>67069.5</v>
      </c>
    </row>
    <row r="5" spans="1:2" x14ac:dyDescent="0.25">
      <c r="A5" s="9" t="s">
        <v>3</v>
      </c>
      <c r="B5" s="7">
        <v>18328.25</v>
      </c>
    </row>
    <row r="6" spans="1:2" x14ac:dyDescent="0.25">
      <c r="A6" s="9" t="s">
        <v>5</v>
      </c>
      <c r="B6" s="7">
        <v>7858</v>
      </c>
    </row>
    <row r="7" spans="1:2" x14ac:dyDescent="0.25">
      <c r="A7" s="9" t="s">
        <v>12</v>
      </c>
      <c r="B7" s="7">
        <v>1564.8500000000001</v>
      </c>
    </row>
    <row r="8" spans="1:2" x14ac:dyDescent="0.25">
      <c r="A8" s="9" t="s">
        <v>34</v>
      </c>
      <c r="B8" s="7">
        <v>94820.6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3178-DB63-4191-953E-F0E76DA63022}">
  <dimension ref="A3:B14"/>
  <sheetViews>
    <sheetView workbookViewId="0">
      <selection activeCell="H34" sqref="H34"/>
    </sheetView>
  </sheetViews>
  <sheetFormatPr defaultRowHeight="15" x14ac:dyDescent="0.25"/>
  <cols>
    <col min="1" max="1" width="17" bestFit="1" customWidth="1"/>
    <col min="2" max="2" width="13.28515625" bestFit="1" customWidth="1"/>
  </cols>
  <sheetData>
    <row r="3" spans="1:2" x14ac:dyDescent="0.25">
      <c r="A3" s="8" t="s">
        <v>33</v>
      </c>
      <c r="B3" t="s">
        <v>35</v>
      </c>
    </row>
    <row r="4" spans="1:2" x14ac:dyDescent="0.25">
      <c r="A4" s="9" t="s">
        <v>7</v>
      </c>
      <c r="B4" s="7">
        <v>50370</v>
      </c>
    </row>
    <row r="5" spans="1:2" x14ac:dyDescent="0.25">
      <c r="A5" s="9" t="s">
        <v>10</v>
      </c>
      <c r="B5" s="7">
        <v>12628</v>
      </c>
    </row>
    <row r="6" spans="1:2" x14ac:dyDescent="0.25">
      <c r="A6" s="9" t="s">
        <v>2</v>
      </c>
      <c r="B6" s="7">
        <v>9875</v>
      </c>
    </row>
    <row r="7" spans="1:2" x14ac:dyDescent="0.25">
      <c r="A7" s="9" t="s">
        <v>6</v>
      </c>
      <c r="B7" s="7">
        <v>8453.25</v>
      </c>
    </row>
    <row r="8" spans="1:2" x14ac:dyDescent="0.25">
      <c r="A8" s="9" t="s">
        <v>9</v>
      </c>
      <c r="B8" s="7">
        <v>4071.5</v>
      </c>
    </row>
    <row r="9" spans="1:2" x14ac:dyDescent="0.25">
      <c r="A9" s="9" t="s">
        <v>4</v>
      </c>
      <c r="B9" s="7">
        <v>3502</v>
      </c>
    </row>
    <row r="10" spans="1:2" x14ac:dyDescent="0.25">
      <c r="A10" s="9" t="s">
        <v>15</v>
      </c>
      <c r="B10" s="7">
        <v>3017.6</v>
      </c>
    </row>
    <row r="11" spans="1:2" x14ac:dyDescent="0.25">
      <c r="A11" s="9" t="s">
        <v>14</v>
      </c>
      <c r="B11" s="7">
        <v>1338.3999999999999</v>
      </c>
    </row>
    <row r="12" spans="1:2" x14ac:dyDescent="0.25">
      <c r="A12" s="9" t="s">
        <v>13</v>
      </c>
      <c r="B12" s="7">
        <v>989.55000000000007</v>
      </c>
    </row>
    <row r="13" spans="1:2" x14ac:dyDescent="0.25">
      <c r="A13" s="9" t="s">
        <v>11</v>
      </c>
      <c r="B13" s="7">
        <v>575.30000000000007</v>
      </c>
    </row>
    <row r="14" spans="1:2" x14ac:dyDescent="0.25">
      <c r="A14" s="9" t="s">
        <v>34</v>
      </c>
      <c r="B14" s="7">
        <v>94820.6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5C9AC-B222-47FE-A924-28A9B970EB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Beginning Inventory</vt:lpstr>
      <vt:lpstr>Inventory Transactions</vt:lpstr>
      <vt:lpstr>Vendor Master</vt:lpstr>
      <vt:lpstr>Sheet3</vt:lpstr>
      <vt:lpstr>Inventory Analysis</vt:lpstr>
      <vt:lpstr>Dashboard</vt:lpstr>
      <vt:lpstr>Category Summary</vt:lpstr>
      <vt:lpstr>Vendor Summary</vt:lpstr>
      <vt:lpstr>Top Cost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Wood</dc:creator>
  <cp:lastModifiedBy>Tyler Wood</cp:lastModifiedBy>
  <dcterms:created xsi:type="dcterms:W3CDTF">2026-08-17T20:03:29Z</dcterms:created>
  <dcterms:modified xsi:type="dcterms:W3CDTF">2026-08-17T20:47:19Z</dcterms:modified>
</cp:coreProperties>
</file>