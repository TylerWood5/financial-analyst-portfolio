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7893da704d8080/Resumes etc/Github Projects/"/>
    </mc:Choice>
  </mc:AlternateContent>
  <xr:revisionPtr revIDLastSave="21" documentId="8_{52AD0437-EF2D-4F22-8AA6-3F349A64AC8B}" xr6:coauthVersionLast="47" xr6:coauthVersionMax="47" xr10:uidLastSave="{066E7354-DC2E-4907-9218-C76026B1E2BF}"/>
  <bookViews>
    <workbookView xWindow="10260" yWindow="0" windowWidth="18540" windowHeight="15600" tabRatio="950" xr2:uid="{8D30016C-8409-43CC-A743-662E71D86C84}"/>
  </bookViews>
  <sheets>
    <sheet name="Executive Dashboard" sheetId="1" r:id="rId1"/>
    <sheet name="Executive Summary" sheetId="6" r:id="rId2"/>
    <sheet name="Financial Performance" sheetId="7" r:id="rId3"/>
    <sheet name="Maintenance Review" sheetId="10" r:id="rId4"/>
    <sheet name="Inventory &amp; COGS Review" sheetId="9" r:id="rId5"/>
    <sheet name="KPI Trends" sheetId="8" r:id="rId6"/>
    <sheet name="Financials" sheetId="2" r:id="rId7"/>
    <sheet name="Maintenance" sheetId="3" r:id="rId8"/>
    <sheet name="Inventory" sheetId="4" r:id="rId9"/>
    <sheet name="Resort KPIs" sheetId="5" r:id="rId10"/>
  </sheets>
  <definedNames>
    <definedName name="ExternalData_1" localSheetId="6" hidden="1">Financials!$A$1:$E$61</definedName>
    <definedName name="ExternalData_2" localSheetId="7" hidden="1">Maintenance!$A$1:$E$61</definedName>
    <definedName name="ExternalData_3" localSheetId="8" hidden="1">Inventory!$A$1:$E$61</definedName>
    <definedName name="ExternalData_4" localSheetId="9" hidden="1">'Resort KPIs'!$A$1:$E$13</definedName>
  </definedNames>
  <calcPr calcId="191029"/>
  <pivotCaches>
    <pivotCache cacheId="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0" l="1"/>
  <c r="D7" i="10"/>
  <c r="B7" i="10"/>
  <c r="C7" i="10"/>
  <c r="G24" i="8"/>
  <c r="G25" i="8"/>
  <c r="G26" i="8"/>
  <c r="G27" i="8"/>
  <c r="G28" i="8"/>
  <c r="G29" i="8"/>
  <c r="G30" i="8"/>
  <c r="G31" i="8"/>
  <c r="G32" i="8"/>
  <c r="G33" i="8"/>
  <c r="G34" i="8"/>
  <c r="G23" i="8"/>
  <c r="F24" i="8"/>
  <c r="F25" i="8"/>
  <c r="F26" i="8"/>
  <c r="F27" i="8"/>
  <c r="F28" i="8"/>
  <c r="F29" i="8"/>
  <c r="F30" i="8"/>
  <c r="F31" i="8"/>
  <c r="F32" i="8"/>
  <c r="F33" i="8"/>
  <c r="F34" i="8"/>
  <c r="F23" i="8"/>
  <c r="B24" i="8"/>
  <c r="B25" i="8"/>
  <c r="B26" i="8"/>
  <c r="B27" i="8"/>
  <c r="B28" i="8"/>
  <c r="B29" i="8"/>
  <c r="B30" i="8"/>
  <c r="B31" i="8"/>
  <c r="B32" i="8"/>
  <c r="B33" i="8"/>
  <c r="B34" i="8"/>
  <c r="B23" i="8"/>
  <c r="D3" i="10"/>
  <c r="D2" i="10"/>
  <c r="D6" i="10"/>
  <c r="D5" i="10"/>
  <c r="D4" i="10"/>
  <c r="C3" i="10"/>
  <c r="C2" i="10"/>
  <c r="C6" i="10"/>
  <c r="C5" i="10"/>
  <c r="C4" i="10"/>
  <c r="B3" i="10"/>
  <c r="B2" i="10"/>
  <c r="B6" i="10"/>
  <c r="B5" i="10"/>
  <c r="B4" i="10"/>
  <c r="D3" i="9"/>
  <c r="D4" i="9"/>
  <c r="D5" i="9"/>
  <c r="D6" i="9"/>
  <c r="D2" i="9"/>
  <c r="C3" i="9"/>
  <c r="C4" i="9"/>
  <c r="C5" i="9"/>
  <c r="C6" i="9"/>
  <c r="C2" i="9"/>
  <c r="B3" i="9"/>
  <c r="B4" i="9"/>
  <c r="B5" i="9"/>
  <c r="B6" i="9"/>
  <c r="B2" i="9"/>
  <c r="D3" i="7"/>
  <c r="D4" i="7"/>
  <c r="D5" i="7"/>
  <c r="D6" i="7"/>
  <c r="D2" i="7"/>
  <c r="D7" i="7" s="1"/>
  <c r="C3" i="7"/>
  <c r="C4" i="7"/>
  <c r="C5" i="7"/>
  <c r="C6" i="7"/>
  <c r="C2" i="7"/>
  <c r="B2" i="7"/>
  <c r="B6" i="7"/>
  <c r="B5" i="7"/>
  <c r="B4" i="7"/>
  <c r="B3" i="7"/>
  <c r="H4" i="1"/>
  <c r="G4" i="1"/>
  <c r="F4" i="1"/>
  <c r="E4" i="1"/>
  <c r="C4" i="1"/>
  <c r="B4" i="1"/>
  <c r="A4" i="1"/>
  <c r="D4" i="1" l="1"/>
  <c r="E6" i="10"/>
  <c r="E5" i="10"/>
  <c r="E4" i="10"/>
  <c r="E3" i="10"/>
  <c r="E2" i="10"/>
  <c r="F6" i="9"/>
  <c r="E4" i="9"/>
  <c r="F5" i="9"/>
  <c r="F4" i="9"/>
  <c r="F2" i="9"/>
  <c r="F3" i="9"/>
  <c r="E6" i="9"/>
  <c r="E3" i="9"/>
  <c r="E5" i="9"/>
  <c r="C7" i="9"/>
  <c r="E2" i="9"/>
  <c r="D7" i="9"/>
  <c r="B7" i="9"/>
  <c r="E6" i="7"/>
  <c r="F6" i="7" s="1"/>
  <c r="B7" i="7"/>
  <c r="C7" i="7"/>
  <c r="E7" i="7" s="1"/>
  <c r="F7" i="7" s="1"/>
  <c r="E5" i="7"/>
  <c r="F5" i="7" s="1"/>
  <c r="E4" i="7"/>
  <c r="F4" i="7" s="1"/>
  <c r="E2" i="7"/>
  <c r="F2" i="7" s="1"/>
  <c r="E3" i="7"/>
  <c r="F3" i="7" s="1"/>
  <c r="F7" i="9" l="1"/>
  <c r="E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02C89A-8619-463C-B0FB-0C5789393A82}" keepAlive="1" name="Query - Inventory_Summary" description="Connection to the 'Inventory_Summary' query in the workbook." type="5" refreshedVersion="8" background="1" saveData="1">
    <dbPr connection="Provider=Microsoft.Mashup.OleDb.1;Data Source=$Workbook$;Location=Inventory_Summary;Extended Properties=&quot;&quot;" command="SELECT * FROM [Inventory_Summary]"/>
  </connection>
  <connection id="2" xr16:uid="{7CE0067C-812D-455B-90C6-B45797AAD809}" keepAlive="1" name="Query - Maintenance_Summary" description="Connection to the 'Maintenance_Summary' query in the workbook." type="5" refreshedVersion="8" background="1" saveData="1">
    <dbPr connection="Provider=Microsoft.Mashup.OleDb.1;Data Source=$Workbook$;Location=Maintenance_Summary;Extended Properties=&quot;&quot;" command="SELECT * FROM [Maintenance_Summary]"/>
  </connection>
  <connection id="3" xr16:uid="{C789251D-4B92-4240-A4C5-963E8C89969F}" keepAlive="1" name="Query - Monthly_Financials" description="Connection to the 'Monthly_Financials' query in the workbook." type="5" refreshedVersion="8" background="1" saveData="1">
    <dbPr connection="Provider=Microsoft.Mashup.OleDb.1;Data Source=$Workbook$;Location=Monthly_Financials;Extended Properties=&quot;&quot;" command="SELECT * FROM [Monthly_Financials]"/>
  </connection>
  <connection id="4" xr16:uid="{63B06E0F-B8DE-45BA-8E65-71BED4B67033}" keepAlive="1" name="Query - Resort_KPIs" description="Connection to the 'Resort_KPIs' query in the workbook." type="5" refreshedVersion="8" background="1" saveData="1">
    <dbPr connection="Provider=Microsoft.Mashup.OleDb.1;Data Source=$Workbook$;Location=Resort_KPIs;Extended Properties=&quot;&quot;" command="SELECT * FROM [Resort_KPIs]"/>
  </connection>
</connections>
</file>

<file path=xl/sharedStrings.xml><?xml version="1.0" encoding="utf-8"?>
<sst xmlns="http://schemas.openxmlformats.org/spreadsheetml/2006/main" count="488" uniqueCount="67">
  <si>
    <t>Month</t>
  </si>
  <si>
    <t>Department</t>
  </si>
  <si>
    <t>Revenue</t>
  </si>
  <si>
    <t>Budgeted Cost</t>
  </si>
  <si>
    <t>Actual Cost</t>
  </si>
  <si>
    <t>Jan</t>
  </si>
  <si>
    <t>Food &amp; Beverage</t>
  </si>
  <si>
    <t>Housekeeping</t>
  </si>
  <si>
    <t>Gaming Operations</t>
  </si>
  <si>
    <t>Entertainment &amp; Events</t>
  </si>
  <si>
    <t>Facilities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</si>
  <si>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</si>
  <si>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</si>
  <si>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</si>
  <si>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</si>
  <si>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</si>
  <si>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</si>
  <si>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</si>
  <si>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</si>
  <si>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</si>
  <si>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</si>
  <si>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</si>
  <si>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Work Orders</t>
  </si>
  <si>
    <t>Maintenance Cost</t>
  </si>
  <si>
    <t>Top Vendor Spend</t>
  </si>
  <si>
    <t>Category</t>
  </si>
  <si>
    <t>Purchases</t>
  </si>
  <si>
    <t>COGS</t>
  </si>
  <si>
    <t>Shrinkage</t>
  </si>
  <si>
    <t>Meat</t>
  </si>
  <si>
    <t>Seafood</t>
  </si>
  <si>
    <t>Beverage</t>
  </si>
  <si>
    <t>Produce</t>
  </si>
  <si>
    <t>Dairy</t>
  </si>
  <si>
    <t>Occupancy %</t>
  </si>
  <si>
    <t>ADR</t>
  </si>
  <si>
    <t>RevPAR</t>
  </si>
  <si>
    <t>Guest Count</t>
  </si>
  <si>
    <t>Budget Cost</t>
  </si>
  <si>
    <t>Variance %</t>
  </si>
  <si>
    <t>SILVER SANDS RESORT &amp; CASINO</t>
  </si>
  <si>
    <t>MONTHLY MANAGEMENT REPORT - MARCH 2025</t>
  </si>
  <si>
    <t>Variance $</t>
  </si>
  <si>
    <t>Total</t>
  </si>
  <si>
    <t>Row Labels</t>
  </si>
  <si>
    <t>Grand Total</t>
  </si>
  <si>
    <t>Sum of Revenue</t>
  </si>
  <si>
    <t>Sum of Budgeted Cost</t>
  </si>
  <si>
    <t>Totals</t>
  </si>
  <si>
    <t>COGS %</t>
  </si>
  <si>
    <t>Shrinkage %</t>
  </si>
  <si>
    <t>Vendor Spend</t>
  </si>
  <si>
    <t>Avg Cost Per Work Order</t>
  </si>
  <si>
    <t>Financial Performance</t>
  </si>
  <si>
    <t>Operational Performance</t>
  </si>
  <si>
    <t>Inventory &amp; COGS</t>
  </si>
  <si>
    <t>Maintenance Review</t>
  </si>
  <si>
    <t>Recommended Actions</t>
  </si>
  <si>
    <t>Executive Summary</t>
  </si>
  <si>
    <r>
      <t xml:space="preserve">Silver Sands Resort &amp; Casino generated approximately </t>
    </r>
    <r>
      <rPr>
        <b/>
        <sz val="11"/>
        <color theme="1"/>
        <rFont val="Segoe UI"/>
        <family val="2"/>
      </rPr>
      <t>$47.3 million in revenue</t>
    </r>
    <r>
      <rPr>
        <sz val="11"/>
        <color theme="1"/>
        <rFont val="Segoe UI"/>
        <family val="2"/>
      </rPr>
      <t xml:space="preserve"> during the reporting period. Actual operating costs exceeded budget by approximately </t>
    </r>
    <r>
      <rPr>
        <b/>
        <sz val="11"/>
        <color theme="1"/>
        <rFont val="Segoe UI"/>
        <family val="2"/>
      </rPr>
      <t>3.9%</t>
    </r>
    <r>
      <rPr>
        <sz val="11"/>
        <color theme="1"/>
        <rFont val="Segoe UI"/>
        <family val="2"/>
      </rPr>
      <t xml:space="preserve">, indicating moderate unfavorable variance versus plan. Housekeeping recorded the largest departmental variance at approximately </t>
    </r>
    <r>
      <rPr>
        <b/>
        <sz val="11"/>
        <color theme="1"/>
        <rFont val="Segoe UI"/>
        <family val="2"/>
      </rPr>
      <t>$148,128</t>
    </r>
    <r>
      <rPr>
        <sz val="11"/>
        <color theme="1"/>
        <rFont val="Segoe UI"/>
        <family val="2"/>
      </rPr>
      <t xml:space="preserve">, representing roughly </t>
    </r>
    <r>
      <rPr>
        <b/>
        <sz val="11"/>
        <color theme="1"/>
        <rFont val="Segoe UI"/>
        <family val="2"/>
      </rPr>
      <t>8% above budget</t>
    </r>
    <r>
      <rPr>
        <sz val="11"/>
        <color theme="1"/>
        <rFont val="Segoe UI"/>
        <family val="2"/>
      </rPr>
      <t>.</t>
    </r>
  </si>
  <si>
    <r>
      <t xml:space="preserve">Total Cost of Goods Sold (COGS) was approximately </t>
    </r>
    <r>
      <rPr>
        <b/>
        <sz val="11"/>
        <color theme="1"/>
        <rFont val="Segoe UI"/>
        <family val="2"/>
      </rPr>
      <t>$2.7 million</t>
    </r>
    <r>
      <rPr>
        <sz val="11"/>
        <color theme="1"/>
        <rFont val="Segoe UI"/>
        <family val="2"/>
      </rPr>
      <t xml:space="preserve"> during the reporting period. The </t>
    </r>
    <r>
      <rPr>
        <b/>
        <sz val="11"/>
        <color theme="1"/>
        <rFont val="Segoe UI"/>
        <family val="2"/>
      </rPr>
      <t>Dairy</t>
    </r>
    <r>
      <rPr>
        <sz val="11"/>
        <color theme="1"/>
        <rFont val="Segoe UI"/>
        <family val="2"/>
      </rPr>
      <t xml:space="preserve"> category represented the largest COGS component at approximately </t>
    </r>
    <r>
      <rPr>
        <b/>
        <sz val="11"/>
        <color theme="1"/>
        <rFont val="Segoe UI"/>
        <family val="2"/>
      </rPr>
      <t>$58,291</t>
    </r>
    <r>
      <rPr>
        <sz val="11"/>
        <color theme="1"/>
        <rFont val="Segoe UI"/>
        <family val="2"/>
      </rPr>
      <t xml:space="preserve">, with a COGS rate of roughly </t>
    </r>
    <r>
      <rPr>
        <b/>
        <sz val="11"/>
        <color theme="1"/>
        <rFont val="Segoe UI"/>
        <family val="2"/>
      </rPr>
      <t>83.1%</t>
    </r>
    <r>
      <rPr>
        <sz val="11"/>
        <color theme="1"/>
        <rFont val="Segoe UI"/>
        <family val="2"/>
      </rPr>
      <t xml:space="preserve">. </t>
    </r>
  </si>
  <si>
    <r>
      <t xml:space="preserve">Total maintenance spending was approximately </t>
    </r>
    <r>
      <rPr>
        <b/>
        <sz val="11"/>
        <color theme="1"/>
        <rFont val="Segoe UI"/>
        <family val="2"/>
      </rPr>
      <t>$3.2 million</t>
    </r>
    <r>
      <rPr>
        <sz val="11"/>
        <color theme="1"/>
        <rFont val="Segoe UI"/>
        <family val="2"/>
      </rPr>
      <t xml:space="preserve">. Gaming Operations generated the highest maintenance expenditure at approximately </t>
    </r>
    <r>
      <rPr>
        <b/>
        <sz val="11"/>
        <color theme="1"/>
        <rFont val="Segoe UI"/>
        <family val="2"/>
      </rPr>
      <t>$759,059</t>
    </r>
    <r>
      <rPr>
        <sz val="11"/>
        <color theme="1"/>
        <rFont val="Segoe UI"/>
        <family val="2"/>
      </rPr>
      <t xml:space="preserve">, while also recording the highest average cost per work order at approximately </t>
    </r>
    <r>
      <rPr>
        <b/>
        <sz val="11"/>
        <color theme="1"/>
        <rFont val="Segoe UI"/>
        <family val="2"/>
      </rPr>
      <t>$1,377.60</t>
    </r>
    <r>
      <rPr>
        <sz val="11"/>
        <color theme="1"/>
        <rFont val="Segoe UI"/>
        <family val="2"/>
      </rPr>
      <t>.</t>
    </r>
  </si>
  <si>
    <t>• Review spending controls within the Housekeeping department to address budget variance.</t>
  </si>
  <si>
    <t>• Management should continue monitoring category-level consumption trends to ensure inventory costs remain aligned with operating objectives.</t>
  </si>
  <si>
    <t>• Evaluate maintenance spending within Gaming Operations and assess opportunities for vendor and repair-cost optimization.</t>
  </si>
  <si>
    <t>• Maintain focus on occupancy performance to support continued revenue growth.</t>
  </si>
  <si>
    <r>
      <t xml:space="preserve">Property performance remained strong throughout the reporting period, with average occupancy of approximately </t>
    </r>
    <r>
      <rPr>
        <b/>
        <sz val="11"/>
        <color theme="1"/>
        <rFont val="Segoe UI"/>
        <family val="2"/>
      </rPr>
      <t>88.2%</t>
    </r>
    <r>
      <rPr>
        <sz val="11"/>
        <color theme="1"/>
        <rFont val="Segoe UI"/>
        <family val="2"/>
      </rPr>
      <t xml:space="preserve"> and RevPAR of approximately </t>
    </r>
    <r>
      <rPr>
        <b/>
        <sz val="11"/>
        <color theme="1"/>
        <rFont val="Segoe UI"/>
        <family val="2"/>
      </rPr>
      <t>$206.46</t>
    </r>
    <r>
      <rPr>
        <sz val="11"/>
        <color theme="1"/>
        <rFont val="Segoe UI"/>
        <family val="2"/>
      </rPr>
      <t>. These results indicate healthy demand levels and effective room revenue performance. Occupancy and RevPAR trends remained stable throughout the reporting period, supporting overall revenue performance.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</si>
</sst>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8" formatCode="0.0%"/>
    <numFmt numFmtId="171" formatCode="&quot;$&quot;#,##0.00"/>
    <numFmt numFmtId="173" formatCode="&quot;$&quot;0.0,,&quot;M&quot;"/>
    <numFmt numFmtId="175" formatCode="_(&quot;$&quot;* #,##0_);_(&quot;$&quot;* \(#,##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Segoe UI"/>
      <family val="2"/>
    </font>
    <font>
      <b/>
      <sz val="12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NumberFormat="1"/>
    <xf numFmtId="9" fontId="0" fillId="0" borderId="0" xfId="2" applyFont="1"/>
    <xf numFmtId="168" fontId="0" fillId="0" borderId="0" xfId="2" applyNumberFormat="1" applyFont="1"/>
    <xf numFmtId="171" fontId="0" fillId="0" borderId="0" xfId="0" applyNumberFormat="1"/>
    <xf numFmtId="44" fontId="0" fillId="0" borderId="0" xfId="0" applyNumberFormat="1"/>
    <xf numFmtId="173" fontId="0" fillId="0" borderId="0" xfId="0" applyNumberFormat="1"/>
    <xf numFmtId="0" fontId="5" fillId="0" borderId="0" xfId="0" applyFont="1" applyAlignment="1">
      <alignment vertical="center"/>
    </xf>
    <xf numFmtId="0" fontId="0" fillId="0" borderId="1" xfId="0" applyBorder="1"/>
    <xf numFmtId="173" fontId="0" fillId="0" borderId="1" xfId="0" applyNumberFormat="1" applyBorder="1"/>
    <xf numFmtId="44" fontId="0" fillId="0" borderId="1" xfId="0" applyNumberFormat="1" applyBorder="1"/>
    <xf numFmtId="9" fontId="0" fillId="0" borderId="1" xfId="2" applyFont="1" applyBorder="1"/>
    <xf numFmtId="0" fontId="3" fillId="0" borderId="0" xfId="0" applyFont="1"/>
    <xf numFmtId="0" fontId="4" fillId="2" borderId="0" xfId="0" applyFont="1" applyFill="1"/>
    <xf numFmtId="173" fontId="4" fillId="2" borderId="0" xfId="0" applyNumberFormat="1" applyFont="1" applyFill="1"/>
    <xf numFmtId="44" fontId="4" fillId="2" borderId="0" xfId="0" applyNumberFormat="1" applyFont="1" applyFill="1"/>
    <xf numFmtId="9" fontId="4" fillId="2" borderId="0" xfId="2" applyFont="1" applyFill="1"/>
    <xf numFmtId="0" fontId="0" fillId="0" borderId="0" xfId="0" applyBorder="1"/>
    <xf numFmtId="173" fontId="0" fillId="0" borderId="0" xfId="0" applyNumberFormat="1" applyBorder="1"/>
    <xf numFmtId="44" fontId="0" fillId="0" borderId="0" xfId="0" applyNumberFormat="1" applyBorder="1"/>
    <xf numFmtId="9" fontId="0" fillId="0" borderId="0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10" fillId="0" borderId="0" xfId="0" applyFont="1"/>
    <xf numFmtId="168" fontId="0" fillId="0" borderId="1" xfId="2" applyNumberFormat="1" applyFont="1" applyBorder="1"/>
    <xf numFmtId="168" fontId="4" fillId="2" borderId="0" xfId="2" applyNumberFormat="1" applyFont="1" applyFill="1"/>
    <xf numFmtId="0" fontId="2" fillId="4" borderId="0" xfId="0" applyFont="1" applyFill="1"/>
    <xf numFmtId="0" fontId="11" fillId="4" borderId="0" xfId="0" applyFont="1" applyFill="1" applyAlignment="1">
      <alignment vertical="center"/>
    </xf>
    <xf numFmtId="175" fontId="0" fillId="0" borderId="0" xfId="0" applyNumberFormat="1"/>
    <xf numFmtId="175" fontId="0" fillId="0" borderId="1" xfId="0" applyNumberFormat="1" applyBorder="1"/>
    <xf numFmtId="175" fontId="0" fillId="0" borderId="0" xfId="0" applyNumberFormat="1" applyBorder="1"/>
    <xf numFmtId="168" fontId="0" fillId="0" borderId="0" xfId="2" applyNumberFormat="1" applyFont="1" applyBorder="1"/>
    <xf numFmtId="0" fontId="0" fillId="5" borderId="0" xfId="0" applyFill="1" applyBorder="1"/>
    <xf numFmtId="0" fontId="0" fillId="5" borderId="0" xfId="0" applyFill="1"/>
    <xf numFmtId="0" fontId="0" fillId="0" borderId="0" xfId="0" applyNumberFormat="1" applyBorder="1"/>
    <xf numFmtId="0" fontId="0" fillId="0" borderId="1" xfId="0" applyNumberFormat="1" applyBorder="1"/>
    <xf numFmtId="44" fontId="0" fillId="0" borderId="0" xfId="1" applyNumberFormat="1" applyFont="1"/>
    <xf numFmtId="44" fontId="0" fillId="0" borderId="1" xfId="1" applyNumberFormat="1" applyFont="1" applyBorder="1"/>
    <xf numFmtId="44" fontId="0" fillId="5" borderId="0" xfId="0" applyNumberFormat="1" applyFill="1"/>
    <xf numFmtId="173" fontId="0" fillId="5" borderId="0" xfId="0" applyNumberFormat="1" applyFill="1"/>
    <xf numFmtId="44" fontId="0" fillId="0" borderId="0" xfId="1" applyNumberFormat="1" applyFont="1" applyBorder="1"/>
    <xf numFmtId="175" fontId="4" fillId="2" borderId="0" xfId="1" applyNumberFormat="1" applyFont="1" applyFill="1"/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2" fillId="4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73" fontId="7" fillId="0" borderId="0" xfId="0" applyNumberFormat="1" applyFont="1" applyAlignment="1">
      <alignment horizontal="center" vertical="top"/>
    </xf>
    <xf numFmtId="168" fontId="7" fillId="0" borderId="0" xfId="2" applyNumberFormat="1" applyFont="1" applyAlignment="1">
      <alignment horizontal="center" vertical="top"/>
    </xf>
    <xf numFmtId="44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/>
    </xf>
  </cellXfs>
  <cellStyles count="3">
    <cellStyle name="Currency" xfId="1" builtinId="4"/>
    <cellStyle name="Normal" xfId="0" builtinId="0"/>
    <cellStyle name="Percent" xfId="2" builtinId="5"/>
  </cellStyles>
  <dxfs count="15"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theme="6"/>
      </font>
    </dxf>
    <dxf>
      <font>
        <color rgb="FF9C0006"/>
      </font>
    </dxf>
    <dxf>
      <font>
        <color rgb="FF9C0006"/>
      </font>
    </dxf>
    <dxf>
      <font>
        <color theme="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[Silver_Sands_Monthly_Management_Report_2025.xlsx]KPI Trends!PivotTable2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>
                <a:effectLst/>
              </a:rPr>
              <a:t>Revenue vs Budget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 Trends'!$B$1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'KPI Trends'!$A$2:$A$14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Trends'!$B$2:$B$14</c:f>
              <c:numCache>
                <c:formatCode>General</c:formatCode>
                <c:ptCount val="12"/>
                <c:pt idx="0">
                  <c:v>3834786</c:v>
                </c:pt>
                <c:pt idx="1">
                  <c:v>3638227</c:v>
                </c:pt>
                <c:pt idx="2">
                  <c:v>3074261</c:v>
                </c:pt>
                <c:pt idx="3">
                  <c:v>4682017</c:v>
                </c:pt>
                <c:pt idx="4">
                  <c:v>4842478</c:v>
                </c:pt>
                <c:pt idx="5">
                  <c:v>4046154</c:v>
                </c:pt>
                <c:pt idx="6">
                  <c:v>3737062</c:v>
                </c:pt>
                <c:pt idx="7">
                  <c:v>3653011</c:v>
                </c:pt>
                <c:pt idx="8">
                  <c:v>3680463</c:v>
                </c:pt>
                <c:pt idx="9">
                  <c:v>4133812</c:v>
                </c:pt>
                <c:pt idx="10">
                  <c:v>4079859</c:v>
                </c:pt>
                <c:pt idx="11">
                  <c:v>3926958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1-4C3A-8B05-A116DD285E37}"/>
            </c:ext>
          </c:extLst>
        </c:ser>
        <c:ser>
          <c:idx val="1"/>
          <c:order val="1"/>
          <c:tx>
            <c:strRef>
              <c:f>'KPI Trends'!$C$1</c:f>
              <c:strCache>
                <c:ptCount val="1"/>
                <c:pt idx="0">
                  <c:v>Sum of Budgeted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'KPI Trends'!$A$2:$A$14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Trends'!$C$2:$C$14</c:f>
              <c:numCache>
                <c:formatCode>General</c:formatCode>
                <c:ptCount val="12"/>
                <c:pt idx="0">
                  <c:v>730332</c:v>
                </c:pt>
                <c:pt idx="1">
                  <c:v>802374</c:v>
                </c:pt>
                <c:pt idx="2">
                  <c:v>763583</c:v>
                </c:pt>
                <c:pt idx="3">
                  <c:v>585838</c:v>
                </c:pt>
                <c:pt idx="4">
                  <c:v>978376</c:v>
                </c:pt>
                <c:pt idx="5">
                  <c:v>835659</c:v>
                </c:pt>
                <c:pt idx="6">
                  <c:v>929965</c:v>
                </c:pt>
                <c:pt idx="7">
                  <c:v>884550</c:v>
                </c:pt>
                <c:pt idx="8">
                  <c:v>670662</c:v>
                </c:pt>
                <c:pt idx="9">
                  <c:v>761140</c:v>
                </c:pt>
                <c:pt idx="10">
                  <c:v>796302</c:v>
                </c:pt>
                <c:pt idx="11">
                  <c:v>896013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1-4C3A-8B05-A116DD285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908495"/>
        <c:axId val="171149055"/>
      </c:lineChart>
      <c:catAx>
        <c:axId val="196390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9055"/>
        <c:crosses val="autoZero"/>
        <c:auto val="1"/>
        <c:lblAlgn val="ctr"/>
        <c:lblOffset val="100"/>
        <c:noMultiLvlLbl val="0"/>
      </c:catAx>
      <c:valAx>
        <c:axId val="17114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0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effectLst/>
              </a:rPr>
              <a:t>Department Variance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'Financial Performance'!$E$1</c:f>
              <c:strCache>
                <c:ptCount val="1"/>
                <c:pt idx="0">
                  <c:v>Variance 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Performance'!$A$2:$A$6</c:f>
              <c:strCache>
                <c:ptCount val="5"/>
                <c:pt idx="0">
                  <c:v>Food &amp; Beverage</c:v>
                </c:pt>
                <c:pt idx="1">
                  <c:v>Housekeeping</c:v>
                </c:pt>
                <c:pt idx="2">
                  <c:v>Gaming Operations</c:v>
                </c:pt>
                <c:pt idx="3">
                  <c:v>Entertainment &amp; Events</c:v>
                </c:pt>
                <c:pt idx="4">
                  <c:v>Facilities</c:v>
                </c:pt>
              </c:strCache>
            </c:strRef>
          </c:cat>
          <c:val>
            <c:numRef>
              <c:f>'Financial Performance'!$E$2:$E$6</c:f>
              <c:numCache>
                <c:formatCode>_("$"* #,##0.00_);_("$"* \(#,##0.00\);_("$"* "-"??_);_(@_)</c:formatCode>
                <c:ptCount val="5"/>
                <c:pt idx="0">
                  <c:v>69613</c:v>
                </c:pt>
                <c:pt idx="1">
                  <c:v>148128</c:v>
                </c:pt>
                <c:pt idx="2">
                  <c:v>102904</c:v>
                </c:pt>
                <c:pt idx="3">
                  <c:v>30571</c:v>
                </c:pt>
                <c:pt idx="4">
                  <c:v>21406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2-4EB7-BD38-2603B126A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0676991"/>
        <c:axId val="171159615"/>
      </c:barChart>
      <c:catAx>
        <c:axId val="23067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9615"/>
        <c:crosses val="autoZero"/>
        <c:auto val="1"/>
        <c:lblAlgn val="ctr"/>
        <c:lblOffset val="100"/>
        <c:noMultiLvlLbl val="0"/>
      </c:catAx>
      <c:valAx>
        <c:axId val="17115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7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effectLst/>
              </a:rPr>
              <a:t>COGS by Category</a:t>
            </a:r>
            <a:endParaRPr lang="en-US" sz="1400" b="1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'Inventory &amp; COGS Review'!$C$1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'Inventory &amp; COGS Review'!$A$2:$A$6</c:f>
              <c:strCache>
                <c:ptCount val="5"/>
                <c:pt idx="0">
                  <c:v>Meat</c:v>
                </c:pt>
                <c:pt idx="1">
                  <c:v>Seafood</c:v>
                </c:pt>
                <c:pt idx="2">
                  <c:v>Beverage</c:v>
                </c:pt>
                <c:pt idx="3">
                  <c:v>Produce</c:v>
                </c:pt>
                <c:pt idx="4">
                  <c:v>Dairy</c:v>
                </c:pt>
              </c:strCache>
            </c:strRef>
          </c:cat>
          <c:val>
            <c:numRef>
              <c:f>'Inventory &amp; COGS Review'!$C$2:$C$6</c:f>
              <c:numCache>
                <c:formatCode>_("$"* #,##0_);_("$"* \(#,##0\);_("$"* "-"??_);_(@_)</c:formatCode>
                <c:ptCount val="5"/>
                <c:pt idx="0">
                  <c:v>574753</c:v>
                </c:pt>
                <c:pt idx="1">
                  <c:v>480526</c:v>
                </c:pt>
                <c:pt idx="2">
                  <c:v>531754</c:v>
                </c:pt>
                <c:pt idx="3">
                  <c:v>518895</c:v>
                </c:pt>
                <c:pt idx="4">
                  <c:v>582291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4-4F52-B0DE-531207394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9408239"/>
        <c:axId val="171159135"/>
      </c:barChart>
      <c:catAx>
        <c:axId val="186940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9135"/>
        <c:crosses val="autoZero"/>
        <c:auto val="1"/>
        <c:lblAlgn val="ctr"/>
        <c:lblOffset val="100"/>
        <c:noMultiLvlLbl val="0"/>
      </c:catAx>
      <c:valAx>
        <c:axId val="171159135"/>
        <c:scaling>
          <c:orientation val="minMax"/>
        </c:scaling>
        <c:delete val="0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0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effectLst/>
              </a:rPr>
              <a:t>Maintenance Cost by Department</a:t>
            </a:r>
            <a:endParaRPr lang="en-US" sz="18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'Maintenance Review'!$C$1</c:f>
              <c:strCache>
                <c:ptCount val="1"/>
                <c:pt idx="0">
                  <c:v>Maintenance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'Maintenance Review'!$A$2:$A$6</c:f>
              <c:strCache>
                <c:ptCount val="5"/>
                <c:pt idx="0">
                  <c:v>Gaming Operations</c:v>
                </c:pt>
                <c:pt idx="1">
                  <c:v>Housekeeping</c:v>
                </c:pt>
                <c:pt idx="2">
                  <c:v>Food &amp; Beverage</c:v>
                </c:pt>
                <c:pt idx="3">
                  <c:v>Facilities</c:v>
                </c:pt>
                <c:pt idx="4">
                  <c:v>Entertainment &amp; Events</c:v>
                </c:pt>
              </c:strCache>
            </c:strRef>
          </c:cat>
          <c:val>
            <c:numRef>
              <c:f>'Maintenance Review'!$C$2:$C$6</c:f>
              <c:numCache>
                <c:formatCode>_("$"* #,##0_);_("$"* \(#,##0\);_("$"* "-"??_);_(@_)</c:formatCode>
                <c:ptCount val="5"/>
                <c:pt idx="0">
                  <c:v>759059</c:v>
                </c:pt>
                <c:pt idx="1">
                  <c:v>622549</c:v>
                </c:pt>
                <c:pt idx="2">
                  <c:v>597602</c:v>
                </c:pt>
                <c:pt idx="3">
                  <c:v>595892</c:v>
                </c:pt>
                <c:pt idx="4">
                  <c:v>591130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1-46AA-8302-74647DFBB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7657343"/>
        <c:axId val="171163935"/>
      </c:barChart>
      <c:catAx>
        <c:axId val="186765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3935"/>
        <c:crosses val="autoZero"/>
        <c:auto val="1"/>
        <c:lblAlgn val="ctr"/>
        <c:lblOffset val="100"/>
        <c:noMultiLvlLbl val="0"/>
      </c:catAx>
      <c:valAx>
        <c:axId val="17116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65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Occupancy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Trends'!$C$22</c:f>
              <c:strCache>
                <c:ptCount val="1"/>
                <c:pt idx="0">
                  <c:v>Occupancy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'KPI Trends'!$A$23:$A$34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Trends'!$C$23:$C$34</c:f>
              <c:numCache>
                <c:formatCode>0.0%</c:formatCode>
                <c:ptCount val="12"/>
                <c:pt idx="0">
                  <c:v>0.874</c:v>
                </c:pt>
                <c:pt idx="1">
                  <c:v>0.94499999999999995</c:v>
                </c:pt>
                <c:pt idx="2">
                  <c:v>0.82499999999999996</c:v>
                </c:pt>
                <c:pt idx="3">
                  <c:v>0.86799999999999999</c:v>
                </c:pt>
                <c:pt idx="4">
                  <c:v>0.80100000000000005</c:v>
                </c:pt>
                <c:pt idx="5">
                  <c:v>0.88200000000000001</c:v>
                </c:pt>
                <c:pt idx="6">
                  <c:v>0.87</c:v>
                </c:pt>
                <c:pt idx="7">
                  <c:v>0.91700000000000004</c:v>
                </c:pt>
                <c:pt idx="8">
                  <c:v>0.82699999999999996</c:v>
                </c:pt>
                <c:pt idx="9">
                  <c:v>0.95599999999999996</c:v>
                </c:pt>
                <c:pt idx="10">
                  <c:v>0.96799999999999997</c:v>
                </c:pt>
                <c:pt idx="11">
                  <c:v>0.85099999999999998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00-4A68-9043-504863FE5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2023951"/>
        <c:axId val="171161055"/>
      </c:lineChart>
      <c:catAx>
        <c:axId val="190202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1055"/>
        <c:crosses val="autoZero"/>
        <c:auto val="1"/>
        <c:lblAlgn val="ctr"/>
        <c:lblOffset val="100"/>
        <c:noMultiLvlLbl val="0"/>
      </c:catAx>
      <c:valAx>
        <c:axId val="171161055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2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effectLst/>
              </a:rPr>
              <a:t>Department Variance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Performance'!$E$1</c:f>
              <c:strCache>
                <c:ptCount val="1"/>
                <c:pt idx="0">
                  <c:v>Variance 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Performance'!$A$2:$A$6</c:f>
              <c:strCache>
                <c:ptCount val="5"/>
                <c:pt idx="0">
                  <c:v>Food &amp; Beverage</c:v>
                </c:pt>
                <c:pt idx="1">
                  <c:v>Housekeeping</c:v>
                </c:pt>
                <c:pt idx="2">
                  <c:v>Gaming Operations</c:v>
                </c:pt>
                <c:pt idx="3">
                  <c:v>Entertainment &amp; Events</c:v>
                </c:pt>
                <c:pt idx="4">
                  <c:v>Facilities</c:v>
                </c:pt>
              </c:strCache>
            </c:strRef>
          </c:cat>
          <c:val>
            <c:numRef>
              <c:f>'Financial Performance'!$E$2:$E$6</c:f>
              <c:numCache>
                <c:formatCode>_("$"* #,##0.00_);_("$"* \(#,##0.00\);_("$"* "-"??_);_(@_)</c:formatCode>
                <c:ptCount val="5"/>
                <c:pt idx="0">
                  <c:v>69613</c:v>
                </c:pt>
                <c:pt idx="1">
                  <c:v>148128</c:v>
                </c:pt>
                <c:pt idx="2">
                  <c:v>102904</c:v>
                </c:pt>
                <c:pt idx="3">
                  <c:v>30571</c:v>
                </c:pt>
                <c:pt idx="4">
                  <c:v>21406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4-489E-A057-117EABF08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676991"/>
        <c:axId val="171159615"/>
      </c:barChart>
      <c:catAx>
        <c:axId val="23067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9615"/>
        <c:crosses val="autoZero"/>
        <c:auto val="1"/>
        <c:lblAlgn val="ctr"/>
        <c:lblOffset val="100"/>
        <c:noMultiLvlLbl val="0"/>
      </c:catAx>
      <c:valAx>
        <c:axId val="1711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7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effectLst/>
              </a:rPr>
              <a:t>Maintenance Cost by Department</a:t>
            </a:r>
            <a:endParaRPr lang="en-US" sz="18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'Maintenance Review'!$C$1</c:f>
              <c:strCache>
                <c:ptCount val="1"/>
                <c:pt idx="0">
                  <c:v>Maintenance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'Maintenance Review'!$A$2:$A$6</c:f>
              <c:strCache>
                <c:ptCount val="5"/>
                <c:pt idx="0">
                  <c:v>Gaming Operations</c:v>
                </c:pt>
                <c:pt idx="1">
                  <c:v>Housekeeping</c:v>
                </c:pt>
                <c:pt idx="2">
                  <c:v>Food &amp; Beverage</c:v>
                </c:pt>
                <c:pt idx="3">
                  <c:v>Facilities</c:v>
                </c:pt>
                <c:pt idx="4">
                  <c:v>Entertainment &amp; Events</c:v>
                </c:pt>
              </c:strCache>
            </c:strRef>
          </c:cat>
          <c:val>
            <c:numRef>
              <c:f>'Maintenance Review'!$C$2:$C$6</c:f>
              <c:numCache>
                <c:formatCode>_("$"* #,##0_);_("$"* \(#,##0\);_("$"* "-"??_);_(@_)</c:formatCode>
                <c:ptCount val="5"/>
                <c:pt idx="0">
                  <c:v>759059</c:v>
                </c:pt>
                <c:pt idx="1">
                  <c:v>622549</c:v>
                </c:pt>
                <c:pt idx="2">
                  <c:v>597602</c:v>
                </c:pt>
                <c:pt idx="3">
                  <c:v>595892</c:v>
                </c:pt>
                <c:pt idx="4">
                  <c:v>591130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1-4AD6-B71B-63AB723FA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7657343"/>
        <c:axId val="171163935"/>
      </c:barChart>
      <c:catAx>
        <c:axId val="186765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3935"/>
        <c:crosses val="autoZero"/>
        <c:auto val="1"/>
        <c:lblAlgn val="ctr"/>
        <c:lblOffset val="100"/>
        <c:noMultiLvlLbl val="0"/>
      </c:catAx>
      <c:valAx>
        <c:axId val="17116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65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effectLst/>
              </a:rPr>
              <a:t>COGS by Category</a:t>
            </a:r>
            <a:endParaRPr lang="en-US" sz="1400" b="1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'Inventory &amp; COGS Review'!$C$1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'Inventory &amp; COGS Review'!$A$2:$A$6</c:f>
              <c:strCache>
                <c:ptCount val="5"/>
                <c:pt idx="0">
                  <c:v>Meat</c:v>
                </c:pt>
                <c:pt idx="1">
                  <c:v>Seafood</c:v>
                </c:pt>
                <c:pt idx="2">
                  <c:v>Beverage</c:v>
                </c:pt>
                <c:pt idx="3">
                  <c:v>Produce</c:v>
                </c:pt>
                <c:pt idx="4">
                  <c:v>Dairy</c:v>
                </c:pt>
              </c:strCache>
            </c:strRef>
          </c:cat>
          <c:val>
            <c:numRef>
              <c:f>'Inventory &amp; COGS Review'!$C$2:$C$6</c:f>
              <c:numCache>
                <c:formatCode>_("$"* #,##0_);_("$"* \(#,##0\);_("$"* "-"??_);_(@_)</c:formatCode>
                <c:ptCount val="5"/>
                <c:pt idx="0">
                  <c:v>574753</c:v>
                </c:pt>
                <c:pt idx="1">
                  <c:v>480526</c:v>
                </c:pt>
                <c:pt idx="2">
                  <c:v>531754</c:v>
                </c:pt>
                <c:pt idx="3">
                  <c:v>518895</c:v>
                </c:pt>
                <c:pt idx="4">
                  <c:v>582291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6-4351-A337-2BFA1D959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9408239"/>
        <c:axId val="171159135"/>
      </c:barChart>
      <c:catAx>
        <c:axId val="186940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9135"/>
        <c:crosses val="autoZero"/>
        <c:auto val="1"/>
        <c:lblAlgn val="ctr"/>
        <c:lblOffset val="100"/>
        <c:noMultiLvlLbl val="0"/>
      </c:catAx>
      <c:valAx>
        <c:axId val="171159135"/>
        <c:scaling>
          <c:orientation val="minMax"/>
        </c:scaling>
        <c:delete val="0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0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[Silver_Sands_Monthly_Management_Report_2025.xlsx]KPI Trends!PivotTable2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effectLst/>
              </a:rPr>
              <a:t>Revenue vs Budget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 Trends'!$B$1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'KPI Trends'!$A$2:$A$14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Trends'!$B$2:$B$14</c:f>
              <c:numCache>
                <c:formatCode>General</c:formatCode>
                <c:ptCount val="12"/>
                <c:pt idx="0">
                  <c:v>3834786</c:v>
                </c:pt>
                <c:pt idx="1">
                  <c:v>3638227</c:v>
                </c:pt>
                <c:pt idx="2">
                  <c:v>3074261</c:v>
                </c:pt>
                <c:pt idx="3">
                  <c:v>4682017</c:v>
                </c:pt>
                <c:pt idx="4">
                  <c:v>4842478</c:v>
                </c:pt>
                <c:pt idx="5">
                  <c:v>4046154</c:v>
                </c:pt>
                <c:pt idx="6">
                  <c:v>3737062</c:v>
                </c:pt>
                <c:pt idx="7">
                  <c:v>3653011</c:v>
                </c:pt>
                <c:pt idx="8">
                  <c:v>3680463</c:v>
                </c:pt>
                <c:pt idx="9">
                  <c:v>4133812</c:v>
                </c:pt>
                <c:pt idx="10">
                  <c:v>4079859</c:v>
                </c:pt>
                <c:pt idx="11">
                  <c:v>3926958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0-4CAB-BF0C-6D7D0A2582FB}"/>
            </c:ext>
          </c:extLst>
        </c:ser>
        <c:ser>
          <c:idx val="1"/>
          <c:order val="1"/>
          <c:tx>
            <c:strRef>
              <c:f>'KPI Trends'!$C$1</c:f>
              <c:strCache>
                <c:ptCount val="1"/>
                <c:pt idx="0">
                  <c:v>Sum of Budgeted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'KPI Trends'!$A$2:$A$14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Trends'!$C$2:$C$14</c:f>
              <c:numCache>
                <c:formatCode>General</c:formatCode>
                <c:ptCount val="12"/>
                <c:pt idx="0">
                  <c:v>730332</c:v>
                </c:pt>
                <c:pt idx="1">
                  <c:v>802374</c:v>
                </c:pt>
                <c:pt idx="2">
                  <c:v>763583</c:v>
                </c:pt>
                <c:pt idx="3">
                  <c:v>585838</c:v>
                </c:pt>
                <c:pt idx="4">
                  <c:v>978376</c:v>
                </c:pt>
                <c:pt idx="5">
                  <c:v>835659</c:v>
                </c:pt>
                <c:pt idx="6">
                  <c:v>929965</c:v>
                </c:pt>
                <c:pt idx="7">
                  <c:v>884550</c:v>
                </c:pt>
                <c:pt idx="8">
                  <c:v>670662</c:v>
                </c:pt>
                <c:pt idx="9">
                  <c:v>761140</c:v>
                </c:pt>
                <c:pt idx="10">
                  <c:v>796302</c:v>
                </c:pt>
                <c:pt idx="11">
                  <c:v>896013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F0-4CAB-BF0C-6D7D0A258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908495"/>
        <c:axId val="171149055"/>
      </c:lineChart>
      <c:catAx>
        <c:axId val="196390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9055"/>
        <c:crosses val="autoZero"/>
        <c:auto val="1"/>
        <c:lblAlgn val="ctr"/>
        <c:lblOffset val="100"/>
        <c:noMultiLvlLbl val="0"/>
      </c:catAx>
      <c:valAx>
        <c:axId val="17114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0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Occupancy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Trends'!$C$22</c:f>
              <c:strCache>
                <c:ptCount val="1"/>
                <c:pt idx="0">
                  <c:v>Occupancy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'KPI Trends'!$A$23:$A$34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Trends'!$C$23:$C$34</c:f>
              <c:numCache>
                <c:formatCode>0.0%</c:formatCode>
                <c:ptCount val="12"/>
                <c:pt idx="0">
                  <c:v>0.874</c:v>
                </c:pt>
                <c:pt idx="1">
                  <c:v>0.94499999999999995</c:v>
                </c:pt>
                <c:pt idx="2">
                  <c:v>0.82499999999999996</c:v>
                </c:pt>
                <c:pt idx="3">
                  <c:v>0.86799999999999999</c:v>
                </c:pt>
                <c:pt idx="4">
                  <c:v>0.80100000000000005</c:v>
                </c:pt>
                <c:pt idx="5">
                  <c:v>0.88200000000000001</c:v>
                </c:pt>
                <c:pt idx="6">
                  <c:v>0.87</c:v>
                </c:pt>
                <c:pt idx="7">
                  <c:v>0.91700000000000004</c:v>
                </c:pt>
                <c:pt idx="8">
                  <c:v>0.82699999999999996</c:v>
                </c:pt>
                <c:pt idx="9">
                  <c:v>0.95599999999999996</c:v>
                </c:pt>
                <c:pt idx="10">
                  <c:v>0.96799999999999997</c:v>
                </c:pt>
                <c:pt idx="11">
                  <c:v>0.85099999999999998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A-4223-96D3-F241924B5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2023951"/>
        <c:axId val="171161055"/>
      </c:lineChart>
      <c:catAx>
        <c:axId val="190202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1055"/>
        <c:crosses val="autoZero"/>
        <c:auto val="1"/>
        <c:lblAlgn val="ctr"/>
        <c:lblOffset val="100"/>
        <c:noMultiLvlLbl val="0"/>
      </c:catAx>
      <c:valAx>
        <c:axId val="171161055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2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8</xdr:col>
      <xdr:colOff>9524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D1A858-FFF4-4BDA-B9BA-C468188E7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21</xdr:row>
      <xdr:rowOff>8404</xdr:rowOff>
    </xdr:from>
    <xdr:to>
      <xdr:col>4</xdr:col>
      <xdr:colOff>273844</xdr:colOff>
      <xdr:row>35</xdr:row>
      <xdr:rowOff>103304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6D8EE6-67EF-474B-91BB-8B2328E0E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281609</xdr:colOff>
      <xdr:row>21</xdr:row>
      <xdr:rowOff>14235</xdr:rowOff>
    </xdr:from>
    <xdr:to>
      <xdr:col>8</xdr:col>
      <xdr:colOff>11906</xdr:colOff>
      <xdr:row>35</xdr:row>
      <xdr:rowOff>94058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9EF28CF-DB96-469C-B608-D64ED7FDF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95250</xdr:rowOff>
    </xdr:from>
    <xdr:to>
      <xdr:col>4</xdr:col>
      <xdr:colOff>279795</xdr:colOff>
      <xdr:row>50</xdr:row>
      <xdr:rowOff>70247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D0E9AD8-DC90-456F-AD30-7C0D83D00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279795</xdr:colOff>
      <xdr:row>35</xdr:row>
      <xdr:rowOff>101203</xdr:rowOff>
    </xdr:from>
    <xdr:to>
      <xdr:col>8</xdr:col>
      <xdr:colOff>9524</xdr:colOff>
      <xdr:row>50</xdr:row>
      <xdr:rowOff>71436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FACF04-1D7E-41ED-81BC-4EFA597BA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128587</xdr:rowOff>
    </xdr:from>
    <xdr:to>
      <xdr:col>4</xdr:col>
      <xdr:colOff>771525</xdr:colOff>
      <xdr:row>23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5509C-B3B1-8E7B-8819-D0177901D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519112</xdr:colOff>
      <xdr:row>8</xdr:row>
      <xdr:rowOff>42862</xdr:rowOff>
    </xdr:from>
    <xdr:to>
      <xdr:col>4</xdr:col>
      <xdr:colOff>814387</xdr:colOff>
      <xdr:row>22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E26374-97CC-5098-048C-92B612771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7</xdr:row>
      <xdr:rowOff>147637</xdr:rowOff>
    </xdr:from>
    <xdr:to>
      <xdr:col>6</xdr:col>
      <xdr:colOff>247650</xdr:colOff>
      <xdr:row>22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C6CEC-7F93-C6D7-198C-98AD2F979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0</xdr:row>
      <xdr:rowOff>52387</xdr:rowOff>
    </xdr:from>
    <xdr:to>
      <xdr:col>10</xdr:col>
      <xdr:colOff>447675</xdr:colOff>
      <xdr:row>14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1A959-4D7D-9DC6-B755-34F4151EB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34</xdr:row>
      <xdr:rowOff>185737</xdr:rowOff>
    </xdr:from>
    <xdr:to>
      <xdr:col>5</xdr:col>
      <xdr:colOff>171450</xdr:colOff>
      <xdr:row>49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FA96BD-102F-95FB-156E-CAF593A7F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" refreshedDate="46252.430759606483" createdVersion="8" refreshedVersion="8" minRefreshableVersion="3" recordCount="60" xr:uid="{129A97CF-8D0D-4305-99D7-103B3B2A0A9F}">
  <cacheSource type="worksheet">
    <worksheetSource name="tblFinancials"/>
  </cacheSource>
  <cacheFields count="5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Department" numFmtId="0">
      <sharedItems/>
    </cacheField>
    <cacheField name="Revenue" numFmtId="0">
      <sharedItems containsSemiMixedTypes="0" containsString="0" containsNumber="1" containsInteger="1" minValue="350469" maxValue="1188399"/>
    </cacheField>
    <cacheField name="Budgeted Cost" numFmtId="0">
      <sharedItems containsSemiMixedTypes="0" containsString="0" containsNumber="1" containsInteger="1" minValue="80088" maxValue="245689"/>
    </cacheField>
    <cacheField name="Actual Cost" numFmtId="0">
      <sharedItems containsSemiMixedTypes="0" containsString="0" containsNumber="1" containsInteger="1" minValue="69175" maxValue="267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Food &amp; Beverage"/>
    <n v="934845"/>
    <n v="101679"/>
    <n v="124005"/>
  </r>
  <r>
    <x v="0"/>
    <s v="Housekeeping"/>
    <n v="850806"/>
    <n v="125425"/>
    <n v="140112"/>
  </r>
  <r>
    <x v="0"/>
    <s v="Gaming Operations"/>
    <n v="350469"/>
    <n v="177323"/>
    <n v="181941"/>
  </r>
  <r>
    <x v="0"/>
    <s v="Entertainment &amp; Events"/>
    <n v="947382"/>
    <n v="140819"/>
    <n v="125130"/>
  </r>
  <r>
    <x v="0"/>
    <s v="Facilities"/>
    <n v="751284"/>
    <n v="185086"/>
    <n v="171488"/>
  </r>
  <r>
    <x v="1"/>
    <s v="Food &amp; Beverage"/>
    <n v="395457"/>
    <n v="111113"/>
    <n v="104977"/>
  </r>
  <r>
    <x v="1"/>
    <s v="Housekeeping"/>
    <n v="743774"/>
    <n v="106043"/>
    <n v="113004"/>
  </r>
  <r>
    <x v="1"/>
    <s v="Gaming Operations"/>
    <n v="401621"/>
    <n v="240544"/>
    <n v="222370"/>
  </r>
  <r>
    <x v="1"/>
    <s v="Entertainment &amp; Events"/>
    <n v="930663"/>
    <n v="213750"/>
    <n v="198129"/>
  </r>
  <r>
    <x v="1"/>
    <s v="Facilities"/>
    <n v="1166712"/>
    <n v="130924"/>
    <n v="123332"/>
  </r>
  <r>
    <x v="2"/>
    <s v="Food &amp; Beverage"/>
    <n v="377916"/>
    <n v="139751"/>
    <n v="161608"/>
  </r>
  <r>
    <x v="2"/>
    <s v="Housekeeping"/>
    <n v="766912"/>
    <n v="200663"/>
    <n v="203893"/>
  </r>
  <r>
    <x v="2"/>
    <s v="Gaming Operations"/>
    <n v="894979"/>
    <n v="88029"/>
    <n v="107066"/>
  </r>
  <r>
    <x v="2"/>
    <s v="Entertainment &amp; Events"/>
    <n v="466165"/>
    <n v="223165"/>
    <n v="216147"/>
  </r>
  <r>
    <x v="2"/>
    <s v="Facilities"/>
    <n v="568289"/>
    <n v="111975"/>
    <n v="107929"/>
  </r>
  <r>
    <x v="3"/>
    <s v="Food &amp; Beverage"/>
    <n v="985235"/>
    <n v="88489"/>
    <n v="76095"/>
  </r>
  <r>
    <x v="3"/>
    <s v="Housekeeping"/>
    <n v="1172562"/>
    <n v="115681"/>
    <n v="131904"/>
  </r>
  <r>
    <x v="3"/>
    <s v="Gaming Operations"/>
    <n v="735834"/>
    <n v="102700"/>
    <n v="121122"/>
  </r>
  <r>
    <x v="3"/>
    <s v="Entertainment &amp; Events"/>
    <n v="832992"/>
    <n v="152814"/>
    <n v="161832"/>
  </r>
  <r>
    <x v="3"/>
    <s v="Facilities"/>
    <n v="955394"/>
    <n v="126154"/>
    <n v="153962"/>
  </r>
  <r>
    <x v="4"/>
    <s v="Food &amp; Beverage"/>
    <n v="689856"/>
    <n v="218255"/>
    <n v="227527"/>
  </r>
  <r>
    <x v="4"/>
    <s v="Housekeeping"/>
    <n v="907416"/>
    <n v="199663"/>
    <n v="205820"/>
  </r>
  <r>
    <x v="4"/>
    <s v="Gaming Operations"/>
    <n v="1073898"/>
    <n v="98974"/>
    <n v="128585"/>
  </r>
  <r>
    <x v="4"/>
    <s v="Entertainment &amp; Events"/>
    <n v="1134708"/>
    <n v="227506"/>
    <n v="235791"/>
  </r>
  <r>
    <x v="4"/>
    <s v="Facilities"/>
    <n v="1036600"/>
    <n v="233978"/>
    <n v="215842"/>
  </r>
  <r>
    <x v="5"/>
    <s v="Food &amp; Beverage"/>
    <n v="1144727"/>
    <n v="166838"/>
    <n v="186922"/>
  </r>
  <r>
    <x v="5"/>
    <s v="Housekeeping"/>
    <n v="606556"/>
    <n v="170246"/>
    <n v="165114"/>
  </r>
  <r>
    <x v="5"/>
    <s v="Gaming Operations"/>
    <n v="920386"/>
    <n v="219249"/>
    <n v="238548"/>
  </r>
  <r>
    <x v="5"/>
    <s v="Entertainment &amp; Events"/>
    <n v="677216"/>
    <n v="122184"/>
    <n v="120530"/>
  </r>
  <r>
    <x v="5"/>
    <s v="Facilities"/>
    <n v="697269"/>
    <n v="157142"/>
    <n v="160803"/>
  </r>
  <r>
    <x v="6"/>
    <s v="Food &amp; Beverage"/>
    <n v="429171"/>
    <n v="226212"/>
    <n v="215831"/>
  </r>
  <r>
    <x v="6"/>
    <s v="Housekeeping"/>
    <n v="1048971"/>
    <n v="152268"/>
    <n v="168026"/>
  </r>
  <r>
    <x v="6"/>
    <s v="Gaming Operations"/>
    <n v="637871"/>
    <n v="227843"/>
    <n v="249690"/>
  </r>
  <r>
    <x v="6"/>
    <s v="Entertainment &amp; Events"/>
    <n v="505606"/>
    <n v="80088"/>
    <n v="83093"/>
  </r>
  <r>
    <x v="6"/>
    <s v="Facilities"/>
    <n v="1115443"/>
    <n v="243554"/>
    <n v="259458"/>
  </r>
  <r>
    <x v="7"/>
    <s v="Food &amp; Beverage"/>
    <n v="967725"/>
    <n v="221322"/>
    <n v="237636"/>
  </r>
  <r>
    <x v="7"/>
    <s v="Housekeeping"/>
    <n v="948967"/>
    <n v="120311"/>
    <n v="133230"/>
  </r>
  <r>
    <x v="7"/>
    <s v="Gaming Operations"/>
    <n v="752311"/>
    <n v="170006"/>
    <n v="183696"/>
  </r>
  <r>
    <x v="7"/>
    <s v="Entertainment &amp; Events"/>
    <n v="608316"/>
    <n v="160466"/>
    <n v="179002"/>
  </r>
  <r>
    <x v="7"/>
    <s v="Facilities"/>
    <n v="375692"/>
    <n v="212445"/>
    <n v="230039"/>
  </r>
  <r>
    <x v="8"/>
    <s v="Food &amp; Beverage"/>
    <n v="777571"/>
    <n v="88689"/>
    <n v="82169"/>
  </r>
  <r>
    <x v="8"/>
    <s v="Housekeeping"/>
    <n v="567031"/>
    <n v="133677"/>
    <n v="127663"/>
  </r>
  <r>
    <x v="8"/>
    <s v="Gaming Operations"/>
    <n v="500385"/>
    <n v="245689"/>
    <n v="254751"/>
  </r>
  <r>
    <x v="8"/>
    <s v="Entertainment &amp; Events"/>
    <n v="950630"/>
    <n v="119624"/>
    <n v="116562"/>
  </r>
  <r>
    <x v="8"/>
    <s v="Facilities"/>
    <n v="884846"/>
    <n v="82983"/>
    <n v="69175"/>
  </r>
  <r>
    <x v="9"/>
    <s v="Food &amp; Beverage"/>
    <n v="960495"/>
    <n v="193739"/>
    <n v="186544"/>
  </r>
  <r>
    <x v="9"/>
    <s v="Housekeeping"/>
    <n v="499205"/>
    <n v="125175"/>
    <n v="149782"/>
  </r>
  <r>
    <x v="9"/>
    <s v="Gaming Operations"/>
    <n v="600210"/>
    <n v="162597"/>
    <n v="159594"/>
  </r>
  <r>
    <x v="9"/>
    <s v="Entertainment &amp; Events"/>
    <n v="1064851"/>
    <n v="115778"/>
    <n v="143622"/>
  </r>
  <r>
    <x v="9"/>
    <s v="Facilities"/>
    <n v="1009051"/>
    <n v="163851"/>
    <n v="192438"/>
  </r>
  <r>
    <x v="10"/>
    <s v="Food &amp; Beverage"/>
    <n v="731016"/>
    <n v="119471"/>
    <n v="125338"/>
  </r>
  <r>
    <x v="10"/>
    <s v="Housekeeping"/>
    <n v="590345"/>
    <n v="238553"/>
    <n v="267799"/>
  </r>
  <r>
    <x v="10"/>
    <s v="Gaming Operations"/>
    <n v="822696"/>
    <n v="128322"/>
    <n v="113401"/>
  </r>
  <r>
    <x v="10"/>
    <s v="Entertainment &amp; Events"/>
    <n v="884742"/>
    <n v="120168"/>
    <n v="115932"/>
  </r>
  <r>
    <x v="10"/>
    <s v="Facilities"/>
    <n v="1051060"/>
    <n v="189788"/>
    <n v="190452"/>
  </r>
  <r>
    <x v="11"/>
    <s v="Food &amp; Beverage"/>
    <n v="1188399"/>
    <n v="234241"/>
    <n v="250760"/>
  </r>
  <r>
    <x v="11"/>
    <s v="Housekeeping"/>
    <n v="589295"/>
    <n v="82610"/>
    <n v="112096"/>
  </r>
  <r>
    <x v="11"/>
    <s v="Gaming Operations"/>
    <n v="720154"/>
    <n v="215386"/>
    <n v="218802"/>
  </r>
  <r>
    <x v="11"/>
    <s v="Entertainment &amp; Events"/>
    <n v="737318"/>
    <n v="215654"/>
    <n v="226817"/>
  </r>
  <r>
    <x v="11"/>
    <s v="Facilities"/>
    <n v="691792"/>
    <n v="148122"/>
    <n v="1324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C4C65-B7C8-4144-9AA0-945D757160A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14" firstHeaderRow="0" firstDataRow="1" firstDataCol="1"/>
  <pivotFields count="5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" baseField="0" baseItem="0"/>
    <dataField name="Sum of Budgeted Cost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5F60582-5F42-4D7E-8575-3D94B0D41433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Department" tableColumnId="2"/>
      <queryTableField id="3" name="Revenue" tableColumnId="3"/>
      <queryTableField id="4" name="Budgeted Cost" tableColumnId="4"/>
      <queryTableField id="5" name="Actual Cos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DC5A035-972B-4823-8CAF-17C4D6C03659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Department" tableColumnId="2"/>
      <queryTableField id="3" name="Work Orders" tableColumnId="3"/>
      <queryTableField id="4" name="Maintenance Cost" tableColumnId="4"/>
      <queryTableField id="5" name="Top Vendor Spend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C8F9CC35-AE69-4EF6-AC68-E7C5418548A8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Category" tableColumnId="2"/>
      <queryTableField id="3" name="Purchases" tableColumnId="3"/>
      <queryTableField id="4" name="COGS" tableColumnId="4"/>
      <queryTableField id="5" name="Shrinkag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B8877CC-186A-4C9F-9E7E-DCCD63C38DE1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Occupancy %" tableColumnId="2"/>
      <queryTableField id="3" name="ADR" tableColumnId="3"/>
      <queryTableField id="4" name="RevPAR" tableColumnId="4"/>
      <queryTableField id="5" name="Guest C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FD2BD-1C93-496B-82E4-D71C53CF859D}" name="tblFinancials" displayName="tblFinancials" ref="A1:E61" tableType="queryTable" totalsRowShown="0">
  <autoFilter ref="A1:E61" xr:uid="{D76FD2BD-1C93-496B-82E4-D71C53CF859D}"/>
  <tableColumns count="5">
    <tableColumn id="1" xr3:uid="{BBB34CD4-9198-47A4-8543-87B9D9837399}" uniqueName="1" name="Month" queryTableFieldId="1" dataDxfId="14"/>
    <tableColumn id="2" xr3:uid="{7D2C60EC-80E3-476C-92EE-1A0B48EA16E7}" uniqueName="2" name="Department" queryTableFieldId="2" dataDxfId="13"/>
    <tableColumn id="3" xr3:uid="{B01B8FEC-BA67-4562-A254-E37E377A73DB}" uniqueName="3" name="Revenue" queryTableFieldId="3"/>
    <tableColumn id="4" xr3:uid="{52C21BE4-49AA-4B96-BF7D-0AE25783F7D7}" uniqueName="4" name="Budgeted Cost" queryTableFieldId="4"/>
    <tableColumn id="5" xr3:uid="{CB7407D3-458A-4A31-A914-CFC843643E17}" uniqueName="5" name="Actual Cos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F7292-C26E-4FFF-83CB-6130687B97B0}" name="tblMaintenance" displayName="tblMaintenance" ref="A1:E61" tableType="queryTable" totalsRowShown="0">
  <autoFilter ref="A1:E61" xr:uid="{CA5F7292-C26E-4FFF-83CB-6130687B97B0}"/>
  <tableColumns count="5">
    <tableColumn id="1" xr3:uid="{E2237428-2176-4B56-9D9E-F8D04FC33367}" uniqueName="1" name="Month" queryTableFieldId="1" dataDxfId="12"/>
    <tableColumn id="2" xr3:uid="{7E16D164-F115-4025-B6F1-B103E14ACA4B}" uniqueName="2" name="Department" queryTableFieldId="2" dataDxfId="11"/>
    <tableColumn id="3" xr3:uid="{400C4EB6-EFA3-417F-A9FC-879E805E1A14}" uniqueName="3" name="Work Orders" queryTableFieldId="3"/>
    <tableColumn id="4" xr3:uid="{7D48BCBD-BB31-47F0-B6B5-573F3B7E835F}" uniqueName="4" name="Maintenance Cost" queryTableFieldId="4"/>
    <tableColumn id="5" xr3:uid="{AADF8AAF-D555-40DE-9704-EA0242EB5132}" uniqueName="5" name="Top Vendor Spend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BF27D-8135-465F-B0D6-19E77990BDA9}" name="tblInventory" displayName="tblInventory" ref="A1:E61" tableType="queryTable" totalsRowShown="0">
  <autoFilter ref="A1:E61" xr:uid="{3F2BF27D-8135-465F-B0D6-19E77990BDA9}"/>
  <tableColumns count="5">
    <tableColumn id="1" xr3:uid="{DABFD086-8EC3-4BBA-A4FB-E2D99368E3B7}" uniqueName="1" name="Month" queryTableFieldId="1" dataDxfId="10"/>
    <tableColumn id="2" xr3:uid="{63D1E810-2E28-40F4-AEEA-4B273E4E5CCB}" uniqueName="2" name="Category" queryTableFieldId="2" dataDxfId="9"/>
    <tableColumn id="3" xr3:uid="{1AE91490-0B0C-45B9-8206-6C8E7F9553B0}" uniqueName="3" name="Purchases" queryTableFieldId="3"/>
    <tableColumn id="4" xr3:uid="{D57678B6-95D1-4200-A14E-A5135D4FC3C9}" uniqueName="4" name="COGS" queryTableFieldId="4"/>
    <tableColumn id="5" xr3:uid="{D48CD24A-C91F-4371-9995-3962CE5C52D3}" uniqueName="5" name="Shrinkag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829D0E-1D72-4B7C-B677-B6892F958885}" name="tblKPIs" displayName="tblKPIs" ref="A1:E13" tableType="queryTable" totalsRowShown="0">
  <autoFilter ref="A1:E13" xr:uid="{AD829D0E-1D72-4B7C-B677-B6892F958885}"/>
  <tableColumns count="5">
    <tableColumn id="1" xr3:uid="{99F954A0-5573-4E51-8451-EABC5A0C58D3}" uniqueName="1" name="Month" queryTableFieldId="1" dataDxfId="8"/>
    <tableColumn id="2" xr3:uid="{F107EF98-FEE3-48F8-83F3-82F3F06895A8}" uniqueName="2" name="Occupancy %" queryTableFieldId="2"/>
    <tableColumn id="3" xr3:uid="{1FD39093-22D0-4162-9775-9E07B8DB6CB6}" uniqueName="3" name="ADR" queryTableFieldId="3"/>
    <tableColumn id="4" xr3:uid="{67D725CF-F799-42BC-8E1C-6ACEB99C28CE}" uniqueName="4" name="RevPAR" queryTableFieldId="4"/>
    <tableColumn id="5" xr3:uid="{4079E8D1-5353-4B41-B6F9-85AFA71AB6C7}" uniqueName="5" name="Guest C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6032-9BD5-489B-8A93-23309DAB7EB5}">
  <dimension ref="A1:H4"/>
  <sheetViews>
    <sheetView showGridLines="0" tabSelected="1" zoomScale="71" zoomScaleNormal="71" workbookViewId="0">
      <selection activeCell="K9" sqref="K9"/>
    </sheetView>
  </sheetViews>
  <sheetFormatPr defaultRowHeight="15" x14ac:dyDescent="0.25"/>
  <cols>
    <col min="1" max="8" width="17" customWidth="1"/>
  </cols>
  <sheetData>
    <row r="1" spans="1:8" ht="24" x14ac:dyDescent="0.4">
      <c r="A1" s="23" t="s">
        <v>40</v>
      </c>
      <c r="B1" s="23"/>
      <c r="C1" s="23"/>
      <c r="D1" s="23"/>
      <c r="E1" s="23"/>
      <c r="F1" s="23"/>
      <c r="G1" s="23"/>
      <c r="H1" s="23"/>
    </row>
    <row r="2" spans="1:8" ht="24" x14ac:dyDescent="0.4">
      <c r="A2" s="23" t="s">
        <v>41</v>
      </c>
      <c r="B2" s="23"/>
      <c r="C2" s="23"/>
      <c r="D2" s="23"/>
      <c r="E2" s="23"/>
      <c r="F2" s="23"/>
      <c r="G2" s="23"/>
      <c r="H2" s="23"/>
    </row>
    <row r="3" spans="1:8" s="25" customFormat="1" ht="15.75" x14ac:dyDescent="0.25">
      <c r="A3" s="24" t="s">
        <v>2</v>
      </c>
      <c r="B3" s="24" t="s">
        <v>38</v>
      </c>
      <c r="C3" s="24" t="s">
        <v>4</v>
      </c>
      <c r="D3" s="24" t="s">
        <v>39</v>
      </c>
      <c r="E3" s="24" t="s">
        <v>34</v>
      </c>
      <c r="F3" s="24" t="s">
        <v>36</v>
      </c>
      <c r="G3" s="24" t="s">
        <v>27</v>
      </c>
      <c r="H3" s="24" t="s">
        <v>23</v>
      </c>
    </row>
    <row r="4" spans="1:8" s="55" customFormat="1" ht="18" customHeight="1" x14ac:dyDescent="0.25">
      <c r="A4" s="52">
        <f>SUM(tblFinancials[Revenue])</f>
        <v>47329088</v>
      </c>
      <c r="B4" s="52">
        <f>SUM(tblFinancials[Budgeted Cost])</f>
        <v>9634794</v>
      </c>
      <c r="C4" s="52">
        <f>SUM(tblFinancials[Actual Cost])</f>
        <v>10007416</v>
      </c>
      <c r="D4" s="53">
        <f>(C4-B4)/B4</f>
        <v>3.8674620339573425E-2</v>
      </c>
      <c r="E4" s="53">
        <f>AVERAGE(tblKPIs[Occupancy %])/100</f>
        <v>0.88200000000000001</v>
      </c>
      <c r="F4" s="54">
        <f>AVERAGE(tblKPIs[RevPAR])</f>
        <v>206.46</v>
      </c>
      <c r="G4" s="52">
        <f>SUM(tblInventory[COGS])</f>
        <v>2688219</v>
      </c>
      <c r="H4" s="52">
        <f>SUM(tblMaintenance[Maintenance Cost])</f>
        <v>3166232</v>
      </c>
    </row>
  </sheetData>
  <mergeCells count="2">
    <mergeCell ref="A1:H1"/>
    <mergeCell ref="A2:H2"/>
  </mergeCells>
  <conditionalFormatting sqref="D4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E4">
    <cfRule type="cellIs" dxfId="5" priority="1" operator="lessThan">
      <formula>0.85</formula>
    </cfRule>
    <cfRule type="cellIs" dxfId="4" priority="2" operator="greaterThan">
      <formula>0.8499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C22B-8BF2-4F04-B1C8-29A24B83072A}">
  <dimension ref="A1:H21"/>
  <sheetViews>
    <sheetView showGridLines="0" zoomScaleNormal="100" workbookViewId="0">
      <selection activeCell="J7" sqref="J7"/>
    </sheetView>
  </sheetViews>
  <sheetFormatPr defaultRowHeight="15" x14ac:dyDescent="0.25"/>
  <cols>
    <col min="1" max="1" width="154.42578125" customWidth="1"/>
    <col min="2" max="8" width="9.140625" hidden="1" customWidth="1"/>
  </cols>
  <sheetData>
    <row r="1" spans="1:8" s="47" customFormat="1" ht="21.75" customHeight="1" x14ac:dyDescent="0.25">
      <c r="A1" s="44" t="s">
        <v>40</v>
      </c>
      <c r="B1" s="44"/>
      <c r="C1" s="44"/>
      <c r="D1" s="44"/>
      <c r="E1" s="44"/>
      <c r="F1" s="44"/>
      <c r="G1" s="44"/>
      <c r="H1" s="44"/>
    </row>
    <row r="2" spans="1:8" s="48" customFormat="1" ht="21.75" customHeight="1" x14ac:dyDescent="0.25">
      <c r="A2" s="45" t="s">
        <v>41</v>
      </c>
      <c r="B2" s="45"/>
      <c r="C2" s="45"/>
      <c r="D2" s="45"/>
      <c r="E2" s="45"/>
      <c r="F2" s="45"/>
      <c r="G2" s="45"/>
      <c r="H2" s="45"/>
    </row>
    <row r="3" spans="1:8" s="48" customFormat="1" ht="21.75" customHeight="1" x14ac:dyDescent="0.25">
      <c r="A3" s="45" t="s">
        <v>58</v>
      </c>
      <c r="B3" s="45"/>
      <c r="C3" s="45"/>
      <c r="D3" s="45"/>
      <c r="E3" s="45"/>
      <c r="F3" s="45"/>
      <c r="G3" s="45"/>
      <c r="H3" s="45"/>
    </row>
    <row r="4" spans="1:8" s="47" customFormat="1" ht="21.75" customHeight="1" x14ac:dyDescent="0.25">
      <c r="A4" s="46"/>
      <c r="B4" s="46"/>
      <c r="C4" s="46"/>
      <c r="D4" s="46"/>
      <c r="E4" s="46"/>
      <c r="F4" s="46"/>
      <c r="G4" s="46"/>
      <c r="H4" s="46"/>
    </row>
    <row r="5" spans="1:8" s="48" customFormat="1" ht="21.75" customHeight="1" x14ac:dyDescent="0.25">
      <c r="A5" s="49" t="s">
        <v>53</v>
      </c>
    </row>
    <row r="6" spans="1:8" s="47" customFormat="1" ht="49.5" x14ac:dyDescent="0.25">
      <c r="A6" s="50" t="s">
        <v>59</v>
      </c>
    </row>
    <row r="7" spans="1:8" s="47" customFormat="1" ht="21.75" customHeight="1" x14ac:dyDescent="0.25"/>
    <row r="8" spans="1:8" s="48" customFormat="1" ht="21.75" customHeight="1" x14ac:dyDescent="0.25">
      <c r="A8" s="49" t="s">
        <v>54</v>
      </c>
    </row>
    <row r="9" spans="1:8" s="47" customFormat="1" ht="49.5" x14ac:dyDescent="0.25">
      <c r="A9" s="50" t="s">
        <v>66</v>
      </c>
    </row>
    <row r="10" spans="1:8" s="47" customFormat="1" ht="21.75" customHeight="1" x14ac:dyDescent="0.25"/>
    <row r="11" spans="1:8" s="48" customFormat="1" ht="21.75" customHeight="1" x14ac:dyDescent="0.25">
      <c r="A11" s="49" t="s">
        <v>55</v>
      </c>
    </row>
    <row r="12" spans="1:8" s="47" customFormat="1" ht="33" x14ac:dyDescent="0.25">
      <c r="A12" s="50" t="s">
        <v>60</v>
      </c>
    </row>
    <row r="13" spans="1:8" s="47" customFormat="1" ht="21.75" customHeight="1" x14ac:dyDescent="0.25"/>
    <row r="14" spans="1:8" s="48" customFormat="1" ht="21.75" customHeight="1" x14ac:dyDescent="0.25">
      <c r="A14" s="49" t="s">
        <v>56</v>
      </c>
    </row>
    <row r="15" spans="1:8" s="47" customFormat="1" ht="33" x14ac:dyDescent="0.25">
      <c r="A15" s="50" t="s">
        <v>61</v>
      </c>
    </row>
    <row r="16" spans="1:8" s="47" customFormat="1" ht="21.75" customHeight="1" x14ac:dyDescent="0.25"/>
    <row r="17" spans="1:1" s="48" customFormat="1" ht="21.75" customHeight="1" x14ac:dyDescent="0.25">
      <c r="A17" s="49" t="s">
        <v>57</v>
      </c>
    </row>
    <row r="18" spans="1:1" s="47" customFormat="1" ht="21.75" customHeight="1" x14ac:dyDescent="0.25">
      <c r="A18" s="50" t="s">
        <v>62</v>
      </c>
    </row>
    <row r="19" spans="1:1" s="47" customFormat="1" ht="21.75" customHeight="1" x14ac:dyDescent="0.25">
      <c r="A19" s="51" t="s">
        <v>63</v>
      </c>
    </row>
    <row r="20" spans="1:1" s="47" customFormat="1" ht="21.75" customHeight="1" x14ac:dyDescent="0.25">
      <c r="A20" s="50" t="s">
        <v>64</v>
      </c>
    </row>
    <row r="21" spans="1:1" s="47" customFormat="1" ht="21.75" customHeight="1" x14ac:dyDescent="0.25">
      <c r="A21" s="50" t="s">
        <v>65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1BBF-3EDB-4BAF-AEFA-78A9D56C989D}">
  <dimension ref="A1:F10"/>
  <sheetViews>
    <sheetView workbookViewId="0">
      <selection activeCell="F17" sqref="F17"/>
    </sheetView>
  </sheetViews>
  <sheetFormatPr defaultRowHeight="15" x14ac:dyDescent="0.25"/>
  <cols>
    <col min="1" max="1" width="21.42578125" customWidth="1"/>
    <col min="2" max="6" width="12.5703125" customWidth="1"/>
  </cols>
  <sheetData>
    <row r="1" spans="1:6" ht="16.5" x14ac:dyDescent="0.25">
      <c r="A1" s="28" t="s">
        <v>1</v>
      </c>
      <c r="B1" s="28" t="s">
        <v>2</v>
      </c>
      <c r="C1" s="28" t="s">
        <v>3</v>
      </c>
      <c r="D1" s="28" t="s">
        <v>4</v>
      </c>
      <c r="E1" s="29" t="s">
        <v>42</v>
      </c>
      <c r="F1" s="29" t="s">
        <v>39</v>
      </c>
    </row>
    <row r="2" spans="1:6" x14ac:dyDescent="0.25">
      <c r="A2" t="s">
        <v>6</v>
      </c>
      <c r="B2" s="6">
        <f>SUMIFS(tblFinancials[Revenue],tblFinancials[Department],A2)</f>
        <v>9582413</v>
      </c>
      <c r="C2" s="6">
        <f>SUMIFS(tblFinancials[Budgeted Cost],tblFinancials[Department],'Financial Performance'!A2)</f>
        <v>1909799</v>
      </c>
      <c r="D2" s="6">
        <f>SUMIFS(tblFinancials[Actual Cost],tblFinancials[Department],'Financial Performance'!A2)</f>
        <v>1979412</v>
      </c>
      <c r="E2" s="5">
        <f>D2-C2</f>
        <v>69613</v>
      </c>
      <c r="F2" s="2">
        <f>E2/C2</f>
        <v>3.6450432741874927E-2</v>
      </c>
    </row>
    <row r="3" spans="1:6" x14ac:dyDescent="0.25">
      <c r="A3" t="s">
        <v>7</v>
      </c>
      <c r="B3" s="6">
        <f>SUMIFS(tblFinancials[Revenue],tblFinancials[Department],A3)</f>
        <v>9291840</v>
      </c>
      <c r="C3" s="6">
        <f>SUMIFS(tblFinancials[Budgeted Cost],tblFinancials[Department],'Financial Performance'!A3)</f>
        <v>1770315</v>
      </c>
      <c r="D3" s="6">
        <f>SUMIFS(tblFinancials[Actual Cost],tblFinancials[Department],'Financial Performance'!A3)</f>
        <v>1918443</v>
      </c>
      <c r="E3" s="5">
        <f>D3-C3</f>
        <v>148128</v>
      </c>
      <c r="F3" s="2">
        <f>E3/C3</f>
        <v>8.3673244592064128E-2</v>
      </c>
    </row>
    <row r="4" spans="1:6" x14ac:dyDescent="0.25">
      <c r="A4" t="s">
        <v>8</v>
      </c>
      <c r="B4" s="6">
        <f>SUMIFS(tblFinancials[Revenue],tblFinancials[Department],A4)</f>
        <v>8410814</v>
      </c>
      <c r="C4" s="6">
        <f>SUMIFS(tblFinancials[Budgeted Cost],tblFinancials[Department],'Financial Performance'!A4)</f>
        <v>2076662</v>
      </c>
      <c r="D4" s="6">
        <f>SUMIFS(tblFinancials[Actual Cost],tblFinancials[Department],'Financial Performance'!A4)</f>
        <v>2179566</v>
      </c>
      <c r="E4" s="5">
        <f>D4-C4</f>
        <v>102904</v>
      </c>
      <c r="F4" s="2">
        <f>E4/C4</f>
        <v>4.9552599315632488E-2</v>
      </c>
    </row>
    <row r="5" spans="1:6" x14ac:dyDescent="0.25">
      <c r="A5" s="17" t="s">
        <v>9</v>
      </c>
      <c r="B5" s="18">
        <f>SUMIFS(tblFinancials[Revenue],tblFinancials[Department],A5)</f>
        <v>9740589</v>
      </c>
      <c r="C5" s="18">
        <f>SUMIFS(tblFinancials[Budgeted Cost],tblFinancials[Department],'Financial Performance'!A5)</f>
        <v>1892016</v>
      </c>
      <c r="D5" s="18">
        <f>SUMIFS(tblFinancials[Actual Cost],tblFinancials[Department],'Financial Performance'!A5)</f>
        <v>1922587</v>
      </c>
      <c r="E5" s="19">
        <f>D5-C5</f>
        <v>30571</v>
      </c>
      <c r="F5" s="20">
        <f>E5/C5</f>
        <v>1.6157897184801821E-2</v>
      </c>
    </row>
    <row r="6" spans="1:6" ht="15.75" thickBot="1" x14ac:dyDescent="0.3">
      <c r="A6" s="8" t="s">
        <v>10</v>
      </c>
      <c r="B6" s="9">
        <f>SUMIFS(tblFinancials[Revenue],tblFinancials[Department],A6)</f>
        <v>10303432</v>
      </c>
      <c r="C6" s="9">
        <f>SUMIFS(tblFinancials[Budgeted Cost],tblFinancials[Department],'Financial Performance'!A6)</f>
        <v>1986002</v>
      </c>
      <c r="D6" s="9">
        <f>SUMIFS(tblFinancials[Actual Cost],tblFinancials[Department],'Financial Performance'!A6)</f>
        <v>2007408</v>
      </c>
      <c r="E6" s="10">
        <f>D6-C6</f>
        <v>21406</v>
      </c>
      <c r="F6" s="11">
        <f>E6/C6</f>
        <v>1.0778438289588832E-2</v>
      </c>
    </row>
    <row r="7" spans="1:6" x14ac:dyDescent="0.25">
      <c r="A7" s="13" t="s">
        <v>43</v>
      </c>
      <c r="B7" s="14">
        <f>SUM(B2:B6)</f>
        <v>47329088</v>
      </c>
      <c r="C7" s="14">
        <f>SUM(C2:C6)</f>
        <v>9634794</v>
      </c>
      <c r="D7" s="14">
        <f>SUM(D2:D6)</f>
        <v>10007416</v>
      </c>
      <c r="E7" s="15">
        <f>D7-C7</f>
        <v>372622</v>
      </c>
      <c r="F7" s="16">
        <f>E7/C7</f>
        <v>3.8674620339573425E-2</v>
      </c>
    </row>
    <row r="10" spans="1:6" x14ac:dyDescent="0.25">
      <c r="A10" s="12"/>
    </row>
  </sheetData>
  <conditionalFormatting sqref="E2:E7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2:F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0F61-DC1D-4672-A1A8-DA18AE4456AC}">
  <dimension ref="A1:E7"/>
  <sheetViews>
    <sheetView workbookViewId="0">
      <selection activeCell="E7" sqref="E7"/>
    </sheetView>
  </sheetViews>
  <sheetFormatPr defaultRowHeight="15" x14ac:dyDescent="0.25"/>
  <cols>
    <col min="1" max="1" width="21.42578125" bestFit="1" customWidth="1"/>
    <col min="2" max="2" width="12" bestFit="1" customWidth="1"/>
    <col min="3" max="3" width="17" bestFit="1" customWidth="1"/>
    <col min="4" max="4" width="13.7109375" bestFit="1" customWidth="1"/>
    <col min="5" max="5" width="23.42578125" bestFit="1" customWidth="1"/>
    <col min="6" max="6" width="7.42578125" bestFit="1" customWidth="1"/>
    <col min="7" max="7" width="5.85546875" bestFit="1" customWidth="1"/>
    <col min="8" max="8" width="16.85546875" bestFit="1" customWidth="1"/>
  </cols>
  <sheetData>
    <row r="1" spans="1:5" x14ac:dyDescent="0.25">
      <c r="A1" s="28" t="s">
        <v>1</v>
      </c>
      <c r="B1" s="28" t="s">
        <v>22</v>
      </c>
      <c r="C1" s="28" t="s">
        <v>23</v>
      </c>
      <c r="D1" s="28" t="s">
        <v>51</v>
      </c>
      <c r="E1" s="28" t="s">
        <v>52</v>
      </c>
    </row>
    <row r="2" spans="1:5" x14ac:dyDescent="0.25">
      <c r="A2" t="s">
        <v>8</v>
      </c>
      <c r="B2" s="1">
        <f>SUMIFS(tblMaintenance[Work Orders],tblMaintenance[Department],'Maintenance Review'!A2)</f>
        <v>551</v>
      </c>
      <c r="C2" s="30">
        <f>SUMIFS(tblMaintenance[Maintenance Cost],tblMaintenance[Department],'Maintenance Review'!A2)</f>
        <v>759059</v>
      </c>
      <c r="D2" s="30">
        <f>SUMIFS(tblMaintenance[Top Vendor Spend],tblMaintenance[Department],'Maintenance Review'!A2)</f>
        <v>279960</v>
      </c>
      <c r="E2" s="38">
        <f>C2/B2</f>
        <v>1377.6025408348457</v>
      </c>
    </row>
    <row r="3" spans="1:5" x14ac:dyDescent="0.25">
      <c r="A3" s="17" t="s">
        <v>7</v>
      </c>
      <c r="B3" s="36">
        <f>SUMIFS(tblMaintenance[Work Orders],tblMaintenance[Department],'Maintenance Review'!A3)</f>
        <v>530</v>
      </c>
      <c r="C3" s="32">
        <f>SUMIFS(tblMaintenance[Maintenance Cost],tblMaintenance[Department],'Maintenance Review'!A3)</f>
        <v>622549</v>
      </c>
      <c r="D3" s="30">
        <f>SUMIFS(tblMaintenance[Top Vendor Spend],tblMaintenance[Department],'Maintenance Review'!A3)</f>
        <v>290012</v>
      </c>
      <c r="E3" s="38">
        <f>C3/B3</f>
        <v>1174.6207547169811</v>
      </c>
    </row>
    <row r="4" spans="1:5" x14ac:dyDescent="0.25">
      <c r="A4" t="s">
        <v>6</v>
      </c>
      <c r="B4" s="1">
        <f>SUMIFS(tblMaintenance[Work Orders],tblMaintenance[Department],'Maintenance Review'!A4)</f>
        <v>547</v>
      </c>
      <c r="C4" s="30">
        <f>SUMIFS(tblMaintenance[Maintenance Cost],tblMaintenance[Department],'Maintenance Review'!A4)</f>
        <v>597602</v>
      </c>
      <c r="D4" s="30">
        <f>SUMIFS(tblMaintenance[Top Vendor Spend],tblMaintenance[Department],'Maintenance Review'!A4)</f>
        <v>241704</v>
      </c>
      <c r="E4" s="38">
        <f>C4/B4</f>
        <v>1092.508226691042</v>
      </c>
    </row>
    <row r="5" spans="1:5" x14ac:dyDescent="0.25">
      <c r="A5" s="17" t="s">
        <v>10</v>
      </c>
      <c r="B5" s="36">
        <f>SUMIFS(tblMaintenance[Work Orders],tblMaintenance[Department],'Maintenance Review'!A5)</f>
        <v>544</v>
      </c>
      <c r="C5" s="32">
        <f>SUMIFS(tblMaintenance[Maintenance Cost],tblMaintenance[Department],'Maintenance Review'!A5)</f>
        <v>595892</v>
      </c>
      <c r="D5" s="32">
        <f>SUMIFS(tblMaintenance[Top Vendor Spend],tblMaintenance[Department],'Maintenance Review'!A5)</f>
        <v>275987</v>
      </c>
      <c r="E5" s="42">
        <f>C5/B5</f>
        <v>1095.3897058823529</v>
      </c>
    </row>
    <row r="6" spans="1:5" ht="15.75" thickBot="1" x14ac:dyDescent="0.3">
      <c r="A6" s="8" t="s">
        <v>9</v>
      </c>
      <c r="B6" s="37">
        <f>SUMIFS(tblMaintenance[Work Orders],tblMaintenance[Department],'Maintenance Review'!A6)</f>
        <v>540</v>
      </c>
      <c r="C6" s="31">
        <f>SUMIFS(tblMaintenance[Maintenance Cost],tblMaintenance[Department],'Maintenance Review'!A6)</f>
        <v>591130</v>
      </c>
      <c r="D6" s="31">
        <f>SUMIFS(tblMaintenance[Top Vendor Spend],tblMaintenance[Department],'Maintenance Review'!A6)</f>
        <v>234588</v>
      </c>
      <c r="E6" s="39">
        <f>C6/B6</f>
        <v>1094.6851851851852</v>
      </c>
    </row>
    <row r="7" spans="1:5" x14ac:dyDescent="0.25">
      <c r="A7" s="34" t="s">
        <v>48</v>
      </c>
      <c r="B7" s="35">
        <f>SUM(B2:B6)</f>
        <v>2712</v>
      </c>
      <c r="C7" s="41">
        <f>SUM(C2:C6)</f>
        <v>3166232</v>
      </c>
      <c r="D7" s="41">
        <f>SUM(D2:D6)</f>
        <v>1322251</v>
      </c>
      <c r="E7" s="40">
        <f>C7/B7</f>
        <v>1167.4896755162242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CE07-E184-4CBD-9460-A5A111043FF2}">
  <dimension ref="A1:F7"/>
  <sheetViews>
    <sheetView workbookViewId="0">
      <selection activeCell="B9" sqref="B9"/>
    </sheetView>
  </sheetViews>
  <sheetFormatPr defaultRowHeight="15" x14ac:dyDescent="0.25"/>
  <cols>
    <col min="1" max="1" width="9.140625" bestFit="1" customWidth="1"/>
    <col min="2" max="3" width="14.28515625" bestFit="1" customWidth="1"/>
    <col min="4" max="4" width="11.5703125" bestFit="1" customWidth="1"/>
    <col min="5" max="5" width="8.42578125" bestFit="1" customWidth="1"/>
    <col min="6" max="6" width="11.85546875" bestFit="1" customWidth="1"/>
  </cols>
  <sheetData>
    <row r="1" spans="1:6" x14ac:dyDescent="0.25">
      <c r="A1" s="28" t="s">
        <v>25</v>
      </c>
      <c r="B1" s="28" t="s">
        <v>26</v>
      </c>
      <c r="C1" s="28" t="s">
        <v>27</v>
      </c>
      <c r="D1" s="28" t="s">
        <v>28</v>
      </c>
      <c r="E1" s="28" t="s">
        <v>49</v>
      </c>
      <c r="F1" s="28" t="s">
        <v>50</v>
      </c>
    </row>
    <row r="2" spans="1:6" x14ac:dyDescent="0.25">
      <c r="A2" t="s">
        <v>29</v>
      </c>
      <c r="B2" s="30">
        <f>SUMIFS(tblInventory[Purchases],tblInventory[Category],'Inventory &amp; COGS Review'!A2)</f>
        <v>738626</v>
      </c>
      <c r="C2" s="30">
        <f>SUMIFS(tblInventory[COGS],tblInventory[Category],'Inventory &amp; COGS Review'!A2)</f>
        <v>574753</v>
      </c>
      <c r="D2" s="30">
        <f>SUMIFS(tblInventory[Shrinkage],tblInventory[Category],'Inventory &amp; COGS Review'!A2)</f>
        <v>9126</v>
      </c>
      <c r="E2" s="3">
        <f>C2/B2</f>
        <v>0.77813805633703659</v>
      </c>
      <c r="F2" s="3">
        <f>D2/B2</f>
        <v>1.2355373355392309E-2</v>
      </c>
    </row>
    <row r="3" spans="1:6" x14ac:dyDescent="0.25">
      <c r="A3" s="17" t="s">
        <v>30</v>
      </c>
      <c r="B3" s="32">
        <f>SUMIFS(tblInventory[Purchases],tblInventory[Category],'Inventory &amp; COGS Review'!A3)</f>
        <v>619369</v>
      </c>
      <c r="C3" s="32">
        <f>SUMIFS(tblInventory[COGS],tblInventory[Category],'Inventory &amp; COGS Review'!A3)</f>
        <v>480526</v>
      </c>
      <c r="D3" s="32">
        <f>SUMIFS(tblInventory[Shrinkage],tblInventory[Category],'Inventory &amp; COGS Review'!A3)</f>
        <v>14481</v>
      </c>
      <c r="E3" s="33">
        <f>C3/B3</f>
        <v>0.77583153176862263</v>
      </c>
      <c r="F3" s="33">
        <f>D3/B3</f>
        <v>2.3380246670401651E-2</v>
      </c>
    </row>
    <row r="4" spans="1:6" x14ac:dyDescent="0.25">
      <c r="A4" t="s">
        <v>31</v>
      </c>
      <c r="B4" s="30">
        <f>SUMIFS(tblInventory[Purchases],tblInventory[Category],'Inventory &amp; COGS Review'!A4)</f>
        <v>682112</v>
      </c>
      <c r="C4" s="30">
        <f>SUMIFS(tblInventory[COGS],tblInventory[Category],'Inventory &amp; COGS Review'!A4)</f>
        <v>531754</v>
      </c>
      <c r="D4" s="30">
        <f>SUMIFS(tblInventory[Shrinkage],tblInventory[Category],'Inventory &amp; COGS Review'!A4)</f>
        <v>17856</v>
      </c>
      <c r="E4" s="3">
        <f>C4/B4</f>
        <v>0.77956992400075065</v>
      </c>
      <c r="F4" s="3">
        <f>D4/B4</f>
        <v>2.6177519234377934E-2</v>
      </c>
    </row>
    <row r="5" spans="1:6" x14ac:dyDescent="0.25">
      <c r="A5" s="17" t="s">
        <v>32</v>
      </c>
      <c r="B5" s="32">
        <f>SUMIFS(tblInventory[Purchases],tblInventory[Category],'Inventory &amp; COGS Review'!A5)</f>
        <v>664336</v>
      </c>
      <c r="C5" s="32">
        <f>SUMIFS(tblInventory[COGS],tblInventory[Category],'Inventory &amp; COGS Review'!A5)</f>
        <v>518895</v>
      </c>
      <c r="D5" s="32">
        <f>SUMIFS(tblInventory[Shrinkage],tblInventory[Category],'Inventory &amp; COGS Review'!A5)</f>
        <v>15582</v>
      </c>
      <c r="E5" s="33">
        <f>C5/B5</f>
        <v>0.78107313166831238</v>
      </c>
      <c r="F5" s="33">
        <f>D5/B5</f>
        <v>2.3454998675369092E-2</v>
      </c>
    </row>
    <row r="6" spans="1:6" ht="15.75" thickBot="1" x14ac:dyDescent="0.3">
      <c r="A6" s="8" t="s">
        <v>33</v>
      </c>
      <c r="B6" s="31">
        <f>SUMIFS(tblInventory[Purchases],tblInventory[Category],'Inventory &amp; COGS Review'!A6)</f>
        <v>700641</v>
      </c>
      <c r="C6" s="31">
        <f>SUMIFS(tblInventory[COGS],tblInventory[Category],'Inventory &amp; COGS Review'!A6)</f>
        <v>582291</v>
      </c>
      <c r="D6" s="31">
        <f>SUMIFS(tblInventory[Shrinkage],tblInventory[Category],'Inventory &amp; COGS Review'!A6)</f>
        <v>15675</v>
      </c>
      <c r="E6" s="26">
        <f>C6/B6</f>
        <v>0.83108325090881063</v>
      </c>
      <c r="F6" s="26">
        <f>D6/B6</f>
        <v>2.2372370443636613E-2</v>
      </c>
    </row>
    <row r="7" spans="1:6" x14ac:dyDescent="0.25">
      <c r="A7" s="13" t="s">
        <v>48</v>
      </c>
      <c r="B7" s="43">
        <f>SUM(B2:B6)</f>
        <v>3405084</v>
      </c>
      <c r="C7" s="43">
        <f>SUM(C2:C6)</f>
        <v>2688219</v>
      </c>
      <c r="D7" s="43">
        <f>SUM(D2:D6)</f>
        <v>72720</v>
      </c>
      <c r="E7" s="27">
        <f>C7/B7</f>
        <v>0.78947215399091475</v>
      </c>
      <c r="F7" s="27">
        <f>D7/B7</f>
        <v>2.135630134234574E-2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E03D-50E9-4328-B973-C3C6766DE517}">
  <dimension ref="A1:G35"/>
  <sheetViews>
    <sheetView workbookViewId="0">
      <selection activeCell="G22" activeCellId="2" sqref="A22:A34 F22:F34 G22:G34"/>
    </sheetView>
  </sheetViews>
  <sheetFormatPr defaultRowHeight="15" x14ac:dyDescent="0.25"/>
  <cols>
    <col min="1" max="1" width="13.42578125" bestFit="1" customWidth="1"/>
    <col min="2" max="2" width="15.85546875" bestFit="1" customWidth="1"/>
    <col min="3" max="3" width="21.42578125" bestFit="1" customWidth="1"/>
    <col min="4" max="4" width="7.5703125" bestFit="1" customWidth="1"/>
    <col min="5" max="5" width="9.42578125" bestFit="1" customWidth="1"/>
    <col min="6" max="6" width="10" bestFit="1" customWidth="1"/>
    <col min="7" max="7" width="19.42578125" bestFit="1" customWidth="1"/>
  </cols>
  <sheetData>
    <row r="1" spans="1:3" x14ac:dyDescent="0.25">
      <c r="A1" s="21" t="s">
        <v>44</v>
      </c>
      <c r="B1" t="s">
        <v>46</v>
      </c>
      <c r="C1" t="s">
        <v>47</v>
      </c>
    </row>
    <row r="2" spans="1:3" x14ac:dyDescent="0.25">
      <c r="A2" s="22" t="s">
        <v>5</v>
      </c>
      <c r="B2" s="1">
        <v>3834786</v>
      </c>
      <c r="C2" s="1">
        <v>730332</v>
      </c>
    </row>
    <row r="3" spans="1:3" x14ac:dyDescent="0.25">
      <c r="A3" s="22" t="s">
        <v>11</v>
      </c>
      <c r="B3" s="1">
        <v>3638227</v>
      </c>
      <c r="C3" s="1">
        <v>802374</v>
      </c>
    </row>
    <row r="4" spans="1:3" x14ac:dyDescent="0.25">
      <c r="A4" s="22" t="s">
        <v>12</v>
      </c>
      <c r="B4" s="1">
        <v>3074261</v>
      </c>
      <c r="C4" s="1">
        <v>763583</v>
      </c>
    </row>
    <row r="5" spans="1:3" x14ac:dyDescent="0.25">
      <c r="A5" s="22" t="s">
        <v>13</v>
      </c>
      <c r="B5" s="1">
        <v>4682017</v>
      </c>
      <c r="C5" s="1">
        <v>585838</v>
      </c>
    </row>
    <row r="6" spans="1:3" x14ac:dyDescent="0.25">
      <c r="A6" s="22" t="s">
        <v>14</v>
      </c>
      <c r="B6" s="1">
        <v>4842478</v>
      </c>
      <c r="C6" s="1">
        <v>978376</v>
      </c>
    </row>
    <row r="7" spans="1:3" x14ac:dyDescent="0.25">
      <c r="A7" s="22" t="s">
        <v>15</v>
      </c>
      <c r="B7" s="1">
        <v>4046154</v>
      </c>
      <c r="C7" s="1">
        <v>835659</v>
      </c>
    </row>
    <row r="8" spans="1:3" x14ac:dyDescent="0.25">
      <c r="A8" s="22" t="s">
        <v>16</v>
      </c>
      <c r="B8" s="1">
        <v>3737062</v>
      </c>
      <c r="C8" s="1">
        <v>929965</v>
      </c>
    </row>
    <row r="9" spans="1:3" x14ac:dyDescent="0.25">
      <c r="A9" s="22" t="s">
        <v>17</v>
      </c>
      <c r="B9" s="1">
        <v>3653011</v>
      </c>
      <c r="C9" s="1">
        <v>884550</v>
      </c>
    </row>
    <row r="10" spans="1:3" x14ac:dyDescent="0.25">
      <c r="A10" s="22" t="s">
        <v>18</v>
      </c>
      <c r="B10" s="1">
        <v>3680463</v>
      </c>
      <c r="C10" s="1">
        <v>670662</v>
      </c>
    </row>
    <row r="11" spans="1:3" x14ac:dyDescent="0.25">
      <c r="A11" s="22" t="s">
        <v>19</v>
      </c>
      <c r="B11" s="1">
        <v>4133812</v>
      </c>
      <c r="C11" s="1">
        <v>761140</v>
      </c>
    </row>
    <row r="12" spans="1:3" x14ac:dyDescent="0.25">
      <c r="A12" s="22" t="s">
        <v>20</v>
      </c>
      <c r="B12" s="1">
        <v>4079859</v>
      </c>
      <c r="C12" s="1">
        <v>796302</v>
      </c>
    </row>
    <row r="13" spans="1:3" x14ac:dyDescent="0.25">
      <c r="A13" s="22" t="s">
        <v>21</v>
      </c>
      <c r="B13" s="1">
        <v>3926958</v>
      </c>
      <c r="C13" s="1">
        <v>896013</v>
      </c>
    </row>
    <row r="14" spans="1:3" x14ac:dyDescent="0.25">
      <c r="A14" s="22" t="s">
        <v>45</v>
      </c>
      <c r="B14" s="1">
        <v>47329088</v>
      </c>
      <c r="C14" s="1">
        <v>9634794</v>
      </c>
    </row>
    <row r="22" spans="1:7" ht="16.5" x14ac:dyDescent="0.25">
      <c r="A22" s="29" t="s">
        <v>0</v>
      </c>
      <c r="B22" s="28" t="s">
        <v>2</v>
      </c>
      <c r="C22" s="29" t="s">
        <v>34</v>
      </c>
      <c r="D22" s="29" t="s">
        <v>35</v>
      </c>
      <c r="E22" s="29" t="s">
        <v>36</v>
      </c>
      <c r="F22" s="29" t="s">
        <v>27</v>
      </c>
      <c r="G22" s="29" t="s">
        <v>23</v>
      </c>
    </row>
    <row r="23" spans="1:7" ht="16.5" x14ac:dyDescent="0.25">
      <c r="A23" s="7" t="s">
        <v>5</v>
      </c>
      <c r="B23" s="6">
        <f>SUMIFS(tblFinancials[Revenue],tblFinancials[Month],'KPI Trends'!A23)</f>
        <v>3834786</v>
      </c>
      <c r="C23" s="3">
        <v>0.874</v>
      </c>
      <c r="D23" s="4">
        <v>271</v>
      </c>
      <c r="E23" s="4">
        <v>236.85</v>
      </c>
      <c r="F23" s="30">
        <f>SUMIFS(tblInventory[COGS],tblInventory[Month],'KPI Trends'!A23)</f>
        <v>233315</v>
      </c>
      <c r="G23" s="30">
        <f>SUMIFS(tblMaintenance[Maintenance Cost],tblMaintenance[Month],'KPI Trends'!A23)</f>
        <v>318006</v>
      </c>
    </row>
    <row r="24" spans="1:7" ht="16.5" x14ac:dyDescent="0.25">
      <c r="A24" s="7" t="s">
        <v>11</v>
      </c>
      <c r="B24" s="6">
        <f>SUMIFS(tblFinancials[Revenue],tblFinancials[Month],'KPI Trends'!A24)</f>
        <v>3638227</v>
      </c>
      <c r="C24" s="3">
        <v>0.94499999999999995</v>
      </c>
      <c r="D24" s="4">
        <v>280</v>
      </c>
      <c r="E24" s="4">
        <v>264.60000000000002</v>
      </c>
      <c r="F24" s="30">
        <f>SUMIFS(tblInventory[COGS],tblInventory[Month],'KPI Trends'!A24)</f>
        <v>221964</v>
      </c>
      <c r="G24" s="30">
        <f>SUMIFS(tblMaintenance[Maintenance Cost],tblMaintenance[Month],'KPI Trends'!A24)</f>
        <v>202150</v>
      </c>
    </row>
    <row r="25" spans="1:7" ht="16.5" x14ac:dyDescent="0.25">
      <c r="A25" s="7" t="s">
        <v>12</v>
      </c>
      <c r="B25" s="6">
        <f>SUMIFS(tblFinancials[Revenue],tblFinancials[Month],'KPI Trends'!A25)</f>
        <v>3074261</v>
      </c>
      <c r="C25" s="3">
        <v>0.82499999999999996</v>
      </c>
      <c r="D25" s="4">
        <v>142</v>
      </c>
      <c r="E25" s="4">
        <v>117.15</v>
      </c>
      <c r="F25" s="30">
        <f>SUMIFS(tblInventory[COGS],tblInventory[Month],'KPI Trends'!A25)</f>
        <v>209944</v>
      </c>
      <c r="G25" s="30">
        <f>SUMIFS(tblMaintenance[Maintenance Cost],tblMaintenance[Month],'KPI Trends'!A25)</f>
        <v>204180</v>
      </c>
    </row>
    <row r="26" spans="1:7" ht="16.5" x14ac:dyDescent="0.25">
      <c r="A26" s="7" t="s">
        <v>13</v>
      </c>
      <c r="B26" s="6">
        <f>SUMIFS(tblFinancials[Revenue],tblFinancials[Month],'KPI Trends'!A26)</f>
        <v>4682017</v>
      </c>
      <c r="C26" s="3">
        <v>0.86799999999999999</v>
      </c>
      <c r="D26" s="4">
        <v>287</v>
      </c>
      <c r="E26" s="4">
        <v>249.12</v>
      </c>
      <c r="F26" s="30">
        <f>SUMIFS(tblInventory[COGS],tblInventory[Month],'KPI Trends'!A26)</f>
        <v>185443</v>
      </c>
      <c r="G26" s="30">
        <f>SUMIFS(tblMaintenance[Maintenance Cost],tblMaintenance[Month],'KPI Trends'!A26)</f>
        <v>304706</v>
      </c>
    </row>
    <row r="27" spans="1:7" ht="16.5" x14ac:dyDescent="0.25">
      <c r="A27" s="7" t="s">
        <v>14</v>
      </c>
      <c r="B27" s="6">
        <f>SUMIFS(tblFinancials[Revenue],tblFinancials[Month],'KPI Trends'!A27)</f>
        <v>4842478</v>
      </c>
      <c r="C27" s="3">
        <v>0.80100000000000005</v>
      </c>
      <c r="D27" s="4">
        <v>198</v>
      </c>
      <c r="E27" s="4">
        <v>158.6</v>
      </c>
      <c r="F27" s="30">
        <f>SUMIFS(tblInventory[COGS],tblInventory[Month],'KPI Trends'!A27)</f>
        <v>299466</v>
      </c>
      <c r="G27" s="30">
        <f>SUMIFS(tblMaintenance[Maintenance Cost],tblMaintenance[Month],'KPI Trends'!A27)</f>
        <v>241405</v>
      </c>
    </row>
    <row r="28" spans="1:7" ht="16.5" x14ac:dyDescent="0.25">
      <c r="A28" s="7" t="s">
        <v>15</v>
      </c>
      <c r="B28" s="6">
        <f>SUMIFS(tblFinancials[Revenue],tblFinancials[Month],'KPI Trends'!A28)</f>
        <v>4046154</v>
      </c>
      <c r="C28" s="3">
        <v>0.88200000000000001</v>
      </c>
      <c r="D28" s="4">
        <v>224</v>
      </c>
      <c r="E28" s="4">
        <v>197.57</v>
      </c>
      <c r="F28" s="30">
        <f>SUMIFS(tblInventory[COGS],tblInventory[Month],'KPI Trends'!A28)</f>
        <v>172067</v>
      </c>
      <c r="G28" s="30">
        <f>SUMIFS(tblMaintenance[Maintenance Cost],tblMaintenance[Month],'KPI Trends'!A28)</f>
        <v>305548</v>
      </c>
    </row>
    <row r="29" spans="1:7" ht="16.5" x14ac:dyDescent="0.25">
      <c r="A29" s="7" t="s">
        <v>16</v>
      </c>
      <c r="B29" s="6">
        <f>SUMIFS(tblFinancials[Revenue],tblFinancials[Month],'KPI Trends'!A29)</f>
        <v>3737062</v>
      </c>
      <c r="C29" s="3">
        <v>0.87</v>
      </c>
      <c r="D29" s="4">
        <v>229</v>
      </c>
      <c r="E29" s="4">
        <v>199.23</v>
      </c>
      <c r="F29" s="30">
        <f>SUMIFS(tblInventory[COGS],tblInventory[Month],'KPI Trends'!A29)</f>
        <v>227766</v>
      </c>
      <c r="G29" s="30">
        <f>SUMIFS(tblMaintenance[Maintenance Cost],tblMaintenance[Month],'KPI Trends'!A29)</f>
        <v>313061</v>
      </c>
    </row>
    <row r="30" spans="1:7" ht="16.5" x14ac:dyDescent="0.25">
      <c r="A30" s="7" t="s">
        <v>17</v>
      </c>
      <c r="B30" s="6">
        <f>SUMIFS(tblFinancials[Revenue],tblFinancials[Month],'KPI Trends'!A30)</f>
        <v>3653011</v>
      </c>
      <c r="C30" s="3">
        <v>0.91700000000000004</v>
      </c>
      <c r="D30" s="4">
        <v>174</v>
      </c>
      <c r="E30" s="4">
        <v>159.56</v>
      </c>
      <c r="F30" s="30">
        <f>SUMIFS(tblInventory[COGS],tblInventory[Month],'KPI Trends'!A30)</f>
        <v>189725</v>
      </c>
      <c r="G30" s="30">
        <f>SUMIFS(tblMaintenance[Maintenance Cost],tblMaintenance[Month],'KPI Trends'!A30)</f>
        <v>271160</v>
      </c>
    </row>
    <row r="31" spans="1:7" ht="16.5" x14ac:dyDescent="0.25">
      <c r="A31" s="7" t="s">
        <v>18</v>
      </c>
      <c r="B31" s="6">
        <f>SUMIFS(tblFinancials[Revenue],tblFinancials[Month],'KPI Trends'!A31)</f>
        <v>3680463</v>
      </c>
      <c r="C31" s="3">
        <v>0.82699999999999996</v>
      </c>
      <c r="D31" s="4">
        <v>243</v>
      </c>
      <c r="E31" s="4">
        <v>200.96</v>
      </c>
      <c r="F31" s="30">
        <f>SUMIFS(tblInventory[COGS],tblInventory[Month],'KPI Trends'!A31)</f>
        <v>212393</v>
      </c>
      <c r="G31" s="30">
        <f>SUMIFS(tblMaintenance[Maintenance Cost],tblMaintenance[Month],'KPI Trends'!A31)</f>
        <v>271424</v>
      </c>
    </row>
    <row r="32" spans="1:7" ht="16.5" x14ac:dyDescent="0.25">
      <c r="A32" s="7" t="s">
        <v>19</v>
      </c>
      <c r="B32" s="6">
        <f>SUMIFS(tblFinancials[Revenue],tblFinancials[Month],'KPI Trends'!A32)</f>
        <v>4133812</v>
      </c>
      <c r="C32" s="3">
        <v>0.95599999999999996</v>
      </c>
      <c r="D32" s="4">
        <v>245</v>
      </c>
      <c r="E32" s="4">
        <v>234.22</v>
      </c>
      <c r="F32" s="30">
        <f>SUMIFS(tblInventory[COGS],tblInventory[Month],'KPI Trends'!A32)</f>
        <v>220892</v>
      </c>
      <c r="G32" s="30">
        <f>SUMIFS(tblMaintenance[Maintenance Cost],tblMaintenance[Month],'KPI Trends'!A32)</f>
        <v>309493</v>
      </c>
    </row>
    <row r="33" spans="1:7" ht="16.5" x14ac:dyDescent="0.25">
      <c r="A33" s="7" t="s">
        <v>20</v>
      </c>
      <c r="B33" s="6">
        <f>SUMIFS(tblFinancials[Revenue],tblFinancials[Month],'KPI Trends'!A33)</f>
        <v>4079859</v>
      </c>
      <c r="C33" s="3">
        <v>0.96799999999999997</v>
      </c>
      <c r="D33" s="4">
        <v>241</v>
      </c>
      <c r="E33" s="4">
        <v>233.29</v>
      </c>
      <c r="F33" s="30">
        <f>SUMIFS(tblInventory[COGS],tblInventory[Month],'KPI Trends'!A33)</f>
        <v>275141</v>
      </c>
      <c r="G33" s="30">
        <f>SUMIFS(tblMaintenance[Maintenance Cost],tblMaintenance[Month],'KPI Trends'!A33)</f>
        <v>250451</v>
      </c>
    </row>
    <row r="34" spans="1:7" ht="16.5" x14ac:dyDescent="0.25">
      <c r="A34" s="7" t="s">
        <v>21</v>
      </c>
      <c r="B34" s="6">
        <f>SUMIFS(tblFinancials[Revenue],tblFinancials[Month],'KPI Trends'!A34)</f>
        <v>3926958</v>
      </c>
      <c r="C34" s="3">
        <v>0.85099999999999998</v>
      </c>
      <c r="D34" s="4">
        <v>266</v>
      </c>
      <c r="E34" s="4">
        <v>226.37</v>
      </c>
      <c r="F34" s="30">
        <f>SUMIFS(tblInventory[COGS],tblInventory[Month],'KPI Trends'!A34)</f>
        <v>240103</v>
      </c>
      <c r="G34" s="30">
        <f>SUMIFS(tblMaintenance[Maintenance Cost],tblMaintenance[Month],'KPI Trends'!A34)</f>
        <v>174648</v>
      </c>
    </row>
    <row r="35" spans="1:7" ht="16.5" x14ac:dyDescent="0.25">
      <c r="A35" s="7"/>
      <c r="B35" s="6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0E6D-75B5-43CE-A779-05C38E70AED5}">
  <dimension ref="A1:E61"/>
  <sheetViews>
    <sheetView workbookViewId="0">
      <selection activeCell="C19" sqref="C19"/>
    </sheetView>
  </sheetViews>
  <sheetFormatPr defaultRowHeight="15" x14ac:dyDescent="0.25"/>
  <cols>
    <col min="1" max="1" width="9" bestFit="1" customWidth="1"/>
    <col min="2" max="2" width="21.42578125" bestFit="1" customWidth="1"/>
    <col min="3" max="3" width="11.28515625" bestFit="1" customWidth="1"/>
    <col min="4" max="4" width="16.7109375" bestFit="1" customWidth="1"/>
    <col min="5" max="5" width="1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934845</v>
      </c>
      <c r="D2">
        <v>101679</v>
      </c>
      <c r="E2">
        <v>124005</v>
      </c>
    </row>
    <row r="3" spans="1:5" x14ac:dyDescent="0.25">
      <c r="A3" s="1" t="s">
        <v>5</v>
      </c>
      <c r="B3" s="1" t="s">
        <v>7</v>
      </c>
      <c r="C3">
        <v>850806</v>
      </c>
      <c r="D3">
        <v>125425</v>
      </c>
      <c r="E3">
        <v>140112</v>
      </c>
    </row>
    <row r="4" spans="1:5" x14ac:dyDescent="0.25">
      <c r="A4" s="1" t="s">
        <v>5</v>
      </c>
      <c r="B4" s="1" t="s">
        <v>8</v>
      </c>
      <c r="C4">
        <v>350469</v>
      </c>
      <c r="D4">
        <v>177323</v>
      </c>
      <c r="E4">
        <v>181941</v>
      </c>
    </row>
    <row r="5" spans="1:5" x14ac:dyDescent="0.25">
      <c r="A5" s="1" t="s">
        <v>5</v>
      </c>
      <c r="B5" s="1" t="s">
        <v>9</v>
      </c>
      <c r="C5">
        <v>947382</v>
      </c>
      <c r="D5">
        <v>140819</v>
      </c>
      <c r="E5">
        <v>125130</v>
      </c>
    </row>
    <row r="6" spans="1:5" x14ac:dyDescent="0.25">
      <c r="A6" s="1" t="s">
        <v>5</v>
      </c>
      <c r="B6" s="1" t="s">
        <v>10</v>
      </c>
      <c r="C6">
        <v>751284</v>
      </c>
      <c r="D6">
        <v>185086</v>
      </c>
      <c r="E6">
        <v>171488</v>
      </c>
    </row>
    <row r="7" spans="1:5" x14ac:dyDescent="0.25">
      <c r="A7" s="1" t="s">
        <v>11</v>
      </c>
      <c r="B7" s="1" t="s">
        <v>6</v>
      </c>
      <c r="C7">
        <v>395457</v>
      </c>
      <c r="D7">
        <v>111113</v>
      </c>
      <c r="E7">
        <v>104977</v>
      </c>
    </row>
    <row r="8" spans="1:5" x14ac:dyDescent="0.25">
      <c r="A8" s="1" t="s">
        <v>11</v>
      </c>
      <c r="B8" s="1" t="s">
        <v>7</v>
      </c>
      <c r="C8">
        <v>743774</v>
      </c>
      <c r="D8">
        <v>106043</v>
      </c>
      <c r="E8">
        <v>113004</v>
      </c>
    </row>
    <row r="9" spans="1:5" x14ac:dyDescent="0.25">
      <c r="A9" s="1" t="s">
        <v>11</v>
      </c>
      <c r="B9" s="1" t="s">
        <v>8</v>
      </c>
      <c r="C9">
        <v>401621</v>
      </c>
      <c r="D9">
        <v>240544</v>
      </c>
      <c r="E9">
        <v>222370</v>
      </c>
    </row>
    <row r="10" spans="1:5" x14ac:dyDescent="0.25">
      <c r="A10" s="1" t="s">
        <v>11</v>
      </c>
      <c r="B10" s="1" t="s">
        <v>9</v>
      </c>
      <c r="C10">
        <v>930663</v>
      </c>
      <c r="D10">
        <v>213750</v>
      </c>
      <c r="E10">
        <v>198129</v>
      </c>
    </row>
    <row r="11" spans="1:5" x14ac:dyDescent="0.25">
      <c r="A11" s="1" t="s">
        <v>11</v>
      </c>
      <c r="B11" s="1" t="s">
        <v>10</v>
      </c>
      <c r="C11">
        <v>1166712</v>
      </c>
      <c r="D11">
        <v>130924</v>
      </c>
      <c r="E11">
        <v>123332</v>
      </c>
    </row>
    <row r="12" spans="1:5" x14ac:dyDescent="0.25">
      <c r="A12" s="1" t="s">
        <v>12</v>
      </c>
      <c r="B12" s="1" t="s">
        <v>6</v>
      </c>
      <c r="C12">
        <v>377916</v>
      </c>
      <c r="D12">
        <v>139751</v>
      </c>
      <c r="E12">
        <v>161608</v>
      </c>
    </row>
    <row r="13" spans="1:5" x14ac:dyDescent="0.25">
      <c r="A13" s="1" t="s">
        <v>12</v>
      </c>
      <c r="B13" s="1" t="s">
        <v>7</v>
      </c>
      <c r="C13">
        <v>766912</v>
      </c>
      <c r="D13">
        <v>200663</v>
      </c>
      <c r="E13">
        <v>203893</v>
      </c>
    </row>
    <row r="14" spans="1:5" x14ac:dyDescent="0.25">
      <c r="A14" s="1" t="s">
        <v>12</v>
      </c>
      <c r="B14" s="1" t="s">
        <v>8</v>
      </c>
      <c r="C14">
        <v>894979</v>
      </c>
      <c r="D14">
        <v>88029</v>
      </c>
      <c r="E14">
        <v>107066</v>
      </c>
    </row>
    <row r="15" spans="1:5" x14ac:dyDescent="0.25">
      <c r="A15" s="1" t="s">
        <v>12</v>
      </c>
      <c r="B15" s="1" t="s">
        <v>9</v>
      </c>
      <c r="C15">
        <v>466165</v>
      </c>
      <c r="D15">
        <v>223165</v>
      </c>
      <c r="E15">
        <v>216147</v>
      </c>
    </row>
    <row r="16" spans="1:5" x14ac:dyDescent="0.25">
      <c r="A16" s="1" t="s">
        <v>12</v>
      </c>
      <c r="B16" s="1" t="s">
        <v>10</v>
      </c>
      <c r="C16">
        <v>568289</v>
      </c>
      <c r="D16">
        <v>111975</v>
      </c>
      <c r="E16">
        <v>107929</v>
      </c>
    </row>
    <row r="17" spans="1:5" x14ac:dyDescent="0.25">
      <c r="A17" s="1" t="s">
        <v>13</v>
      </c>
      <c r="B17" s="1" t="s">
        <v>6</v>
      </c>
      <c r="C17">
        <v>985235</v>
      </c>
      <c r="D17">
        <v>88489</v>
      </c>
      <c r="E17">
        <v>76095</v>
      </c>
    </row>
    <row r="18" spans="1:5" x14ac:dyDescent="0.25">
      <c r="A18" s="1" t="s">
        <v>13</v>
      </c>
      <c r="B18" s="1" t="s">
        <v>7</v>
      </c>
      <c r="C18">
        <v>1172562</v>
      </c>
      <c r="D18">
        <v>115681</v>
      </c>
      <c r="E18">
        <v>131904</v>
      </c>
    </row>
    <row r="19" spans="1:5" x14ac:dyDescent="0.25">
      <c r="A19" s="1" t="s">
        <v>13</v>
      </c>
      <c r="B19" s="1" t="s">
        <v>8</v>
      </c>
      <c r="C19">
        <v>735834</v>
      </c>
      <c r="D19">
        <v>102700</v>
      </c>
      <c r="E19">
        <v>121122</v>
      </c>
    </row>
    <row r="20" spans="1:5" x14ac:dyDescent="0.25">
      <c r="A20" s="1" t="s">
        <v>13</v>
      </c>
      <c r="B20" s="1" t="s">
        <v>9</v>
      </c>
      <c r="C20">
        <v>832992</v>
      </c>
      <c r="D20">
        <v>152814</v>
      </c>
      <c r="E20">
        <v>161832</v>
      </c>
    </row>
    <row r="21" spans="1:5" x14ac:dyDescent="0.25">
      <c r="A21" s="1" t="s">
        <v>13</v>
      </c>
      <c r="B21" s="1" t="s">
        <v>10</v>
      </c>
      <c r="C21">
        <v>955394</v>
      </c>
      <c r="D21">
        <v>126154</v>
      </c>
      <c r="E21">
        <v>153962</v>
      </c>
    </row>
    <row r="22" spans="1:5" x14ac:dyDescent="0.25">
      <c r="A22" s="1" t="s">
        <v>14</v>
      </c>
      <c r="B22" s="1" t="s">
        <v>6</v>
      </c>
      <c r="C22">
        <v>689856</v>
      </c>
      <c r="D22">
        <v>218255</v>
      </c>
      <c r="E22">
        <v>227527</v>
      </c>
    </row>
    <row r="23" spans="1:5" x14ac:dyDescent="0.25">
      <c r="A23" s="1" t="s">
        <v>14</v>
      </c>
      <c r="B23" s="1" t="s">
        <v>7</v>
      </c>
      <c r="C23">
        <v>907416</v>
      </c>
      <c r="D23">
        <v>199663</v>
      </c>
      <c r="E23">
        <v>205820</v>
      </c>
    </row>
    <row r="24" spans="1:5" x14ac:dyDescent="0.25">
      <c r="A24" s="1" t="s">
        <v>14</v>
      </c>
      <c r="B24" s="1" t="s">
        <v>8</v>
      </c>
      <c r="C24">
        <v>1073898</v>
      </c>
      <c r="D24">
        <v>98974</v>
      </c>
      <c r="E24">
        <v>128585</v>
      </c>
    </row>
    <row r="25" spans="1:5" x14ac:dyDescent="0.25">
      <c r="A25" s="1" t="s">
        <v>14</v>
      </c>
      <c r="B25" s="1" t="s">
        <v>9</v>
      </c>
      <c r="C25">
        <v>1134708</v>
      </c>
      <c r="D25">
        <v>227506</v>
      </c>
      <c r="E25">
        <v>235791</v>
      </c>
    </row>
    <row r="26" spans="1:5" x14ac:dyDescent="0.25">
      <c r="A26" s="1" t="s">
        <v>14</v>
      </c>
      <c r="B26" s="1" t="s">
        <v>10</v>
      </c>
      <c r="C26">
        <v>1036600</v>
      </c>
      <c r="D26">
        <v>233978</v>
      </c>
      <c r="E26">
        <v>215842</v>
      </c>
    </row>
    <row r="27" spans="1:5" x14ac:dyDescent="0.25">
      <c r="A27" s="1" t="s">
        <v>15</v>
      </c>
      <c r="B27" s="1" t="s">
        <v>6</v>
      </c>
      <c r="C27">
        <v>1144727</v>
      </c>
      <c r="D27">
        <v>166838</v>
      </c>
      <c r="E27">
        <v>186922</v>
      </c>
    </row>
    <row r="28" spans="1:5" x14ac:dyDescent="0.25">
      <c r="A28" s="1" t="s">
        <v>15</v>
      </c>
      <c r="B28" s="1" t="s">
        <v>7</v>
      </c>
      <c r="C28">
        <v>606556</v>
      </c>
      <c r="D28">
        <v>170246</v>
      </c>
      <c r="E28">
        <v>165114</v>
      </c>
    </row>
    <row r="29" spans="1:5" x14ac:dyDescent="0.25">
      <c r="A29" s="1" t="s">
        <v>15</v>
      </c>
      <c r="B29" s="1" t="s">
        <v>8</v>
      </c>
      <c r="C29">
        <v>920386</v>
      </c>
      <c r="D29">
        <v>219249</v>
      </c>
      <c r="E29">
        <v>238548</v>
      </c>
    </row>
    <row r="30" spans="1:5" x14ac:dyDescent="0.25">
      <c r="A30" s="1" t="s">
        <v>15</v>
      </c>
      <c r="B30" s="1" t="s">
        <v>9</v>
      </c>
      <c r="C30">
        <v>677216</v>
      </c>
      <c r="D30">
        <v>122184</v>
      </c>
      <c r="E30">
        <v>120530</v>
      </c>
    </row>
    <row r="31" spans="1:5" x14ac:dyDescent="0.25">
      <c r="A31" s="1" t="s">
        <v>15</v>
      </c>
      <c r="B31" s="1" t="s">
        <v>10</v>
      </c>
      <c r="C31">
        <v>697269</v>
      </c>
      <c r="D31">
        <v>157142</v>
      </c>
      <c r="E31">
        <v>160803</v>
      </c>
    </row>
    <row r="32" spans="1:5" x14ac:dyDescent="0.25">
      <c r="A32" s="1" t="s">
        <v>16</v>
      </c>
      <c r="B32" s="1" t="s">
        <v>6</v>
      </c>
      <c r="C32">
        <v>429171</v>
      </c>
      <c r="D32">
        <v>226212</v>
      </c>
      <c r="E32">
        <v>215831</v>
      </c>
    </row>
    <row r="33" spans="1:5" x14ac:dyDescent="0.25">
      <c r="A33" s="1" t="s">
        <v>16</v>
      </c>
      <c r="B33" s="1" t="s">
        <v>7</v>
      </c>
      <c r="C33">
        <v>1048971</v>
      </c>
      <c r="D33">
        <v>152268</v>
      </c>
      <c r="E33">
        <v>168026</v>
      </c>
    </row>
    <row r="34" spans="1:5" x14ac:dyDescent="0.25">
      <c r="A34" s="1" t="s">
        <v>16</v>
      </c>
      <c r="B34" s="1" t="s">
        <v>8</v>
      </c>
      <c r="C34">
        <v>637871</v>
      </c>
      <c r="D34">
        <v>227843</v>
      </c>
      <c r="E34">
        <v>249690</v>
      </c>
    </row>
    <row r="35" spans="1:5" x14ac:dyDescent="0.25">
      <c r="A35" s="1" t="s">
        <v>16</v>
      </c>
      <c r="B35" s="1" t="s">
        <v>9</v>
      </c>
      <c r="C35">
        <v>505606</v>
      </c>
      <c r="D35">
        <v>80088</v>
      </c>
      <c r="E35">
        <v>83093</v>
      </c>
    </row>
    <row r="36" spans="1:5" x14ac:dyDescent="0.25">
      <c r="A36" s="1" t="s">
        <v>16</v>
      </c>
      <c r="B36" s="1" t="s">
        <v>10</v>
      </c>
      <c r="C36">
        <v>1115443</v>
      </c>
      <c r="D36">
        <v>243554</v>
      </c>
      <c r="E36">
        <v>259458</v>
      </c>
    </row>
    <row r="37" spans="1:5" x14ac:dyDescent="0.25">
      <c r="A37" s="1" t="s">
        <v>17</v>
      </c>
      <c r="B37" s="1" t="s">
        <v>6</v>
      </c>
      <c r="C37">
        <v>967725</v>
      </c>
      <c r="D37">
        <v>221322</v>
      </c>
      <c r="E37">
        <v>237636</v>
      </c>
    </row>
    <row r="38" spans="1:5" x14ac:dyDescent="0.25">
      <c r="A38" s="1" t="s">
        <v>17</v>
      </c>
      <c r="B38" s="1" t="s">
        <v>7</v>
      </c>
      <c r="C38">
        <v>948967</v>
      </c>
      <c r="D38">
        <v>120311</v>
      </c>
      <c r="E38">
        <v>133230</v>
      </c>
    </row>
    <row r="39" spans="1:5" x14ac:dyDescent="0.25">
      <c r="A39" s="1" t="s">
        <v>17</v>
      </c>
      <c r="B39" s="1" t="s">
        <v>8</v>
      </c>
      <c r="C39">
        <v>752311</v>
      </c>
      <c r="D39">
        <v>170006</v>
      </c>
      <c r="E39">
        <v>183696</v>
      </c>
    </row>
    <row r="40" spans="1:5" x14ac:dyDescent="0.25">
      <c r="A40" s="1" t="s">
        <v>17</v>
      </c>
      <c r="B40" s="1" t="s">
        <v>9</v>
      </c>
      <c r="C40">
        <v>608316</v>
      </c>
      <c r="D40">
        <v>160466</v>
      </c>
      <c r="E40">
        <v>179002</v>
      </c>
    </row>
    <row r="41" spans="1:5" x14ac:dyDescent="0.25">
      <c r="A41" s="1" t="s">
        <v>17</v>
      </c>
      <c r="B41" s="1" t="s">
        <v>10</v>
      </c>
      <c r="C41">
        <v>375692</v>
      </c>
      <c r="D41">
        <v>212445</v>
      </c>
      <c r="E41">
        <v>230039</v>
      </c>
    </row>
    <row r="42" spans="1:5" x14ac:dyDescent="0.25">
      <c r="A42" s="1" t="s">
        <v>18</v>
      </c>
      <c r="B42" s="1" t="s">
        <v>6</v>
      </c>
      <c r="C42">
        <v>777571</v>
      </c>
      <c r="D42">
        <v>88689</v>
      </c>
      <c r="E42">
        <v>82169</v>
      </c>
    </row>
    <row r="43" spans="1:5" x14ac:dyDescent="0.25">
      <c r="A43" s="1" t="s">
        <v>18</v>
      </c>
      <c r="B43" s="1" t="s">
        <v>7</v>
      </c>
      <c r="C43">
        <v>567031</v>
      </c>
      <c r="D43">
        <v>133677</v>
      </c>
      <c r="E43">
        <v>127663</v>
      </c>
    </row>
    <row r="44" spans="1:5" x14ac:dyDescent="0.25">
      <c r="A44" s="1" t="s">
        <v>18</v>
      </c>
      <c r="B44" s="1" t="s">
        <v>8</v>
      </c>
      <c r="C44">
        <v>500385</v>
      </c>
      <c r="D44">
        <v>245689</v>
      </c>
      <c r="E44">
        <v>254751</v>
      </c>
    </row>
    <row r="45" spans="1:5" x14ac:dyDescent="0.25">
      <c r="A45" s="1" t="s">
        <v>18</v>
      </c>
      <c r="B45" s="1" t="s">
        <v>9</v>
      </c>
      <c r="C45">
        <v>950630</v>
      </c>
      <c r="D45">
        <v>119624</v>
      </c>
      <c r="E45">
        <v>116562</v>
      </c>
    </row>
    <row r="46" spans="1:5" x14ac:dyDescent="0.25">
      <c r="A46" s="1" t="s">
        <v>18</v>
      </c>
      <c r="B46" s="1" t="s">
        <v>10</v>
      </c>
      <c r="C46">
        <v>884846</v>
      </c>
      <c r="D46">
        <v>82983</v>
      </c>
      <c r="E46">
        <v>69175</v>
      </c>
    </row>
    <row r="47" spans="1:5" x14ac:dyDescent="0.25">
      <c r="A47" s="1" t="s">
        <v>19</v>
      </c>
      <c r="B47" s="1" t="s">
        <v>6</v>
      </c>
      <c r="C47">
        <v>960495</v>
      </c>
      <c r="D47">
        <v>193739</v>
      </c>
      <c r="E47">
        <v>186544</v>
      </c>
    </row>
    <row r="48" spans="1:5" x14ac:dyDescent="0.25">
      <c r="A48" s="1" t="s">
        <v>19</v>
      </c>
      <c r="B48" s="1" t="s">
        <v>7</v>
      </c>
      <c r="C48">
        <v>499205</v>
      </c>
      <c r="D48">
        <v>125175</v>
      </c>
      <c r="E48">
        <v>149782</v>
      </c>
    </row>
    <row r="49" spans="1:5" x14ac:dyDescent="0.25">
      <c r="A49" s="1" t="s">
        <v>19</v>
      </c>
      <c r="B49" s="1" t="s">
        <v>8</v>
      </c>
      <c r="C49">
        <v>600210</v>
      </c>
      <c r="D49">
        <v>162597</v>
      </c>
      <c r="E49">
        <v>159594</v>
      </c>
    </row>
    <row r="50" spans="1:5" x14ac:dyDescent="0.25">
      <c r="A50" s="1" t="s">
        <v>19</v>
      </c>
      <c r="B50" s="1" t="s">
        <v>9</v>
      </c>
      <c r="C50">
        <v>1064851</v>
      </c>
      <c r="D50">
        <v>115778</v>
      </c>
      <c r="E50">
        <v>143622</v>
      </c>
    </row>
    <row r="51" spans="1:5" x14ac:dyDescent="0.25">
      <c r="A51" s="1" t="s">
        <v>19</v>
      </c>
      <c r="B51" s="1" t="s">
        <v>10</v>
      </c>
      <c r="C51">
        <v>1009051</v>
      </c>
      <c r="D51">
        <v>163851</v>
      </c>
      <c r="E51">
        <v>192438</v>
      </c>
    </row>
    <row r="52" spans="1:5" x14ac:dyDescent="0.25">
      <c r="A52" s="1" t="s">
        <v>20</v>
      </c>
      <c r="B52" s="1" t="s">
        <v>6</v>
      </c>
      <c r="C52">
        <v>731016</v>
      </c>
      <c r="D52">
        <v>119471</v>
      </c>
      <c r="E52">
        <v>125338</v>
      </c>
    </row>
    <row r="53" spans="1:5" x14ac:dyDescent="0.25">
      <c r="A53" s="1" t="s">
        <v>20</v>
      </c>
      <c r="B53" s="1" t="s">
        <v>7</v>
      </c>
      <c r="C53">
        <v>590345</v>
      </c>
      <c r="D53">
        <v>238553</v>
      </c>
      <c r="E53">
        <v>267799</v>
      </c>
    </row>
    <row r="54" spans="1:5" x14ac:dyDescent="0.25">
      <c r="A54" s="1" t="s">
        <v>20</v>
      </c>
      <c r="B54" s="1" t="s">
        <v>8</v>
      </c>
      <c r="C54">
        <v>822696</v>
      </c>
      <c r="D54">
        <v>128322</v>
      </c>
      <c r="E54">
        <v>113401</v>
      </c>
    </row>
    <row r="55" spans="1:5" x14ac:dyDescent="0.25">
      <c r="A55" s="1" t="s">
        <v>20</v>
      </c>
      <c r="B55" s="1" t="s">
        <v>9</v>
      </c>
      <c r="C55">
        <v>884742</v>
      </c>
      <c r="D55">
        <v>120168</v>
      </c>
      <c r="E55">
        <v>115932</v>
      </c>
    </row>
    <row r="56" spans="1:5" x14ac:dyDescent="0.25">
      <c r="A56" s="1" t="s">
        <v>20</v>
      </c>
      <c r="B56" s="1" t="s">
        <v>10</v>
      </c>
      <c r="C56">
        <v>1051060</v>
      </c>
      <c r="D56">
        <v>189788</v>
      </c>
      <c r="E56">
        <v>190452</v>
      </c>
    </row>
    <row r="57" spans="1:5" x14ac:dyDescent="0.25">
      <c r="A57" s="1" t="s">
        <v>21</v>
      </c>
      <c r="B57" s="1" t="s">
        <v>6</v>
      </c>
      <c r="C57">
        <v>1188399</v>
      </c>
      <c r="D57">
        <v>234241</v>
      </c>
      <c r="E57">
        <v>250760</v>
      </c>
    </row>
    <row r="58" spans="1:5" x14ac:dyDescent="0.25">
      <c r="A58" s="1" t="s">
        <v>21</v>
      </c>
      <c r="B58" s="1" t="s">
        <v>7</v>
      </c>
      <c r="C58">
        <v>589295</v>
      </c>
      <c r="D58">
        <v>82610</v>
      </c>
      <c r="E58">
        <v>112096</v>
      </c>
    </row>
    <row r="59" spans="1:5" x14ac:dyDescent="0.25">
      <c r="A59" s="1" t="s">
        <v>21</v>
      </c>
      <c r="B59" s="1" t="s">
        <v>8</v>
      </c>
      <c r="C59">
        <v>720154</v>
      </c>
      <c r="D59">
        <v>215386</v>
      </c>
      <c r="E59">
        <v>218802</v>
      </c>
    </row>
    <row r="60" spans="1:5" x14ac:dyDescent="0.25">
      <c r="A60" s="1" t="s">
        <v>21</v>
      </c>
      <c r="B60" s="1" t="s">
        <v>9</v>
      </c>
      <c r="C60">
        <v>737318</v>
      </c>
      <c r="D60">
        <v>215654</v>
      </c>
      <c r="E60">
        <v>226817</v>
      </c>
    </row>
    <row r="61" spans="1:5" x14ac:dyDescent="0.25">
      <c r="A61" s="1" t="s">
        <v>21</v>
      </c>
      <c r="B61" s="1" t="s">
        <v>10</v>
      </c>
      <c r="C61">
        <v>691792</v>
      </c>
      <c r="D61">
        <v>148122</v>
      </c>
      <c r="E61">
        <v>132490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4D45-3279-4B52-948E-E5A11B9A781B}">
  <dimension ref="A1:E61"/>
  <sheetViews>
    <sheetView workbookViewId="0">
      <selection activeCell="E15" sqref="E15"/>
    </sheetView>
  </sheetViews>
  <sheetFormatPr defaultRowHeight="15" x14ac:dyDescent="0.25"/>
  <cols>
    <col min="1" max="1" width="9" bestFit="1" customWidth="1"/>
    <col min="2" max="2" width="21.42578125" bestFit="1" customWidth="1"/>
    <col min="3" max="3" width="14.5703125" bestFit="1" customWidth="1"/>
    <col min="4" max="5" width="19.85546875" bestFit="1" customWidth="1"/>
  </cols>
  <sheetData>
    <row r="1" spans="1:5" x14ac:dyDescent="0.25">
      <c r="A1" t="s">
        <v>0</v>
      </c>
      <c r="B1" t="s">
        <v>1</v>
      </c>
      <c r="C1" t="s">
        <v>22</v>
      </c>
      <c r="D1" t="s">
        <v>23</v>
      </c>
      <c r="E1" t="s">
        <v>24</v>
      </c>
    </row>
    <row r="2" spans="1:5" x14ac:dyDescent="0.25">
      <c r="A2" s="1" t="s">
        <v>5</v>
      </c>
      <c r="B2" s="1" t="s">
        <v>6</v>
      </c>
      <c r="C2">
        <v>74</v>
      </c>
      <c r="D2">
        <v>39573</v>
      </c>
      <c r="E2">
        <v>25156</v>
      </c>
    </row>
    <row r="3" spans="1:5" x14ac:dyDescent="0.25">
      <c r="A3" s="1" t="s">
        <v>5</v>
      </c>
      <c r="B3" s="1" t="s">
        <v>7</v>
      </c>
      <c r="C3">
        <v>61</v>
      </c>
      <c r="D3">
        <v>86480</v>
      </c>
      <c r="E3">
        <v>34740</v>
      </c>
    </row>
    <row r="4" spans="1:5" x14ac:dyDescent="0.25">
      <c r="A4" s="1" t="s">
        <v>5</v>
      </c>
      <c r="B4" s="1" t="s">
        <v>8</v>
      </c>
      <c r="C4">
        <v>54</v>
      </c>
      <c r="D4">
        <v>75951</v>
      </c>
      <c r="E4">
        <v>32348</v>
      </c>
    </row>
    <row r="5" spans="1:5" x14ac:dyDescent="0.25">
      <c r="A5" s="1" t="s">
        <v>5</v>
      </c>
      <c r="B5" s="1" t="s">
        <v>9</v>
      </c>
      <c r="C5">
        <v>36</v>
      </c>
      <c r="D5">
        <v>63384</v>
      </c>
      <c r="E5">
        <v>12717</v>
      </c>
    </row>
    <row r="6" spans="1:5" x14ac:dyDescent="0.25">
      <c r="A6" s="1" t="s">
        <v>5</v>
      </c>
      <c r="B6" s="1" t="s">
        <v>10</v>
      </c>
      <c r="C6">
        <v>64</v>
      </c>
      <c r="D6">
        <v>52618</v>
      </c>
      <c r="E6">
        <v>15201</v>
      </c>
    </row>
    <row r="7" spans="1:5" x14ac:dyDescent="0.25">
      <c r="A7" s="1" t="s">
        <v>11</v>
      </c>
      <c r="B7" s="1" t="s">
        <v>6</v>
      </c>
      <c r="C7">
        <v>31</v>
      </c>
      <c r="D7">
        <v>34887</v>
      </c>
      <c r="E7">
        <v>26898</v>
      </c>
    </row>
    <row r="8" spans="1:5" x14ac:dyDescent="0.25">
      <c r="A8" s="1" t="s">
        <v>11</v>
      </c>
      <c r="B8" s="1" t="s">
        <v>7</v>
      </c>
      <c r="C8">
        <v>29</v>
      </c>
      <c r="D8">
        <v>39351</v>
      </c>
      <c r="E8">
        <v>37466</v>
      </c>
    </row>
    <row r="9" spans="1:5" x14ac:dyDescent="0.25">
      <c r="A9" s="1" t="s">
        <v>11</v>
      </c>
      <c r="B9" s="1" t="s">
        <v>8</v>
      </c>
      <c r="C9">
        <v>56</v>
      </c>
      <c r="D9">
        <v>43963</v>
      </c>
      <c r="E9">
        <v>38680</v>
      </c>
    </row>
    <row r="10" spans="1:5" x14ac:dyDescent="0.25">
      <c r="A10" s="1" t="s">
        <v>11</v>
      </c>
      <c r="B10" s="1" t="s">
        <v>9</v>
      </c>
      <c r="C10">
        <v>55</v>
      </c>
      <c r="D10">
        <v>29549</v>
      </c>
      <c r="E10">
        <v>11668</v>
      </c>
    </row>
    <row r="11" spans="1:5" x14ac:dyDescent="0.25">
      <c r="A11" s="1" t="s">
        <v>11</v>
      </c>
      <c r="B11" s="1" t="s">
        <v>10</v>
      </c>
      <c r="C11">
        <v>26</v>
      </c>
      <c r="D11">
        <v>54400</v>
      </c>
      <c r="E11">
        <v>27973</v>
      </c>
    </row>
    <row r="12" spans="1:5" x14ac:dyDescent="0.25">
      <c r="A12" s="1" t="s">
        <v>12</v>
      </c>
      <c r="B12" s="1" t="s">
        <v>6</v>
      </c>
      <c r="C12">
        <v>68</v>
      </c>
      <c r="D12">
        <v>27860</v>
      </c>
      <c r="E12">
        <v>5473</v>
      </c>
    </row>
    <row r="13" spans="1:5" x14ac:dyDescent="0.25">
      <c r="A13" s="1" t="s">
        <v>12</v>
      </c>
      <c r="B13" s="1" t="s">
        <v>7</v>
      </c>
      <c r="C13">
        <v>74</v>
      </c>
      <c r="D13">
        <v>35924</v>
      </c>
      <c r="E13">
        <v>27045</v>
      </c>
    </row>
    <row r="14" spans="1:5" x14ac:dyDescent="0.25">
      <c r="A14" s="1" t="s">
        <v>12</v>
      </c>
      <c r="B14" s="1" t="s">
        <v>8</v>
      </c>
      <c r="C14">
        <v>63</v>
      </c>
      <c r="D14">
        <v>58963</v>
      </c>
      <c r="E14">
        <v>19776</v>
      </c>
    </row>
    <row r="15" spans="1:5" x14ac:dyDescent="0.25">
      <c r="A15" s="1" t="s">
        <v>12</v>
      </c>
      <c r="B15" s="1" t="s">
        <v>9</v>
      </c>
      <c r="C15">
        <v>58</v>
      </c>
      <c r="D15">
        <v>54309</v>
      </c>
      <c r="E15">
        <v>22632</v>
      </c>
    </row>
    <row r="16" spans="1:5" x14ac:dyDescent="0.25">
      <c r="A16" s="1" t="s">
        <v>12</v>
      </c>
      <c r="B16" s="1" t="s">
        <v>10</v>
      </c>
      <c r="C16">
        <v>27</v>
      </c>
      <c r="D16">
        <v>27124</v>
      </c>
      <c r="E16">
        <v>31150</v>
      </c>
    </row>
    <row r="17" spans="1:5" x14ac:dyDescent="0.25">
      <c r="A17" s="1" t="s">
        <v>13</v>
      </c>
      <c r="B17" s="1" t="s">
        <v>6</v>
      </c>
      <c r="C17">
        <v>50</v>
      </c>
      <c r="D17">
        <v>76758</v>
      </c>
      <c r="E17">
        <v>23606</v>
      </c>
    </row>
    <row r="18" spans="1:5" x14ac:dyDescent="0.25">
      <c r="A18" s="1" t="s">
        <v>13</v>
      </c>
      <c r="B18" s="1" t="s">
        <v>7</v>
      </c>
      <c r="C18">
        <v>50</v>
      </c>
      <c r="D18">
        <v>54854</v>
      </c>
      <c r="E18">
        <v>25834</v>
      </c>
    </row>
    <row r="19" spans="1:5" x14ac:dyDescent="0.25">
      <c r="A19" s="1" t="s">
        <v>13</v>
      </c>
      <c r="B19" s="1" t="s">
        <v>8</v>
      </c>
      <c r="C19">
        <v>27</v>
      </c>
      <c r="D19">
        <v>56292</v>
      </c>
      <c r="E19">
        <v>35077</v>
      </c>
    </row>
    <row r="20" spans="1:5" x14ac:dyDescent="0.25">
      <c r="A20" s="1" t="s">
        <v>13</v>
      </c>
      <c r="B20" s="1" t="s">
        <v>9</v>
      </c>
      <c r="C20">
        <v>55</v>
      </c>
      <c r="D20">
        <v>27144</v>
      </c>
      <c r="E20">
        <v>28433</v>
      </c>
    </row>
    <row r="21" spans="1:5" x14ac:dyDescent="0.25">
      <c r="A21" s="1" t="s">
        <v>13</v>
      </c>
      <c r="B21" s="1" t="s">
        <v>10</v>
      </c>
      <c r="C21">
        <v>16</v>
      </c>
      <c r="D21">
        <v>89658</v>
      </c>
      <c r="E21">
        <v>35538</v>
      </c>
    </row>
    <row r="22" spans="1:5" x14ac:dyDescent="0.25">
      <c r="A22" s="1" t="s">
        <v>14</v>
      </c>
      <c r="B22" s="1" t="s">
        <v>6</v>
      </c>
      <c r="C22">
        <v>50</v>
      </c>
      <c r="D22">
        <v>39564</v>
      </c>
      <c r="E22">
        <v>11502</v>
      </c>
    </row>
    <row r="23" spans="1:5" x14ac:dyDescent="0.25">
      <c r="A23" s="1" t="s">
        <v>14</v>
      </c>
      <c r="B23" s="1" t="s">
        <v>7</v>
      </c>
      <c r="C23">
        <v>68</v>
      </c>
      <c r="D23">
        <v>71254</v>
      </c>
      <c r="E23">
        <v>31201</v>
      </c>
    </row>
    <row r="24" spans="1:5" x14ac:dyDescent="0.25">
      <c r="A24" s="1" t="s">
        <v>14</v>
      </c>
      <c r="B24" s="1" t="s">
        <v>8</v>
      </c>
      <c r="C24">
        <v>75</v>
      </c>
      <c r="D24">
        <v>65848</v>
      </c>
      <c r="E24">
        <v>32372</v>
      </c>
    </row>
    <row r="25" spans="1:5" x14ac:dyDescent="0.25">
      <c r="A25" s="1" t="s">
        <v>14</v>
      </c>
      <c r="B25" s="1" t="s">
        <v>9</v>
      </c>
      <c r="C25">
        <v>18</v>
      </c>
      <c r="D25">
        <v>31633</v>
      </c>
      <c r="E25">
        <v>23866</v>
      </c>
    </row>
    <row r="26" spans="1:5" x14ac:dyDescent="0.25">
      <c r="A26" s="1" t="s">
        <v>14</v>
      </c>
      <c r="B26" s="1" t="s">
        <v>10</v>
      </c>
      <c r="C26">
        <v>20</v>
      </c>
      <c r="D26">
        <v>33106</v>
      </c>
      <c r="E26">
        <v>39392</v>
      </c>
    </row>
    <row r="27" spans="1:5" x14ac:dyDescent="0.25">
      <c r="A27" s="1" t="s">
        <v>15</v>
      </c>
      <c r="B27" s="1" t="s">
        <v>6</v>
      </c>
      <c r="C27">
        <v>42</v>
      </c>
      <c r="D27">
        <v>84433</v>
      </c>
      <c r="E27">
        <v>29245</v>
      </c>
    </row>
    <row r="28" spans="1:5" x14ac:dyDescent="0.25">
      <c r="A28" s="1" t="s">
        <v>15</v>
      </c>
      <c r="B28" s="1" t="s">
        <v>7</v>
      </c>
      <c r="C28">
        <v>72</v>
      </c>
      <c r="D28">
        <v>31983</v>
      </c>
      <c r="E28">
        <v>21606</v>
      </c>
    </row>
    <row r="29" spans="1:5" x14ac:dyDescent="0.25">
      <c r="A29" s="1" t="s">
        <v>15</v>
      </c>
      <c r="B29" s="1" t="s">
        <v>8</v>
      </c>
      <c r="C29">
        <v>22</v>
      </c>
      <c r="D29">
        <v>64122</v>
      </c>
      <c r="E29">
        <v>29024</v>
      </c>
    </row>
    <row r="30" spans="1:5" x14ac:dyDescent="0.25">
      <c r="A30" s="1" t="s">
        <v>15</v>
      </c>
      <c r="B30" s="1" t="s">
        <v>9</v>
      </c>
      <c r="C30">
        <v>73</v>
      </c>
      <c r="D30">
        <v>87992</v>
      </c>
      <c r="E30">
        <v>6800</v>
      </c>
    </row>
    <row r="31" spans="1:5" x14ac:dyDescent="0.25">
      <c r="A31" s="1" t="s">
        <v>15</v>
      </c>
      <c r="B31" s="1" t="s">
        <v>10</v>
      </c>
      <c r="C31">
        <v>67</v>
      </c>
      <c r="D31">
        <v>37018</v>
      </c>
      <c r="E31">
        <v>35120</v>
      </c>
    </row>
    <row r="32" spans="1:5" x14ac:dyDescent="0.25">
      <c r="A32" s="1" t="s">
        <v>16</v>
      </c>
      <c r="B32" s="1" t="s">
        <v>6</v>
      </c>
      <c r="C32">
        <v>73</v>
      </c>
      <c r="D32">
        <v>60278</v>
      </c>
      <c r="E32">
        <v>12376</v>
      </c>
    </row>
    <row r="33" spans="1:5" x14ac:dyDescent="0.25">
      <c r="A33" s="1" t="s">
        <v>16</v>
      </c>
      <c r="B33" s="1" t="s">
        <v>7</v>
      </c>
      <c r="C33">
        <v>37</v>
      </c>
      <c r="D33">
        <v>53765</v>
      </c>
      <c r="E33">
        <v>22005</v>
      </c>
    </row>
    <row r="34" spans="1:5" x14ac:dyDescent="0.25">
      <c r="A34" s="1" t="s">
        <v>16</v>
      </c>
      <c r="B34" s="1" t="s">
        <v>8</v>
      </c>
      <c r="C34">
        <v>22</v>
      </c>
      <c r="D34">
        <v>84022</v>
      </c>
      <c r="E34">
        <v>5075</v>
      </c>
    </row>
    <row r="35" spans="1:5" x14ac:dyDescent="0.25">
      <c r="A35" s="1" t="s">
        <v>16</v>
      </c>
      <c r="B35" s="1" t="s">
        <v>9</v>
      </c>
      <c r="C35">
        <v>61</v>
      </c>
      <c r="D35">
        <v>61496</v>
      </c>
      <c r="E35">
        <v>24477</v>
      </c>
    </row>
    <row r="36" spans="1:5" x14ac:dyDescent="0.25">
      <c r="A36" s="1" t="s">
        <v>16</v>
      </c>
      <c r="B36" s="1" t="s">
        <v>10</v>
      </c>
      <c r="C36">
        <v>56</v>
      </c>
      <c r="D36">
        <v>53500</v>
      </c>
      <c r="E36">
        <v>7990</v>
      </c>
    </row>
    <row r="37" spans="1:5" x14ac:dyDescent="0.25">
      <c r="A37" s="1" t="s">
        <v>17</v>
      </c>
      <c r="B37" s="1" t="s">
        <v>6</v>
      </c>
      <c r="C37">
        <v>15</v>
      </c>
      <c r="D37">
        <v>20872</v>
      </c>
      <c r="E37">
        <v>24946</v>
      </c>
    </row>
    <row r="38" spans="1:5" x14ac:dyDescent="0.25">
      <c r="A38" s="1" t="s">
        <v>17</v>
      </c>
      <c r="B38" s="1" t="s">
        <v>7</v>
      </c>
      <c r="C38">
        <v>34</v>
      </c>
      <c r="D38">
        <v>77048</v>
      </c>
      <c r="E38">
        <v>7446</v>
      </c>
    </row>
    <row r="39" spans="1:5" x14ac:dyDescent="0.25">
      <c r="A39" s="1" t="s">
        <v>17</v>
      </c>
      <c r="B39" s="1" t="s">
        <v>8</v>
      </c>
      <c r="C39">
        <v>25</v>
      </c>
      <c r="D39">
        <v>68862</v>
      </c>
      <c r="E39">
        <v>26686</v>
      </c>
    </row>
    <row r="40" spans="1:5" x14ac:dyDescent="0.25">
      <c r="A40" s="1" t="s">
        <v>17</v>
      </c>
      <c r="B40" s="1" t="s">
        <v>9</v>
      </c>
      <c r="C40">
        <v>53</v>
      </c>
      <c r="D40">
        <v>66473</v>
      </c>
      <c r="E40">
        <v>13798</v>
      </c>
    </row>
    <row r="41" spans="1:5" x14ac:dyDescent="0.25">
      <c r="A41" s="1" t="s">
        <v>17</v>
      </c>
      <c r="B41" s="1" t="s">
        <v>10</v>
      </c>
      <c r="C41">
        <v>69</v>
      </c>
      <c r="D41">
        <v>37905</v>
      </c>
      <c r="E41">
        <v>15032</v>
      </c>
    </row>
    <row r="42" spans="1:5" x14ac:dyDescent="0.25">
      <c r="A42" s="1" t="s">
        <v>18</v>
      </c>
      <c r="B42" s="1" t="s">
        <v>6</v>
      </c>
      <c r="C42">
        <v>54</v>
      </c>
      <c r="D42">
        <v>50748</v>
      </c>
      <c r="E42">
        <v>22367</v>
      </c>
    </row>
    <row r="43" spans="1:5" x14ac:dyDescent="0.25">
      <c r="A43" s="1" t="s">
        <v>18</v>
      </c>
      <c r="B43" s="1" t="s">
        <v>7</v>
      </c>
      <c r="C43">
        <v>16</v>
      </c>
      <c r="D43">
        <v>85321</v>
      </c>
      <c r="E43">
        <v>36223</v>
      </c>
    </row>
    <row r="44" spans="1:5" x14ac:dyDescent="0.25">
      <c r="A44" s="1" t="s">
        <v>18</v>
      </c>
      <c r="B44" s="1" t="s">
        <v>8</v>
      </c>
      <c r="C44">
        <v>45</v>
      </c>
      <c r="D44">
        <v>44217</v>
      </c>
      <c r="E44">
        <v>18199</v>
      </c>
    </row>
    <row r="45" spans="1:5" x14ac:dyDescent="0.25">
      <c r="A45" s="1" t="s">
        <v>18</v>
      </c>
      <c r="B45" s="1" t="s">
        <v>9</v>
      </c>
      <c r="C45">
        <v>30</v>
      </c>
      <c r="D45">
        <v>34276</v>
      </c>
      <c r="E45">
        <v>32199</v>
      </c>
    </row>
    <row r="46" spans="1:5" x14ac:dyDescent="0.25">
      <c r="A46" s="1" t="s">
        <v>18</v>
      </c>
      <c r="B46" s="1" t="s">
        <v>10</v>
      </c>
      <c r="C46">
        <v>61</v>
      </c>
      <c r="D46">
        <v>56862</v>
      </c>
      <c r="E46">
        <v>14658</v>
      </c>
    </row>
    <row r="47" spans="1:5" x14ac:dyDescent="0.25">
      <c r="A47" s="1" t="s">
        <v>19</v>
      </c>
      <c r="B47" s="1" t="s">
        <v>6</v>
      </c>
      <c r="C47">
        <v>22</v>
      </c>
      <c r="D47">
        <v>56377</v>
      </c>
      <c r="E47">
        <v>22748</v>
      </c>
    </row>
    <row r="48" spans="1:5" x14ac:dyDescent="0.25">
      <c r="A48" s="1" t="s">
        <v>19</v>
      </c>
      <c r="B48" s="1" t="s">
        <v>7</v>
      </c>
      <c r="C48">
        <v>30</v>
      </c>
      <c r="D48">
        <v>27525</v>
      </c>
      <c r="E48">
        <v>32452</v>
      </c>
    </row>
    <row r="49" spans="1:5" x14ac:dyDescent="0.25">
      <c r="A49" s="1" t="s">
        <v>19</v>
      </c>
      <c r="B49" s="1" t="s">
        <v>8</v>
      </c>
      <c r="C49">
        <v>67</v>
      </c>
      <c r="D49">
        <v>89517</v>
      </c>
      <c r="E49">
        <v>13743</v>
      </c>
    </row>
    <row r="50" spans="1:5" x14ac:dyDescent="0.25">
      <c r="A50" s="1" t="s">
        <v>19</v>
      </c>
      <c r="B50" s="1" t="s">
        <v>9</v>
      </c>
      <c r="C50">
        <v>39</v>
      </c>
      <c r="D50">
        <v>48557</v>
      </c>
      <c r="E50">
        <v>18669</v>
      </c>
    </row>
    <row r="51" spans="1:5" x14ac:dyDescent="0.25">
      <c r="A51" s="1" t="s">
        <v>19</v>
      </c>
      <c r="B51" s="1" t="s">
        <v>10</v>
      </c>
      <c r="C51">
        <v>17</v>
      </c>
      <c r="D51">
        <v>87517</v>
      </c>
      <c r="E51">
        <v>13051</v>
      </c>
    </row>
    <row r="52" spans="1:5" x14ac:dyDescent="0.25">
      <c r="A52" s="1" t="s">
        <v>20</v>
      </c>
      <c r="B52" s="1" t="s">
        <v>6</v>
      </c>
      <c r="C52">
        <v>35</v>
      </c>
      <c r="D52">
        <v>84237</v>
      </c>
      <c r="E52">
        <v>24119</v>
      </c>
    </row>
    <row r="53" spans="1:5" x14ac:dyDescent="0.25">
      <c r="A53" s="1" t="s">
        <v>20</v>
      </c>
      <c r="B53" s="1" t="s">
        <v>7</v>
      </c>
      <c r="C53">
        <v>40</v>
      </c>
      <c r="D53">
        <v>20795</v>
      </c>
      <c r="E53">
        <v>8359</v>
      </c>
    </row>
    <row r="54" spans="1:5" x14ac:dyDescent="0.25">
      <c r="A54" s="1" t="s">
        <v>20</v>
      </c>
      <c r="B54" s="1" t="s">
        <v>8</v>
      </c>
      <c r="C54">
        <v>72</v>
      </c>
      <c r="D54">
        <v>59230</v>
      </c>
      <c r="E54">
        <v>13902</v>
      </c>
    </row>
    <row r="55" spans="1:5" x14ac:dyDescent="0.25">
      <c r="A55" s="1" t="s">
        <v>20</v>
      </c>
      <c r="B55" s="1" t="s">
        <v>9</v>
      </c>
      <c r="C55">
        <v>16</v>
      </c>
      <c r="D55">
        <v>46770</v>
      </c>
      <c r="E55">
        <v>28043</v>
      </c>
    </row>
    <row r="56" spans="1:5" x14ac:dyDescent="0.25">
      <c r="A56" s="1" t="s">
        <v>20</v>
      </c>
      <c r="B56" s="1" t="s">
        <v>10</v>
      </c>
      <c r="C56">
        <v>71</v>
      </c>
      <c r="D56">
        <v>39419</v>
      </c>
      <c r="E56">
        <v>22541</v>
      </c>
    </row>
    <row r="57" spans="1:5" x14ac:dyDescent="0.25">
      <c r="A57" s="1" t="s">
        <v>21</v>
      </c>
      <c r="B57" s="1" t="s">
        <v>6</v>
      </c>
      <c r="C57">
        <v>33</v>
      </c>
      <c r="D57">
        <v>22015</v>
      </c>
      <c r="E57">
        <v>13268</v>
      </c>
    </row>
    <row r="58" spans="1:5" x14ac:dyDescent="0.25">
      <c r="A58" s="1" t="s">
        <v>21</v>
      </c>
      <c r="B58" s="1" t="s">
        <v>7</v>
      </c>
      <c r="C58">
        <v>19</v>
      </c>
      <c r="D58">
        <v>38249</v>
      </c>
      <c r="E58">
        <v>5635</v>
      </c>
    </row>
    <row r="59" spans="1:5" x14ac:dyDescent="0.25">
      <c r="A59" s="1" t="s">
        <v>21</v>
      </c>
      <c r="B59" s="1" t="s">
        <v>8</v>
      </c>
      <c r="C59">
        <v>23</v>
      </c>
      <c r="D59">
        <v>48072</v>
      </c>
      <c r="E59">
        <v>15078</v>
      </c>
    </row>
    <row r="60" spans="1:5" x14ac:dyDescent="0.25">
      <c r="A60" s="1" t="s">
        <v>21</v>
      </c>
      <c r="B60" s="1" t="s">
        <v>9</v>
      </c>
      <c r="C60">
        <v>46</v>
      </c>
      <c r="D60">
        <v>39547</v>
      </c>
      <c r="E60">
        <v>11286</v>
      </c>
    </row>
    <row r="61" spans="1:5" x14ac:dyDescent="0.25">
      <c r="A61" s="1" t="s">
        <v>21</v>
      </c>
      <c r="B61" s="1" t="s">
        <v>10</v>
      </c>
      <c r="C61">
        <v>50</v>
      </c>
      <c r="D61">
        <v>26765</v>
      </c>
      <c r="E61">
        <v>18341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EDE3-2C3B-43E8-9F8F-E04F80C3DF72}">
  <dimension ref="A1:E61"/>
  <sheetViews>
    <sheetView workbookViewId="0">
      <selection activeCell="E13" sqref="E13"/>
    </sheetView>
  </sheetViews>
  <sheetFormatPr defaultRowHeight="15" x14ac:dyDescent="0.25"/>
  <cols>
    <col min="1" max="1" width="9" bestFit="1" customWidth="1"/>
    <col min="2" max="2" width="11.42578125" bestFit="1" customWidth="1"/>
    <col min="3" max="3" width="12.5703125" bestFit="1" customWidth="1"/>
    <col min="4" max="4" width="8.7109375" bestFit="1" customWidth="1"/>
    <col min="5" max="5" width="12.140625" bestFit="1" customWidth="1"/>
  </cols>
  <sheetData>
    <row r="1" spans="1:5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s="1" t="s">
        <v>5</v>
      </c>
      <c r="B2" s="1" t="s">
        <v>29</v>
      </c>
      <c r="C2">
        <v>87807</v>
      </c>
      <c r="D2">
        <v>61134</v>
      </c>
      <c r="E2">
        <v>557</v>
      </c>
    </row>
    <row r="3" spans="1:5" x14ac:dyDescent="0.25">
      <c r="A3" s="1" t="s">
        <v>5</v>
      </c>
      <c r="B3" s="1" t="s">
        <v>30</v>
      </c>
      <c r="C3">
        <v>23420</v>
      </c>
      <c r="D3">
        <v>20672</v>
      </c>
      <c r="E3">
        <v>935</v>
      </c>
    </row>
    <row r="4" spans="1:5" x14ac:dyDescent="0.25">
      <c r="A4" s="1" t="s">
        <v>5</v>
      </c>
      <c r="B4" s="1" t="s">
        <v>31</v>
      </c>
      <c r="C4">
        <v>62873</v>
      </c>
      <c r="D4">
        <v>43231</v>
      </c>
      <c r="E4">
        <v>2464</v>
      </c>
    </row>
    <row r="5" spans="1:5" x14ac:dyDescent="0.25">
      <c r="A5" s="1" t="s">
        <v>5</v>
      </c>
      <c r="B5" s="1" t="s">
        <v>32</v>
      </c>
      <c r="C5">
        <v>69318</v>
      </c>
      <c r="D5">
        <v>55377</v>
      </c>
      <c r="E5">
        <v>784</v>
      </c>
    </row>
    <row r="6" spans="1:5" x14ac:dyDescent="0.25">
      <c r="A6" s="1" t="s">
        <v>5</v>
      </c>
      <c r="B6" s="1" t="s">
        <v>33</v>
      </c>
      <c r="C6">
        <v>57995</v>
      </c>
      <c r="D6">
        <v>52901</v>
      </c>
      <c r="E6">
        <v>894</v>
      </c>
    </row>
    <row r="7" spans="1:5" x14ac:dyDescent="0.25">
      <c r="A7" s="1" t="s">
        <v>11</v>
      </c>
      <c r="B7" s="1" t="s">
        <v>29</v>
      </c>
      <c r="C7">
        <v>43732</v>
      </c>
      <c r="D7">
        <v>32422</v>
      </c>
      <c r="E7">
        <v>980</v>
      </c>
    </row>
    <row r="8" spans="1:5" x14ac:dyDescent="0.25">
      <c r="A8" s="1" t="s">
        <v>11</v>
      </c>
      <c r="B8" s="1" t="s">
        <v>30</v>
      </c>
      <c r="C8">
        <v>55140</v>
      </c>
      <c r="D8">
        <v>41031</v>
      </c>
      <c r="E8">
        <v>741</v>
      </c>
    </row>
    <row r="9" spans="1:5" x14ac:dyDescent="0.25">
      <c r="A9" s="1" t="s">
        <v>11</v>
      </c>
      <c r="B9" s="1" t="s">
        <v>31</v>
      </c>
      <c r="C9">
        <v>89265</v>
      </c>
      <c r="D9">
        <v>70562</v>
      </c>
      <c r="E9">
        <v>1606</v>
      </c>
    </row>
    <row r="10" spans="1:5" x14ac:dyDescent="0.25">
      <c r="A10" s="1" t="s">
        <v>11</v>
      </c>
      <c r="B10" s="1" t="s">
        <v>32</v>
      </c>
      <c r="C10">
        <v>72068</v>
      </c>
      <c r="D10">
        <v>47565</v>
      </c>
      <c r="E10">
        <v>823</v>
      </c>
    </row>
    <row r="11" spans="1:5" x14ac:dyDescent="0.25">
      <c r="A11" s="1" t="s">
        <v>11</v>
      </c>
      <c r="B11" s="1" t="s">
        <v>33</v>
      </c>
      <c r="C11">
        <v>32640</v>
      </c>
      <c r="D11">
        <v>30384</v>
      </c>
      <c r="E11">
        <v>887</v>
      </c>
    </row>
    <row r="12" spans="1:5" x14ac:dyDescent="0.25">
      <c r="A12" s="1" t="s">
        <v>12</v>
      </c>
      <c r="B12" s="1" t="s">
        <v>29</v>
      </c>
      <c r="C12">
        <v>21261</v>
      </c>
      <c r="D12">
        <v>19053</v>
      </c>
      <c r="E12">
        <v>1338</v>
      </c>
    </row>
    <row r="13" spans="1:5" x14ac:dyDescent="0.25">
      <c r="A13" s="1" t="s">
        <v>12</v>
      </c>
      <c r="B13" s="1" t="s">
        <v>30</v>
      </c>
      <c r="C13">
        <v>33096</v>
      </c>
      <c r="D13">
        <v>27118</v>
      </c>
      <c r="E13">
        <v>2303</v>
      </c>
    </row>
    <row r="14" spans="1:5" x14ac:dyDescent="0.25">
      <c r="A14" s="1" t="s">
        <v>12</v>
      </c>
      <c r="B14" s="1" t="s">
        <v>31</v>
      </c>
      <c r="C14">
        <v>41786</v>
      </c>
      <c r="D14">
        <v>33127</v>
      </c>
      <c r="E14">
        <v>1795</v>
      </c>
    </row>
    <row r="15" spans="1:5" x14ac:dyDescent="0.25">
      <c r="A15" s="1" t="s">
        <v>12</v>
      </c>
      <c r="B15" s="1" t="s">
        <v>32</v>
      </c>
      <c r="C15">
        <v>76140</v>
      </c>
      <c r="D15">
        <v>71454</v>
      </c>
      <c r="E15">
        <v>576</v>
      </c>
    </row>
    <row r="16" spans="1:5" x14ac:dyDescent="0.25">
      <c r="A16" s="1" t="s">
        <v>12</v>
      </c>
      <c r="B16" s="1" t="s">
        <v>33</v>
      </c>
      <c r="C16">
        <v>66962</v>
      </c>
      <c r="D16">
        <v>59192</v>
      </c>
      <c r="E16">
        <v>1416</v>
      </c>
    </row>
    <row r="17" spans="1:5" x14ac:dyDescent="0.25">
      <c r="A17" s="1" t="s">
        <v>13</v>
      </c>
      <c r="B17" s="1" t="s">
        <v>29</v>
      </c>
      <c r="C17">
        <v>74079</v>
      </c>
      <c r="D17">
        <v>51000</v>
      </c>
      <c r="E17">
        <v>589</v>
      </c>
    </row>
    <row r="18" spans="1:5" x14ac:dyDescent="0.25">
      <c r="A18" s="1" t="s">
        <v>13</v>
      </c>
      <c r="B18" s="1" t="s">
        <v>30</v>
      </c>
      <c r="C18">
        <v>60828</v>
      </c>
      <c r="D18">
        <v>42693</v>
      </c>
      <c r="E18">
        <v>564</v>
      </c>
    </row>
    <row r="19" spans="1:5" x14ac:dyDescent="0.25">
      <c r="A19" s="1" t="s">
        <v>13</v>
      </c>
      <c r="B19" s="1" t="s">
        <v>31</v>
      </c>
      <c r="C19">
        <v>59379</v>
      </c>
      <c r="D19">
        <v>40442</v>
      </c>
      <c r="E19">
        <v>176</v>
      </c>
    </row>
    <row r="20" spans="1:5" x14ac:dyDescent="0.25">
      <c r="A20" s="1" t="s">
        <v>13</v>
      </c>
      <c r="B20" s="1" t="s">
        <v>32</v>
      </c>
      <c r="C20">
        <v>16191</v>
      </c>
      <c r="D20">
        <v>11791</v>
      </c>
      <c r="E20">
        <v>1374</v>
      </c>
    </row>
    <row r="21" spans="1:5" x14ac:dyDescent="0.25">
      <c r="A21" s="1" t="s">
        <v>13</v>
      </c>
      <c r="B21" s="1" t="s">
        <v>33</v>
      </c>
      <c r="C21">
        <v>53039</v>
      </c>
      <c r="D21">
        <v>39517</v>
      </c>
      <c r="E21">
        <v>118</v>
      </c>
    </row>
    <row r="22" spans="1:5" x14ac:dyDescent="0.25">
      <c r="A22" s="1" t="s">
        <v>14</v>
      </c>
      <c r="B22" s="1" t="s">
        <v>29</v>
      </c>
      <c r="C22">
        <v>74433</v>
      </c>
      <c r="D22">
        <v>59909</v>
      </c>
      <c r="E22">
        <v>391</v>
      </c>
    </row>
    <row r="23" spans="1:5" x14ac:dyDescent="0.25">
      <c r="A23" s="1" t="s">
        <v>14</v>
      </c>
      <c r="B23" s="1" t="s">
        <v>30</v>
      </c>
      <c r="C23">
        <v>88936</v>
      </c>
      <c r="D23">
        <v>63437</v>
      </c>
      <c r="E23">
        <v>272</v>
      </c>
    </row>
    <row r="24" spans="1:5" x14ac:dyDescent="0.25">
      <c r="A24" s="1" t="s">
        <v>14</v>
      </c>
      <c r="B24" s="1" t="s">
        <v>31</v>
      </c>
      <c r="C24">
        <v>59356</v>
      </c>
      <c r="D24">
        <v>50221</v>
      </c>
      <c r="E24">
        <v>2279</v>
      </c>
    </row>
    <row r="25" spans="1:5" x14ac:dyDescent="0.25">
      <c r="A25" s="1" t="s">
        <v>14</v>
      </c>
      <c r="B25" s="1" t="s">
        <v>32</v>
      </c>
      <c r="C25">
        <v>82943</v>
      </c>
      <c r="D25">
        <v>62712</v>
      </c>
      <c r="E25">
        <v>1466</v>
      </c>
    </row>
    <row r="26" spans="1:5" x14ac:dyDescent="0.25">
      <c r="A26" s="1" t="s">
        <v>14</v>
      </c>
      <c r="B26" s="1" t="s">
        <v>33</v>
      </c>
      <c r="C26">
        <v>87083</v>
      </c>
      <c r="D26">
        <v>63187</v>
      </c>
      <c r="E26">
        <v>591</v>
      </c>
    </row>
    <row r="27" spans="1:5" x14ac:dyDescent="0.25">
      <c r="A27" s="1" t="s">
        <v>15</v>
      </c>
      <c r="B27" s="1" t="s">
        <v>29</v>
      </c>
      <c r="C27">
        <v>31086</v>
      </c>
      <c r="D27">
        <v>28990</v>
      </c>
      <c r="E27">
        <v>861</v>
      </c>
    </row>
    <row r="28" spans="1:5" x14ac:dyDescent="0.25">
      <c r="A28" s="1" t="s">
        <v>15</v>
      </c>
      <c r="B28" s="1" t="s">
        <v>30</v>
      </c>
      <c r="C28">
        <v>21737</v>
      </c>
      <c r="D28">
        <v>18957</v>
      </c>
      <c r="E28">
        <v>1368</v>
      </c>
    </row>
    <row r="29" spans="1:5" x14ac:dyDescent="0.25">
      <c r="A29" s="1" t="s">
        <v>15</v>
      </c>
      <c r="B29" s="1" t="s">
        <v>31</v>
      </c>
      <c r="C29">
        <v>28202</v>
      </c>
      <c r="D29">
        <v>19549</v>
      </c>
      <c r="E29">
        <v>977</v>
      </c>
    </row>
    <row r="30" spans="1:5" x14ac:dyDescent="0.25">
      <c r="A30" s="1" t="s">
        <v>15</v>
      </c>
      <c r="B30" s="1" t="s">
        <v>32</v>
      </c>
      <c r="C30">
        <v>56739</v>
      </c>
      <c r="D30">
        <v>39993</v>
      </c>
      <c r="E30">
        <v>2201</v>
      </c>
    </row>
    <row r="31" spans="1:5" x14ac:dyDescent="0.25">
      <c r="A31" s="1" t="s">
        <v>15</v>
      </c>
      <c r="B31" s="1" t="s">
        <v>33</v>
      </c>
      <c r="C31">
        <v>71828</v>
      </c>
      <c r="D31">
        <v>64578</v>
      </c>
      <c r="E31">
        <v>1724</v>
      </c>
    </row>
    <row r="32" spans="1:5" x14ac:dyDescent="0.25">
      <c r="A32" s="1" t="s">
        <v>16</v>
      </c>
      <c r="B32" s="1" t="s">
        <v>29</v>
      </c>
      <c r="C32">
        <v>78541</v>
      </c>
      <c r="D32">
        <v>53900</v>
      </c>
      <c r="E32">
        <v>869</v>
      </c>
    </row>
    <row r="33" spans="1:5" x14ac:dyDescent="0.25">
      <c r="A33" s="1" t="s">
        <v>16</v>
      </c>
      <c r="B33" s="1" t="s">
        <v>30</v>
      </c>
      <c r="C33">
        <v>36852</v>
      </c>
      <c r="D33">
        <v>26074</v>
      </c>
      <c r="E33">
        <v>341</v>
      </c>
    </row>
    <row r="34" spans="1:5" x14ac:dyDescent="0.25">
      <c r="A34" s="1" t="s">
        <v>16</v>
      </c>
      <c r="B34" s="1" t="s">
        <v>31</v>
      </c>
      <c r="C34">
        <v>72240</v>
      </c>
      <c r="D34">
        <v>47780</v>
      </c>
      <c r="E34">
        <v>628</v>
      </c>
    </row>
    <row r="35" spans="1:5" x14ac:dyDescent="0.25">
      <c r="A35" s="1" t="s">
        <v>16</v>
      </c>
      <c r="B35" s="1" t="s">
        <v>32</v>
      </c>
      <c r="C35">
        <v>55891</v>
      </c>
      <c r="D35">
        <v>38728</v>
      </c>
      <c r="E35">
        <v>508</v>
      </c>
    </row>
    <row r="36" spans="1:5" x14ac:dyDescent="0.25">
      <c r="A36" s="1" t="s">
        <v>16</v>
      </c>
      <c r="B36" s="1" t="s">
        <v>33</v>
      </c>
      <c r="C36">
        <v>70021</v>
      </c>
      <c r="D36">
        <v>61284</v>
      </c>
      <c r="E36">
        <v>1865</v>
      </c>
    </row>
    <row r="37" spans="1:5" x14ac:dyDescent="0.25">
      <c r="A37" s="1" t="s">
        <v>17</v>
      </c>
      <c r="B37" s="1" t="s">
        <v>29</v>
      </c>
      <c r="C37">
        <v>77340</v>
      </c>
      <c r="D37">
        <v>61904</v>
      </c>
      <c r="E37">
        <v>1371</v>
      </c>
    </row>
    <row r="38" spans="1:5" x14ac:dyDescent="0.25">
      <c r="A38" s="1" t="s">
        <v>17</v>
      </c>
      <c r="B38" s="1" t="s">
        <v>30</v>
      </c>
      <c r="C38">
        <v>53608</v>
      </c>
      <c r="D38">
        <v>37417</v>
      </c>
      <c r="E38">
        <v>1622</v>
      </c>
    </row>
    <row r="39" spans="1:5" x14ac:dyDescent="0.25">
      <c r="A39" s="1" t="s">
        <v>17</v>
      </c>
      <c r="B39" s="1" t="s">
        <v>31</v>
      </c>
      <c r="C39">
        <v>50117</v>
      </c>
      <c r="D39">
        <v>33435</v>
      </c>
      <c r="E39">
        <v>2263</v>
      </c>
    </row>
    <row r="40" spans="1:5" x14ac:dyDescent="0.25">
      <c r="A40" s="1" t="s">
        <v>17</v>
      </c>
      <c r="B40" s="1" t="s">
        <v>32</v>
      </c>
      <c r="C40">
        <v>26929</v>
      </c>
      <c r="D40">
        <v>20377</v>
      </c>
      <c r="E40">
        <v>1356</v>
      </c>
    </row>
    <row r="41" spans="1:5" x14ac:dyDescent="0.25">
      <c r="A41" s="1" t="s">
        <v>17</v>
      </c>
      <c r="B41" s="1" t="s">
        <v>33</v>
      </c>
      <c r="C41">
        <v>46810</v>
      </c>
      <c r="D41">
        <v>36592</v>
      </c>
      <c r="E41">
        <v>1274</v>
      </c>
    </row>
    <row r="42" spans="1:5" x14ac:dyDescent="0.25">
      <c r="A42" s="1" t="s">
        <v>18</v>
      </c>
      <c r="B42" s="1" t="s">
        <v>29</v>
      </c>
      <c r="C42">
        <v>88594</v>
      </c>
      <c r="D42">
        <v>75825</v>
      </c>
      <c r="E42">
        <v>755</v>
      </c>
    </row>
    <row r="43" spans="1:5" x14ac:dyDescent="0.25">
      <c r="A43" s="1" t="s">
        <v>18</v>
      </c>
      <c r="B43" s="1" t="s">
        <v>30</v>
      </c>
      <c r="C43">
        <v>73272</v>
      </c>
      <c r="D43">
        <v>65128</v>
      </c>
      <c r="E43">
        <v>1109</v>
      </c>
    </row>
    <row r="44" spans="1:5" x14ac:dyDescent="0.25">
      <c r="A44" s="1" t="s">
        <v>18</v>
      </c>
      <c r="B44" s="1" t="s">
        <v>31</v>
      </c>
      <c r="C44">
        <v>41149</v>
      </c>
      <c r="D44">
        <v>35121</v>
      </c>
      <c r="E44">
        <v>1249</v>
      </c>
    </row>
    <row r="45" spans="1:5" x14ac:dyDescent="0.25">
      <c r="A45" s="1" t="s">
        <v>18</v>
      </c>
      <c r="B45" s="1" t="s">
        <v>32</v>
      </c>
      <c r="C45">
        <v>20217</v>
      </c>
      <c r="D45">
        <v>18385</v>
      </c>
      <c r="E45">
        <v>1152</v>
      </c>
    </row>
    <row r="46" spans="1:5" x14ac:dyDescent="0.25">
      <c r="A46" s="1" t="s">
        <v>18</v>
      </c>
      <c r="B46" s="1" t="s">
        <v>33</v>
      </c>
      <c r="C46">
        <v>20158</v>
      </c>
      <c r="D46">
        <v>17934</v>
      </c>
      <c r="E46">
        <v>965</v>
      </c>
    </row>
    <row r="47" spans="1:5" x14ac:dyDescent="0.25">
      <c r="A47" s="1" t="s">
        <v>19</v>
      </c>
      <c r="B47" s="1" t="s">
        <v>29</v>
      </c>
      <c r="C47">
        <v>54332</v>
      </c>
      <c r="D47">
        <v>42077</v>
      </c>
      <c r="E47">
        <v>668</v>
      </c>
    </row>
    <row r="48" spans="1:5" x14ac:dyDescent="0.25">
      <c r="A48" s="1" t="s">
        <v>19</v>
      </c>
      <c r="B48" s="1" t="s">
        <v>30</v>
      </c>
      <c r="C48">
        <v>19210</v>
      </c>
      <c r="D48">
        <v>14249</v>
      </c>
      <c r="E48">
        <v>1200</v>
      </c>
    </row>
    <row r="49" spans="1:5" x14ac:dyDescent="0.25">
      <c r="A49" s="1" t="s">
        <v>19</v>
      </c>
      <c r="B49" s="1" t="s">
        <v>31</v>
      </c>
      <c r="C49">
        <v>54597</v>
      </c>
      <c r="D49">
        <v>49502</v>
      </c>
      <c r="E49">
        <v>1422</v>
      </c>
    </row>
    <row r="50" spans="1:5" x14ac:dyDescent="0.25">
      <c r="A50" s="1" t="s">
        <v>19</v>
      </c>
      <c r="B50" s="1" t="s">
        <v>32</v>
      </c>
      <c r="C50">
        <v>61376</v>
      </c>
      <c r="D50">
        <v>48126</v>
      </c>
      <c r="E50">
        <v>2128</v>
      </c>
    </row>
    <row r="51" spans="1:5" x14ac:dyDescent="0.25">
      <c r="A51" s="1" t="s">
        <v>19</v>
      </c>
      <c r="B51" s="1" t="s">
        <v>33</v>
      </c>
      <c r="C51">
        <v>82710</v>
      </c>
      <c r="D51">
        <v>66938</v>
      </c>
      <c r="E51">
        <v>2079</v>
      </c>
    </row>
    <row r="52" spans="1:5" x14ac:dyDescent="0.25">
      <c r="A52" s="1" t="s">
        <v>20</v>
      </c>
      <c r="B52" s="1" t="s">
        <v>29</v>
      </c>
      <c r="C52">
        <v>62986</v>
      </c>
      <c r="D52">
        <v>48960</v>
      </c>
      <c r="E52">
        <v>613</v>
      </c>
    </row>
    <row r="53" spans="1:5" x14ac:dyDescent="0.25">
      <c r="A53" s="1" t="s">
        <v>20</v>
      </c>
      <c r="B53" s="1" t="s">
        <v>30</v>
      </c>
      <c r="C53">
        <v>70699</v>
      </c>
      <c r="D53">
        <v>60289</v>
      </c>
      <c r="E53">
        <v>2225</v>
      </c>
    </row>
    <row r="54" spans="1:5" x14ac:dyDescent="0.25">
      <c r="A54" s="1" t="s">
        <v>20</v>
      </c>
      <c r="B54" s="1" t="s">
        <v>31</v>
      </c>
      <c r="C54">
        <v>89252</v>
      </c>
      <c r="D54">
        <v>79791</v>
      </c>
      <c r="E54">
        <v>1293</v>
      </c>
    </row>
    <row r="55" spans="1:5" x14ac:dyDescent="0.25">
      <c r="A55" s="1" t="s">
        <v>20</v>
      </c>
      <c r="B55" s="1" t="s">
        <v>32</v>
      </c>
      <c r="C55">
        <v>68871</v>
      </c>
      <c r="D55">
        <v>56321</v>
      </c>
      <c r="E55">
        <v>1573</v>
      </c>
    </row>
    <row r="56" spans="1:5" x14ac:dyDescent="0.25">
      <c r="A56" s="1" t="s">
        <v>20</v>
      </c>
      <c r="B56" s="1" t="s">
        <v>33</v>
      </c>
      <c r="C56">
        <v>39268</v>
      </c>
      <c r="D56">
        <v>29780</v>
      </c>
      <c r="E56">
        <v>1960</v>
      </c>
    </row>
    <row r="57" spans="1:5" x14ac:dyDescent="0.25">
      <c r="A57" s="1" t="s">
        <v>21</v>
      </c>
      <c r="B57" s="1" t="s">
        <v>29</v>
      </c>
      <c r="C57">
        <v>44435</v>
      </c>
      <c r="D57">
        <v>39579</v>
      </c>
      <c r="E57">
        <v>134</v>
      </c>
    </row>
    <row r="58" spans="1:5" x14ac:dyDescent="0.25">
      <c r="A58" s="1" t="s">
        <v>21</v>
      </c>
      <c r="B58" s="1" t="s">
        <v>30</v>
      </c>
      <c r="C58">
        <v>82571</v>
      </c>
      <c r="D58">
        <v>63461</v>
      </c>
      <c r="E58">
        <v>1801</v>
      </c>
    </row>
    <row r="59" spans="1:5" x14ac:dyDescent="0.25">
      <c r="A59" s="1" t="s">
        <v>21</v>
      </c>
      <c r="B59" s="1" t="s">
        <v>31</v>
      </c>
      <c r="C59">
        <v>33896</v>
      </c>
      <c r="D59">
        <v>28993</v>
      </c>
      <c r="E59">
        <v>1704</v>
      </c>
    </row>
    <row r="60" spans="1:5" x14ac:dyDescent="0.25">
      <c r="A60" s="1" t="s">
        <v>21</v>
      </c>
      <c r="B60" s="1" t="s">
        <v>32</v>
      </c>
      <c r="C60">
        <v>57653</v>
      </c>
      <c r="D60">
        <v>48066</v>
      </c>
      <c r="E60">
        <v>1641</v>
      </c>
    </row>
    <row r="61" spans="1:5" x14ac:dyDescent="0.25">
      <c r="A61" s="1" t="s">
        <v>21</v>
      </c>
      <c r="B61" s="1" t="s">
        <v>33</v>
      </c>
      <c r="C61">
        <v>72127</v>
      </c>
      <c r="D61">
        <v>60004</v>
      </c>
      <c r="E61">
        <v>1902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4A86-A2A8-45AD-97D1-C5BEA1F645CD}">
  <dimension ref="A1:E16"/>
  <sheetViews>
    <sheetView workbookViewId="0">
      <selection activeCell="D13" sqref="A1:D13"/>
    </sheetView>
  </sheetViews>
  <sheetFormatPr defaultRowHeight="15" x14ac:dyDescent="0.25"/>
  <cols>
    <col min="1" max="1" width="9" bestFit="1" customWidth="1"/>
    <col min="2" max="2" width="15.140625" bestFit="1" customWidth="1"/>
    <col min="3" max="3" width="7.140625" bestFit="1" customWidth="1"/>
    <col min="4" max="4" width="10.28515625" bestFit="1" customWidth="1"/>
    <col min="5" max="5" width="14.7109375" bestFit="1" customWidth="1"/>
  </cols>
  <sheetData>
    <row r="1" spans="1:5" x14ac:dyDescent="0.25">
      <c r="A1" t="s">
        <v>0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5">
      <c r="A2" s="1" t="s">
        <v>5</v>
      </c>
      <c r="B2">
        <v>87.4</v>
      </c>
      <c r="C2">
        <v>271</v>
      </c>
      <c r="D2">
        <v>236.85</v>
      </c>
      <c r="E2">
        <v>31732</v>
      </c>
    </row>
    <row r="3" spans="1:5" x14ac:dyDescent="0.25">
      <c r="A3" s="1" t="s">
        <v>11</v>
      </c>
      <c r="B3">
        <v>94.5</v>
      </c>
      <c r="C3">
        <v>280</v>
      </c>
      <c r="D3">
        <v>264.60000000000002</v>
      </c>
      <c r="E3">
        <v>34392</v>
      </c>
    </row>
    <row r="4" spans="1:5" x14ac:dyDescent="0.25">
      <c r="A4" s="1" t="s">
        <v>12</v>
      </c>
      <c r="B4">
        <v>82.5</v>
      </c>
      <c r="C4">
        <v>142</v>
      </c>
      <c r="D4">
        <v>117.15</v>
      </c>
      <c r="E4">
        <v>21371</v>
      </c>
    </row>
    <row r="5" spans="1:5" x14ac:dyDescent="0.25">
      <c r="A5" s="1" t="s">
        <v>13</v>
      </c>
      <c r="B5">
        <v>86.8</v>
      </c>
      <c r="C5">
        <v>287</v>
      </c>
      <c r="D5">
        <v>249.12</v>
      </c>
      <c r="E5">
        <v>20565</v>
      </c>
    </row>
    <row r="6" spans="1:5" x14ac:dyDescent="0.25">
      <c r="A6" s="1" t="s">
        <v>14</v>
      </c>
      <c r="B6">
        <v>80.099999999999994</v>
      </c>
      <c r="C6">
        <v>198</v>
      </c>
      <c r="D6">
        <v>158.6</v>
      </c>
      <c r="E6">
        <v>22505</v>
      </c>
    </row>
    <row r="7" spans="1:5" x14ac:dyDescent="0.25">
      <c r="A7" s="1" t="s">
        <v>15</v>
      </c>
      <c r="B7">
        <v>88.2</v>
      </c>
      <c r="C7">
        <v>224</v>
      </c>
      <c r="D7">
        <v>197.57</v>
      </c>
      <c r="E7">
        <v>48776</v>
      </c>
    </row>
    <row r="8" spans="1:5" x14ac:dyDescent="0.25">
      <c r="A8" s="1" t="s">
        <v>16</v>
      </c>
      <c r="B8">
        <v>87</v>
      </c>
      <c r="C8">
        <v>229</v>
      </c>
      <c r="D8">
        <v>199.23</v>
      </c>
      <c r="E8">
        <v>48666</v>
      </c>
    </row>
    <row r="9" spans="1:5" x14ac:dyDescent="0.25">
      <c r="A9" s="1" t="s">
        <v>17</v>
      </c>
      <c r="B9">
        <v>91.7</v>
      </c>
      <c r="C9">
        <v>174</v>
      </c>
      <c r="D9">
        <v>159.56</v>
      </c>
      <c r="E9">
        <v>44438</v>
      </c>
    </row>
    <row r="10" spans="1:5" x14ac:dyDescent="0.25">
      <c r="A10" s="1" t="s">
        <v>18</v>
      </c>
      <c r="B10">
        <v>82.7</v>
      </c>
      <c r="C10">
        <v>243</v>
      </c>
      <c r="D10">
        <v>200.96</v>
      </c>
      <c r="E10">
        <v>34905</v>
      </c>
    </row>
    <row r="11" spans="1:5" x14ac:dyDescent="0.25">
      <c r="A11" s="1" t="s">
        <v>19</v>
      </c>
      <c r="B11">
        <v>95.6</v>
      </c>
      <c r="C11">
        <v>245</v>
      </c>
      <c r="D11">
        <v>234.22</v>
      </c>
      <c r="E11">
        <v>47767</v>
      </c>
    </row>
    <row r="12" spans="1:5" x14ac:dyDescent="0.25">
      <c r="A12" s="1" t="s">
        <v>20</v>
      </c>
      <c r="B12">
        <v>96.8</v>
      </c>
      <c r="C12">
        <v>241</v>
      </c>
      <c r="D12">
        <v>233.29</v>
      </c>
      <c r="E12">
        <v>30592</v>
      </c>
    </row>
    <row r="13" spans="1:5" x14ac:dyDescent="0.25">
      <c r="A13" s="1" t="s">
        <v>21</v>
      </c>
      <c r="B13">
        <v>85.1</v>
      </c>
      <c r="C13">
        <v>266</v>
      </c>
      <c r="D13">
        <v>226.37</v>
      </c>
      <c r="E13">
        <v>45510</v>
      </c>
    </row>
    <row r="16" spans="1:5" x14ac:dyDescent="0.25">
      <c r="B1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E9F473-E6AB-4693-B5FC-EF6CF94818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Dashboard</vt:lpstr>
      <vt:lpstr>Executive Summary</vt:lpstr>
      <vt:lpstr>Financial Performance</vt:lpstr>
      <vt:lpstr>Maintenance Review</vt:lpstr>
      <vt:lpstr>Inventory &amp; COGS Review</vt:lpstr>
      <vt:lpstr>KPI Trends</vt:lpstr>
      <vt:lpstr>Financials</vt:lpstr>
      <vt:lpstr>Maintenance</vt:lpstr>
      <vt:lpstr>Inventory</vt:lpstr>
      <vt:lpstr>Resort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Wood</dc:creator>
  <cp:lastModifiedBy>Tyler Wood</cp:lastModifiedBy>
  <dcterms:created xsi:type="dcterms:W3CDTF">2026-08-17T23:42:05Z</dcterms:created>
  <dcterms:modified xsi:type="dcterms:W3CDTF">2026-08-18T19:08:49Z</dcterms:modified>
</cp:coreProperties>
</file>